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qccs\Desktop\Excel PS\"/>
    </mc:Choice>
  </mc:AlternateContent>
  <bookViews>
    <workbookView xWindow="0" yWindow="0" windowWidth="23040" windowHeight="8652"/>
  </bookViews>
  <sheets>
    <sheet name="Introduction" sheetId="12" r:id="rId1"/>
    <sheet name="DATASET" sheetId="1" r:id="rId2"/>
    <sheet name="PIVOT TABLES" sheetId="10" r:id="rId3"/>
    <sheet name="DASHBOARD " sheetId="8" r:id="rId4"/>
    <sheet name="Report " sheetId="11" r:id="rId5"/>
  </sheets>
  <definedNames>
    <definedName name="Slicer_Channel">#N/A</definedName>
    <definedName name="Slicer_City">#N/A</definedName>
    <definedName name="Slicer_Months">#N/A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 i="10" l="1"/>
  <c r="V8" i="1"/>
  <c r="V7" i="1"/>
  <c r="S1564" i="1" l="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H10" i="10"/>
</calcChain>
</file>

<file path=xl/sharedStrings.xml><?xml version="1.0" encoding="utf-8"?>
<sst xmlns="http://schemas.openxmlformats.org/spreadsheetml/2006/main" count="14153" uniqueCount="1543">
  <si>
    <t>Order ID</t>
  </si>
  <si>
    <t>Cust ID</t>
  </si>
  <si>
    <t>Age</t>
  </si>
  <si>
    <t xml:space="preserve">Age Group </t>
  </si>
  <si>
    <t>Date</t>
  </si>
  <si>
    <t>Product</t>
  </si>
  <si>
    <t>Category</t>
  </si>
  <si>
    <t>City</t>
  </si>
  <si>
    <t>No.of Units</t>
  </si>
  <si>
    <t>Unit Price</t>
  </si>
  <si>
    <t xml:space="preserve">    Amount</t>
  </si>
  <si>
    <t>171-1029312-3038738</t>
  </si>
  <si>
    <t>Adult</t>
  </si>
  <si>
    <t>Dell XPS 13</t>
  </si>
  <si>
    <t>Laptop</t>
  </si>
  <si>
    <t>Bangalore</t>
  </si>
  <si>
    <t>405-2183842-2225946</t>
  </si>
  <si>
    <t>OnePlus Buds</t>
  </si>
  <si>
    <t>Headphone</t>
  </si>
  <si>
    <t>171-1641533-8921966</t>
  </si>
  <si>
    <t>Senior Citizen</t>
  </si>
  <si>
    <t>Apple AirPods Pro</t>
  </si>
  <si>
    <t>404-7490807-6300351</t>
  </si>
  <si>
    <t>HP Envy x360</t>
  </si>
  <si>
    <t>403-9293516-4577154</t>
  </si>
  <si>
    <t>iPhone 11 Pro</t>
  </si>
  <si>
    <t>Phone</t>
  </si>
  <si>
    <t>407-1298130-0368305</t>
  </si>
  <si>
    <t>OnePlus 8 Pro</t>
  </si>
  <si>
    <t>Mumbai</t>
  </si>
  <si>
    <t>171-5561216-3398711</t>
  </si>
  <si>
    <t>408-2935263-2935550</t>
  </si>
  <si>
    <t>404-2648970-9042715</t>
  </si>
  <si>
    <t>408-0265357-4939534</t>
  </si>
  <si>
    <t>Teenager</t>
  </si>
  <si>
    <t>Pune</t>
  </si>
  <si>
    <t>403-9268874-7296313</t>
  </si>
  <si>
    <t>407-0442660-2736366</t>
  </si>
  <si>
    <t>406-7482261-1657136</t>
  </si>
  <si>
    <t>407-7039962-7080347</t>
  </si>
  <si>
    <t>407-3422488-7373923</t>
  </si>
  <si>
    <t>171-8974687-6745940</t>
  </si>
  <si>
    <t>Delhi</t>
  </si>
  <si>
    <t>406-0244536-2177175</t>
  </si>
  <si>
    <t>404-4376789-3345166</t>
  </si>
  <si>
    <t>408-1943310-9789160</t>
  </si>
  <si>
    <t>403-0950590-5005155</t>
  </si>
  <si>
    <t>406-3935670-5720350</t>
  </si>
  <si>
    <t>402-0398999-0011565</t>
  </si>
  <si>
    <t>Hyderabad</t>
  </si>
  <si>
    <t>403-5438780-7231546</t>
  </si>
  <si>
    <t>406-8343960-8137102</t>
  </si>
  <si>
    <t>406-0986513-0498758</t>
  </si>
  <si>
    <t>406-0947452-6044339</t>
  </si>
  <si>
    <t>406-1326018-3426760</t>
  </si>
  <si>
    <t>406-9281717-2212317</t>
  </si>
  <si>
    <t>408-6866119-6793128</t>
  </si>
  <si>
    <t>403-9400852-1350710</t>
  </si>
  <si>
    <t>408-2606836-0473931</t>
  </si>
  <si>
    <t>405-8481179-1130753</t>
  </si>
  <si>
    <t>406-9686095-5057139</t>
  </si>
  <si>
    <t>404-9033015-7527503</t>
  </si>
  <si>
    <t>402-6932218-7744338</t>
  </si>
  <si>
    <t>408-8796291-5026713</t>
  </si>
  <si>
    <t>407-9654105-3225150</t>
  </si>
  <si>
    <t>402-0637532-2672317</t>
  </si>
  <si>
    <t>404-3393819-5081930</t>
  </si>
  <si>
    <t>406-5673590-1054739</t>
  </si>
  <si>
    <t>403-5846829-5098742</t>
  </si>
  <si>
    <t>171-4087298-3807569</t>
  </si>
  <si>
    <t>408-7694743-7590732</t>
  </si>
  <si>
    <t>406-8068610-1108329</t>
  </si>
  <si>
    <t>171-7917674-9759550</t>
  </si>
  <si>
    <t>406-2709798-4585159</t>
  </si>
  <si>
    <t>405-4213846-6141157</t>
  </si>
  <si>
    <t>407-7381557-9088310</t>
  </si>
  <si>
    <t>403-0817885-3061963</t>
  </si>
  <si>
    <t>171-2439278-5433152</t>
  </si>
  <si>
    <t>405-8874360-4913961</t>
  </si>
  <si>
    <t>408-4675134-5301129</t>
  </si>
  <si>
    <t>402-9907523-6175562</t>
  </si>
  <si>
    <t>407-7643005-7856329</t>
  </si>
  <si>
    <t>407-0381223-7065145</t>
  </si>
  <si>
    <t>407-8538186-6616316</t>
  </si>
  <si>
    <t>403-1785530-0119510</t>
  </si>
  <si>
    <t>403-0824767-1871567</t>
  </si>
  <si>
    <t>404-8169153-4411563</t>
  </si>
  <si>
    <t>406-5169174-3536336</t>
  </si>
  <si>
    <t>402-2130722-4734768</t>
  </si>
  <si>
    <t>404-8399604-8880365</t>
  </si>
  <si>
    <t>403-8213196-3804353</t>
  </si>
  <si>
    <t>408-3286680-0659521</t>
  </si>
  <si>
    <t>403-6014983-8111514</t>
  </si>
  <si>
    <t>403-6950860-5590722</t>
  </si>
  <si>
    <t>406-7030051-2742704</t>
  </si>
  <si>
    <t>404-6041386-2803516</t>
  </si>
  <si>
    <t>404-7958450-6860328</t>
  </si>
  <si>
    <t>408-7814128-2203552</t>
  </si>
  <si>
    <t>403-9793483-6877106</t>
  </si>
  <si>
    <t>402-5297818-3665137</t>
  </si>
  <si>
    <t>171-2070545-3786767</t>
  </si>
  <si>
    <t>406-1756314-4546723</t>
  </si>
  <si>
    <t>404-8786932-9447520</t>
  </si>
  <si>
    <t>408-8573929-1921943</t>
  </si>
  <si>
    <t>407-8980704-1408352</t>
  </si>
  <si>
    <t>171-2516658-6849136</t>
  </si>
  <si>
    <t>404-0105497-2446747</t>
  </si>
  <si>
    <t>406-6468339-1490707</t>
  </si>
  <si>
    <t>402-6702100-7257107</t>
  </si>
  <si>
    <t>404-6243782-8199521</t>
  </si>
  <si>
    <t>403-3641651-0348348</t>
  </si>
  <si>
    <t>402-7662369-2719545</t>
  </si>
  <si>
    <t>403-8575376-3341124</t>
  </si>
  <si>
    <t>403-7384618-1017125</t>
  </si>
  <si>
    <t>403-3542194-2527546</t>
  </si>
  <si>
    <t>405-6859790-7125127</t>
  </si>
  <si>
    <t>403-0347306-1283554</t>
  </si>
  <si>
    <t>406-7048232-6973930</t>
  </si>
  <si>
    <t>404-5516090-4385135</t>
  </si>
  <si>
    <t>403-0294848-6612317</t>
  </si>
  <si>
    <t>408-6522716-9753142</t>
  </si>
  <si>
    <t>408-3094141-6564325</t>
  </si>
  <si>
    <t>405-8966819-1579535</t>
  </si>
  <si>
    <t>404-2716293-0209115</t>
  </si>
  <si>
    <t>403-9848998-6793100</t>
  </si>
  <si>
    <t>171-6592212-4665122</t>
  </si>
  <si>
    <t>404-5467416-2849910</t>
  </si>
  <si>
    <t>408-1265802-4542716</t>
  </si>
  <si>
    <t>171-9585512-1214755</t>
  </si>
  <si>
    <t>405-6513430-0509918</t>
  </si>
  <si>
    <t>406-7694216-8034754</t>
  </si>
  <si>
    <t>408-5911668-5550717</t>
  </si>
  <si>
    <t>404-5364170-6523532</t>
  </si>
  <si>
    <t>405-3614770-5449966</t>
  </si>
  <si>
    <t>404-1246579-1197122</t>
  </si>
  <si>
    <t>406-6695683-9996343</t>
  </si>
  <si>
    <t>404-1994186-3865941</t>
  </si>
  <si>
    <t>404-0172471-1609129</t>
  </si>
  <si>
    <t>406-0681598-4591519</t>
  </si>
  <si>
    <t>407-1388772-0703516</t>
  </si>
  <si>
    <t>408-3131740-5067529</t>
  </si>
  <si>
    <t>402-5496750-0331528</t>
  </si>
  <si>
    <t>403-0816846-6852364</t>
  </si>
  <si>
    <t>408-0278400-0572330</t>
  </si>
  <si>
    <t>403-8079606-6799503</t>
  </si>
  <si>
    <t>171-4636514-5082740</t>
  </si>
  <si>
    <t>406-9847734-4402766</t>
  </si>
  <si>
    <t>403-8860022-0290733</t>
  </si>
  <si>
    <t>408-1669205-3638714</t>
  </si>
  <si>
    <t>406-6737238-3993139</t>
  </si>
  <si>
    <t>402-9605076-2885164</t>
  </si>
  <si>
    <t>406-9542566-5579564</t>
  </si>
  <si>
    <t>408-1540604-8952365</t>
  </si>
  <si>
    <t>405-9367631-7902714</t>
  </si>
  <si>
    <t>403-0595996-9383507</t>
  </si>
  <si>
    <t>407-8256896-7645127</t>
  </si>
  <si>
    <t>407-1064158-5677135</t>
  </si>
  <si>
    <t>407-2727693-8699567</t>
  </si>
  <si>
    <t>171-6844452-3288337</t>
  </si>
  <si>
    <t>171-6908439-1987505</t>
  </si>
  <si>
    <t>406-9626742-4153157</t>
  </si>
  <si>
    <t>403-9383537-0791567</t>
  </si>
  <si>
    <t>403-6048785-9857964</t>
  </si>
  <si>
    <t>402-1040945-8225167</t>
  </si>
  <si>
    <t>171-8224545-5941925</t>
  </si>
  <si>
    <t>405-8391201-0161964</t>
  </si>
  <si>
    <t>406-2036568-3507558</t>
  </si>
  <si>
    <t>407-0131231-1980322</t>
  </si>
  <si>
    <t>402-5387048-4695525</t>
  </si>
  <si>
    <t>402-4700322-7377926</t>
  </si>
  <si>
    <t>405-4774074-9942741</t>
  </si>
  <si>
    <t>408-4236224-6705913</t>
  </si>
  <si>
    <t>402-9698056-3215551</t>
  </si>
  <si>
    <t>404-1092399-0229128</t>
  </si>
  <si>
    <t>408-1867708-9856317</t>
  </si>
  <si>
    <t>402-7163849-6357160</t>
  </si>
  <si>
    <t>408-7372776-3077164</t>
  </si>
  <si>
    <t>405-7757271-3277914</t>
  </si>
  <si>
    <t>407-6304030-7294757</t>
  </si>
  <si>
    <t>408-7790665-4334734</t>
  </si>
  <si>
    <t>407-5595686-6100341</t>
  </si>
  <si>
    <t>405-8251665-3225166</t>
  </si>
  <si>
    <t>171-7054852-3448331</t>
  </si>
  <si>
    <t>403-1132538-4037168</t>
  </si>
  <si>
    <t>402-2642921-6231538</t>
  </si>
  <si>
    <t>406-6293095-0239521</t>
  </si>
  <si>
    <t>402-2438137-5393935</t>
  </si>
  <si>
    <t>407-6539984-2399543</t>
  </si>
  <si>
    <t>403-4740407-5307521</t>
  </si>
  <si>
    <t>408-9159866-0466729</t>
  </si>
  <si>
    <t>403-1619866-3571523</t>
  </si>
  <si>
    <t>406-6502399-8558757</t>
  </si>
  <si>
    <t>408-7238770-6140358</t>
  </si>
  <si>
    <t>407-1376871-0295557</t>
  </si>
  <si>
    <t>408-8257154-7073948</t>
  </si>
  <si>
    <t>404-4145340-2637920</t>
  </si>
  <si>
    <t>405-9073647-9045956</t>
  </si>
  <si>
    <t>408-8882909-7090727</t>
  </si>
  <si>
    <t>405-9353236-5655530</t>
  </si>
  <si>
    <t>404-8519920-6090711</t>
  </si>
  <si>
    <t>408-9860710-2994745</t>
  </si>
  <si>
    <t>407-9474390-3484334</t>
  </si>
  <si>
    <t>407-5085571-9113956</t>
  </si>
  <si>
    <t>405-9457709-1221161</t>
  </si>
  <si>
    <t>171-2746120-7458740</t>
  </si>
  <si>
    <t>403-1878389-1237106</t>
  </si>
  <si>
    <t>403-0476685-3465137</t>
  </si>
  <si>
    <t>171-1845045-0161128</t>
  </si>
  <si>
    <t>404-9933073-6187548</t>
  </si>
  <si>
    <t>404-5497347-2324338</t>
  </si>
  <si>
    <t>408-7912532-3769108</t>
  </si>
  <si>
    <t>171-9766258-8979520</t>
  </si>
  <si>
    <t>406-1473140-7914743</t>
  </si>
  <si>
    <t>403-0524091-8412339</t>
  </si>
  <si>
    <t>402-6280655-6962731</t>
  </si>
  <si>
    <t>405-1920070-1571501</t>
  </si>
  <si>
    <t>406-2265901-9858750</t>
  </si>
  <si>
    <t>406-0476593-3693958</t>
  </si>
  <si>
    <t>171-8490583-2352307</t>
  </si>
  <si>
    <t>404-5716384-0233143</t>
  </si>
  <si>
    <t>404-5226206-1753945</t>
  </si>
  <si>
    <t>405-3951365-4622755</t>
  </si>
  <si>
    <t>403-2485702-8968337</t>
  </si>
  <si>
    <t>404-5716802-5805922</t>
  </si>
  <si>
    <t>408-8120045-5093125</t>
  </si>
  <si>
    <t>408-7328394-2683533</t>
  </si>
  <si>
    <t>406-6875530-0340315</t>
  </si>
  <si>
    <t>171-3453298-1736319</t>
  </si>
  <si>
    <t>406-6898340-9370767</t>
  </si>
  <si>
    <t>171-9867216-3827533</t>
  </si>
  <si>
    <t>407-5042032-5902761</t>
  </si>
  <si>
    <t>402-0063406-6968362</t>
  </si>
  <si>
    <t>404-8307667-6071518</t>
  </si>
  <si>
    <t>403-7968627-6588328</t>
  </si>
  <si>
    <t>408-5521742-2526737</t>
  </si>
  <si>
    <t>171-5834744-7793919</t>
  </si>
  <si>
    <t>408-7465655-2417933</t>
  </si>
  <si>
    <t>403-3665568-5477149</t>
  </si>
  <si>
    <t>405-7420219-7316315</t>
  </si>
  <si>
    <t>406-5160745-8578760</t>
  </si>
  <si>
    <t>408-8985896-3094744</t>
  </si>
  <si>
    <t>404-9796800-6627547</t>
  </si>
  <si>
    <t>171-5617430-3197928</t>
  </si>
  <si>
    <t>402-8714035-8722711</t>
  </si>
  <si>
    <t>404-1798937-4461134</t>
  </si>
  <si>
    <t>404-2448060-6133124</t>
  </si>
  <si>
    <t>403-3863417-2662702</t>
  </si>
  <si>
    <t>405-0282991-3215561</t>
  </si>
  <si>
    <t>405-2276390-9797969</t>
  </si>
  <si>
    <t>404-0089951-1037143</t>
  </si>
  <si>
    <t>407-2696952-4496353</t>
  </si>
  <si>
    <t>406-9622079-6413136</t>
  </si>
  <si>
    <t>407-8773331-0580350</t>
  </si>
  <si>
    <t>402-1035887-0881935</t>
  </si>
  <si>
    <t>407-8863009-7029160</t>
  </si>
  <si>
    <t>407-5771983-6473156</t>
  </si>
  <si>
    <t>171-0442536-7993105</t>
  </si>
  <si>
    <t>406-5850336-2669159</t>
  </si>
  <si>
    <t>404-7926847-6820357</t>
  </si>
  <si>
    <t>407-1525291-4033115</t>
  </si>
  <si>
    <t>402-4283278-7350709</t>
  </si>
  <si>
    <t>408-4667355-3438769</t>
  </si>
  <si>
    <t>407-0085101-4310729</t>
  </si>
  <si>
    <t>405-4215381-1387550</t>
  </si>
  <si>
    <t>402-8558087-9373934</t>
  </si>
  <si>
    <t>171-5827792-5989157</t>
  </si>
  <si>
    <t>404-6723060-3710716</t>
  </si>
  <si>
    <t>407-2944135-5841949</t>
  </si>
  <si>
    <t>403-5156440-5557142</t>
  </si>
  <si>
    <t>171-0228693-4451506</t>
  </si>
  <si>
    <t>404-2147583-0438768</t>
  </si>
  <si>
    <t>403-6048700-0847561</t>
  </si>
  <si>
    <t>402-6722174-1193131</t>
  </si>
  <si>
    <t>403-9624470-3476324</t>
  </si>
  <si>
    <t>406-8164407-2451567</t>
  </si>
  <si>
    <t>406-9640916-4101160</t>
  </si>
  <si>
    <t>404-0915050-8994707</t>
  </si>
  <si>
    <t>408-9285338-0178748</t>
  </si>
  <si>
    <t>406-0644445-0198740</t>
  </si>
  <si>
    <t>406-4997330-6723506</t>
  </si>
  <si>
    <t>406-3048145-0469117</t>
  </si>
  <si>
    <t>407-7168499-5342708</t>
  </si>
  <si>
    <t>406-3180908-1826707</t>
  </si>
  <si>
    <t>406-2286700-9196347</t>
  </si>
  <si>
    <t>402-3305763-7175509</t>
  </si>
  <si>
    <t>171-5676727-5195556</t>
  </si>
  <si>
    <t>406-8302065-7086738</t>
  </si>
  <si>
    <t>404-7098912-5234706</t>
  </si>
  <si>
    <t>407-3848348-8301958</t>
  </si>
  <si>
    <t>405-9613429-2310750</t>
  </si>
  <si>
    <t>403-2921633-1318754</t>
  </si>
  <si>
    <t>402-1713822-0853144</t>
  </si>
  <si>
    <t>402-9822747-1695509</t>
  </si>
  <si>
    <t>406-6548679-2663552</t>
  </si>
  <si>
    <t>404-2406097-0070722</t>
  </si>
  <si>
    <t>171-9919199-2172366</t>
  </si>
  <si>
    <t>407-8024399-9735535</t>
  </si>
  <si>
    <t>407-7721497-0677130</t>
  </si>
  <si>
    <t>404-5590210-3310736</t>
  </si>
  <si>
    <t>405-5326871-4946749</t>
  </si>
  <si>
    <t>403-0490720-7265113</t>
  </si>
  <si>
    <t>408-0391103-2451522</t>
  </si>
  <si>
    <t>406-8905689-1231505</t>
  </si>
  <si>
    <t>406-4720373-1796308</t>
  </si>
  <si>
    <t>171-0767351-4049960</t>
  </si>
  <si>
    <t>406-8967945-9865112</t>
  </si>
  <si>
    <t>406-5675757-8121123</t>
  </si>
  <si>
    <t>404-8218066-2747520</t>
  </si>
  <si>
    <t>406-0529992-7047502</t>
  </si>
  <si>
    <t>402-6630432-1486758</t>
  </si>
  <si>
    <t>402-2194113-9960330</t>
  </si>
  <si>
    <t>408-7856161-4027511</t>
  </si>
  <si>
    <t>406-0781206-8987568</t>
  </si>
  <si>
    <t>402-7780555-9142724</t>
  </si>
  <si>
    <t>406-6047509-9643544</t>
  </si>
  <si>
    <t>404-6615959-0723530</t>
  </si>
  <si>
    <t>407-4084518-2229124</t>
  </si>
  <si>
    <t>171-2902438-9165910</t>
  </si>
  <si>
    <t>404-6082959-9813962</t>
  </si>
  <si>
    <t>403-0608880-2574737</t>
  </si>
  <si>
    <t>402-5815426-9929904</t>
  </si>
  <si>
    <t>408-4983896-0694703</t>
  </si>
  <si>
    <t>405-0249073-8317935</t>
  </si>
  <si>
    <t>171-0296282-8433917</t>
  </si>
  <si>
    <t>171-1853947-2973900</t>
  </si>
  <si>
    <t>405-4651921-1784303</t>
  </si>
  <si>
    <t>408-6987211-8854766</t>
  </si>
  <si>
    <t>407-4835989-5602707</t>
  </si>
  <si>
    <t>403-9124078-0215546</t>
  </si>
  <si>
    <t>402-1781950-2669162</t>
  </si>
  <si>
    <t>402-3695347-2013126</t>
  </si>
  <si>
    <t>408-2332327-0487560</t>
  </si>
  <si>
    <t>403-6393323-6741142</t>
  </si>
  <si>
    <t>407-1741029-5266753</t>
  </si>
  <si>
    <t>403-9462001-4407543</t>
  </si>
  <si>
    <t>403-6561746-7889157</t>
  </si>
  <si>
    <t>406-8231592-9325919</t>
  </si>
  <si>
    <t>406-1813868-8437102</t>
  </si>
  <si>
    <t>406-5627675-2622734</t>
  </si>
  <si>
    <t>407-2239856-6606703</t>
  </si>
  <si>
    <t>171-7546685-6644333</t>
  </si>
  <si>
    <t>406-3017458-9363561</t>
  </si>
  <si>
    <t>405-5708054-7423510</t>
  </si>
  <si>
    <t>402-9342662-5811521</t>
  </si>
  <si>
    <t>405-9584565-3810723</t>
  </si>
  <si>
    <t>404-0229964-5801945</t>
  </si>
  <si>
    <t>171-2567899-3847556</t>
  </si>
  <si>
    <t>408-3120227-6994715</t>
  </si>
  <si>
    <t>402-1162355-7211525</t>
  </si>
  <si>
    <t>408-2844001-0981151</t>
  </si>
  <si>
    <t>402-1796640-7014716</t>
  </si>
  <si>
    <t>171-0223976-9461113</t>
  </si>
  <si>
    <t>404-8085873-0181948</t>
  </si>
  <si>
    <t>407-7767130-4281167</t>
  </si>
  <si>
    <t>404-2118526-2790752</t>
  </si>
  <si>
    <t>402-7688970-4239508</t>
  </si>
  <si>
    <t>406-3678042-9067560</t>
  </si>
  <si>
    <t>406-4725061-4210743</t>
  </si>
  <si>
    <t>408-8125364-5064333</t>
  </si>
  <si>
    <t>407-7787158-3304334</t>
  </si>
  <si>
    <t>402-1559586-4174756</t>
  </si>
  <si>
    <t>407-4277775-0428332</t>
  </si>
  <si>
    <t>404-8238226-8953914</t>
  </si>
  <si>
    <t>404-3874867-5497948</t>
  </si>
  <si>
    <t>403-9065362-7267545</t>
  </si>
  <si>
    <t>408-4405714-0789902</t>
  </si>
  <si>
    <t>403-1957132-0346731</t>
  </si>
  <si>
    <t>406-8630007-6024339</t>
  </si>
  <si>
    <t>406-2849866-2096350</t>
  </si>
  <si>
    <t>407-8910046-5091542</t>
  </si>
  <si>
    <t>171-3946363-9695506</t>
  </si>
  <si>
    <t>406-8490644-0317143</t>
  </si>
  <si>
    <t>406-0017510-2532368</t>
  </si>
  <si>
    <t>403-1607946-0444316</t>
  </si>
  <si>
    <t>408-4402120-6747556</t>
  </si>
  <si>
    <t>171-6741005-1801114</t>
  </si>
  <si>
    <t>404-7396160-3109963</t>
  </si>
  <si>
    <t>404-9872468-1444314</t>
  </si>
  <si>
    <t>404-6685775-1613117</t>
  </si>
  <si>
    <t>404-2742059-8824359</t>
  </si>
  <si>
    <t>406-0431359-8413934</t>
  </si>
  <si>
    <t>405-2254374-5147557</t>
  </si>
  <si>
    <t>407-2506744-5951526</t>
  </si>
  <si>
    <t>402-0225967-3261167</t>
  </si>
  <si>
    <t>405-9746730-8113940</t>
  </si>
  <si>
    <t>406-2994704-8893164</t>
  </si>
  <si>
    <t>402-4768183-2277151</t>
  </si>
  <si>
    <t>404-5358164-6149103</t>
  </si>
  <si>
    <t>171-8201125-9962754</t>
  </si>
  <si>
    <t>408-6455153-3669106</t>
  </si>
  <si>
    <t>406-6936302-2339562</t>
  </si>
  <si>
    <t>402-9117771-0156352</t>
  </si>
  <si>
    <t>402-3176719-0844359</t>
  </si>
  <si>
    <t>404-5627495-7389162</t>
  </si>
  <si>
    <t>171-8666099-9479515</t>
  </si>
  <si>
    <t>171-2950631-8351558</t>
  </si>
  <si>
    <t>171-2273061-9777923</t>
  </si>
  <si>
    <t>408-5272502-9527553</t>
  </si>
  <si>
    <t>404-3639245-2253157</t>
  </si>
  <si>
    <t>406-5199868-7786757</t>
  </si>
  <si>
    <t>408-2633521-9125911</t>
  </si>
  <si>
    <t>406-3204932-9448315</t>
  </si>
  <si>
    <t>405-8846329-1473130</t>
  </si>
  <si>
    <t>408-5669660-2079503</t>
  </si>
  <si>
    <t>408-3743867-9908301</t>
  </si>
  <si>
    <t>402-8790622-7591520</t>
  </si>
  <si>
    <t>404-6016873-4061920</t>
  </si>
  <si>
    <t>408-4515678-2038716</t>
  </si>
  <si>
    <t>407-0206214-9199520</t>
  </si>
  <si>
    <t>402-9158142-1673135</t>
  </si>
  <si>
    <t>402-6580211-9975502</t>
  </si>
  <si>
    <t>407-8484605-5225931</t>
  </si>
  <si>
    <t>407-7905996-4330721</t>
  </si>
  <si>
    <t>404-3907505-1541107</t>
  </si>
  <si>
    <t>405-2722190-1193960</t>
  </si>
  <si>
    <t>405-0418007-4920325</t>
  </si>
  <si>
    <t>404-5462211-6965126</t>
  </si>
  <si>
    <t>407-2928531-4669118</t>
  </si>
  <si>
    <t>405-7292810-2395534</t>
  </si>
  <si>
    <t>403-9326035-9206751</t>
  </si>
  <si>
    <t>171-6812698-7999567</t>
  </si>
  <si>
    <t>406-7886687-0751556</t>
  </si>
  <si>
    <t>408-3456962-9764315</t>
  </si>
  <si>
    <t>404-0411709-7385150</t>
  </si>
  <si>
    <t>407-1344787-9871507</t>
  </si>
  <si>
    <t>171-2659259-1404303</t>
  </si>
  <si>
    <t>171-0305106-2384363</t>
  </si>
  <si>
    <t>408-5678500-0253935</t>
  </si>
  <si>
    <t>408-3697381-1299504</t>
  </si>
  <si>
    <t>402-8129717-4838741</t>
  </si>
  <si>
    <t>405-3833087-4361140</t>
  </si>
  <si>
    <t>171-1274138-4366747</t>
  </si>
  <si>
    <t>402-9198525-9884330</t>
  </si>
  <si>
    <t>405-7457952-1411503</t>
  </si>
  <si>
    <t>171-7699990-1206737</t>
  </si>
  <si>
    <t>407-6424721-8534711</t>
  </si>
  <si>
    <t>406-2944289-9780307</t>
  </si>
  <si>
    <t>407-2792923-9568332</t>
  </si>
  <si>
    <t>403-3320475-3277105</t>
  </si>
  <si>
    <t>408-8953982-1101145</t>
  </si>
  <si>
    <t>171-6114234-9173936</t>
  </si>
  <si>
    <t>406-5161481-7949123</t>
  </si>
  <si>
    <t>171-3592356-2844355</t>
  </si>
  <si>
    <t>405-2156012-1676332</t>
  </si>
  <si>
    <t>407-7763289-2889162</t>
  </si>
  <si>
    <t>405-4103369-1897153</t>
  </si>
  <si>
    <t>402-0443362-1827532</t>
  </si>
  <si>
    <t>407-6267284-3340319</t>
  </si>
  <si>
    <t>403-4684341-9100316</t>
  </si>
  <si>
    <t>405-6359794-8845948</t>
  </si>
  <si>
    <t>404-0585668-7605924</t>
  </si>
  <si>
    <t>405-5140252-2700363</t>
  </si>
  <si>
    <t>405-5694760-3734737</t>
  </si>
  <si>
    <t>403-0823948-7106755</t>
  </si>
  <si>
    <t>403-8869312-5542720</t>
  </si>
  <si>
    <t>171-0395605-4197937</t>
  </si>
  <si>
    <t>406-6399089-3723519</t>
  </si>
  <si>
    <t>405-3884074-1912342</t>
  </si>
  <si>
    <t>403-7035656-8372302</t>
  </si>
  <si>
    <t>406-1229439-6357914</t>
  </si>
  <si>
    <t>403-4947593-1372365</t>
  </si>
  <si>
    <t>402-4491188-7124367</t>
  </si>
  <si>
    <t>407-1775998-6454709</t>
  </si>
  <si>
    <t>408-8876998-9810704</t>
  </si>
  <si>
    <t>406-0216823-6545905</t>
  </si>
  <si>
    <t>406-1863792-6381102</t>
  </si>
  <si>
    <t>171-1002340-4588349</t>
  </si>
  <si>
    <t>403-2216196-8989933</t>
  </si>
  <si>
    <t>408-4300165-9396326</t>
  </si>
  <si>
    <t>406-8400190-2999545</t>
  </si>
  <si>
    <t>405-9113248-9314745</t>
  </si>
  <si>
    <t>402-5520338-9778758</t>
  </si>
  <si>
    <t>171-5510344-6923543</t>
  </si>
  <si>
    <t>407-0648743-0725138</t>
  </si>
  <si>
    <t>171-4525940-0891507</t>
  </si>
  <si>
    <t>171-5487299-6205113</t>
  </si>
  <si>
    <t>171-3760677-1367533</t>
  </si>
  <si>
    <t>408-3086922-1029106</t>
  </si>
  <si>
    <t>402-4283216-6574726</t>
  </si>
  <si>
    <t>408-0263159-4320328</t>
  </si>
  <si>
    <t>406-2735063-3679501</t>
  </si>
  <si>
    <t>406-1908556-1071530</t>
  </si>
  <si>
    <t>406-0263726-5575551</t>
  </si>
  <si>
    <t>403-0828016-0451506</t>
  </si>
  <si>
    <t>403-3510246-5512302</t>
  </si>
  <si>
    <t>403-1562996-3132350</t>
  </si>
  <si>
    <t>402-1412370-9685169</t>
  </si>
  <si>
    <t>403-0195090-0359513</t>
  </si>
  <si>
    <t>408-4805720-2828314</t>
  </si>
  <si>
    <t>408-1482595-9961958</t>
  </si>
  <si>
    <t>404-0561569-5414723</t>
  </si>
  <si>
    <t>404-9913700-4902721</t>
  </si>
  <si>
    <t>404-6038553-2708307</t>
  </si>
  <si>
    <t>407-3491457-0963526</t>
  </si>
  <si>
    <t>171-9395757-8658715</t>
  </si>
  <si>
    <t>171-5763184-9158761</t>
  </si>
  <si>
    <t>404-3307096-8985128</t>
  </si>
  <si>
    <t>402-1646848-7925135</t>
  </si>
  <si>
    <t>408-6918550-2763518</t>
  </si>
  <si>
    <t>408-0470788-0615524</t>
  </si>
  <si>
    <t>408-4125863-6581125</t>
  </si>
  <si>
    <t>405-1619093-9851565</t>
  </si>
  <si>
    <t>408-3714219-0253939</t>
  </si>
  <si>
    <t>404-8275680-9341960</t>
  </si>
  <si>
    <t>404-6032671-5435545</t>
  </si>
  <si>
    <t>405-6130966-3411567</t>
  </si>
  <si>
    <t>406-0193925-5025108</t>
  </si>
  <si>
    <t>404-5373067-2161925</t>
  </si>
  <si>
    <t>402-8119281-8018720</t>
  </si>
  <si>
    <t>407-1994630-2789904</t>
  </si>
  <si>
    <t>403-4549965-5374727</t>
  </si>
  <si>
    <t>402-0008673-0033151</t>
  </si>
  <si>
    <t>407-4166762-0677156</t>
  </si>
  <si>
    <t>406-8960622-0081958</t>
  </si>
  <si>
    <t>406-0634942-2596333</t>
  </si>
  <si>
    <t>406-5158965-8921161</t>
  </si>
  <si>
    <t>408-5490746-7089139</t>
  </si>
  <si>
    <t>405-7528511-4203536</t>
  </si>
  <si>
    <t>404-4047531-9682767</t>
  </si>
  <si>
    <t>407-2277333-1295519</t>
  </si>
  <si>
    <t>405-6993353-1283507</t>
  </si>
  <si>
    <t>402-7209804-2247548</t>
  </si>
  <si>
    <t>171-2721307-6181962</t>
  </si>
  <si>
    <t>408-4244576-9116343</t>
  </si>
  <si>
    <t>403-6685847-4507544</t>
  </si>
  <si>
    <t>171-1981568-5231569</t>
  </si>
  <si>
    <t>404-0205757-1520336</t>
  </si>
  <si>
    <t>402-2303396-0904316</t>
  </si>
  <si>
    <t>403-3553137-7152321</t>
  </si>
  <si>
    <t>171-7882707-9911529</t>
  </si>
  <si>
    <t>405-1286640-6913124</t>
  </si>
  <si>
    <t>408-1531245-1663517</t>
  </si>
  <si>
    <t>171-9890628-7457933</t>
  </si>
  <si>
    <t>405-6101159-5807544</t>
  </si>
  <si>
    <t>403-5964555-4790764</t>
  </si>
  <si>
    <t>408-2410897-7557123</t>
  </si>
  <si>
    <t>403-6177297-3420318</t>
  </si>
  <si>
    <t>408-8813507-3063501</t>
  </si>
  <si>
    <t>403-1973643-5554719</t>
  </si>
  <si>
    <t>403-8630605-0690769</t>
  </si>
  <si>
    <t>406-8611373-5539557</t>
  </si>
  <si>
    <t>408-2044365-9097967</t>
  </si>
  <si>
    <t>403-8151832-3333941</t>
  </si>
  <si>
    <t>171-2235887-5585145</t>
  </si>
  <si>
    <t>404-3998205-7286762</t>
  </si>
  <si>
    <t>404-5548596-8561152</t>
  </si>
  <si>
    <t>408-0252614-8486701</t>
  </si>
  <si>
    <t>405-5497113-3123502</t>
  </si>
  <si>
    <t>404-4640147-9453139</t>
  </si>
  <si>
    <t>408-1729818-8505930</t>
  </si>
  <si>
    <t>405-3488885-1780355</t>
  </si>
  <si>
    <t>404-3898679-4793931</t>
  </si>
  <si>
    <t>405-0937120-4395504</t>
  </si>
  <si>
    <t>171-3504837-5617119</t>
  </si>
  <si>
    <t>408-2374778-6181118</t>
  </si>
  <si>
    <t>406-5504608-9635536</t>
  </si>
  <si>
    <t>402-1316762-0594717</t>
  </si>
  <si>
    <t>402-1749092-6325957</t>
  </si>
  <si>
    <t>408-3238001-7081138</t>
  </si>
  <si>
    <t>402-8136697-0684301</t>
  </si>
  <si>
    <t>406-8378600-4217138</t>
  </si>
  <si>
    <t>404-2839193-7107551</t>
  </si>
  <si>
    <t>403-8374030-6006715</t>
  </si>
  <si>
    <t>403-6081434-3402708</t>
  </si>
  <si>
    <t>402-3658501-5533112</t>
  </si>
  <si>
    <t>408-7272392-5617143</t>
  </si>
  <si>
    <t>403-8984518-5638700</t>
  </si>
  <si>
    <t>406-4461058-4386706</t>
  </si>
  <si>
    <t>406-9980959-3520369</t>
  </si>
  <si>
    <t>405-5984744-5075555</t>
  </si>
  <si>
    <t>407-6101487-7449166</t>
  </si>
  <si>
    <t>405-4816337-9550701</t>
  </si>
  <si>
    <t>404-0605697-4066746</t>
  </si>
  <si>
    <t>404-1759089-8145144</t>
  </si>
  <si>
    <t>408-6149021-3150762</t>
  </si>
  <si>
    <t>408-0290999-5302701</t>
  </si>
  <si>
    <t>171-7562871-5776336</t>
  </si>
  <si>
    <t>405-4777340-3371531</t>
  </si>
  <si>
    <t>404-5372960-0722709</t>
  </si>
  <si>
    <t>407-2526682-4359517</t>
  </si>
  <si>
    <t>403-6073591-9257102</t>
  </si>
  <si>
    <t>405-2229567-3510707</t>
  </si>
  <si>
    <t>408-7874045-9757902</t>
  </si>
  <si>
    <t>403-6811391-9186758</t>
  </si>
  <si>
    <t>403-6078306-9320314</t>
  </si>
  <si>
    <t>407-4034081-1985949</t>
  </si>
  <si>
    <t>171-3374384-6724310</t>
  </si>
  <si>
    <t>402-4369754-3524352</t>
  </si>
  <si>
    <t>402-9530023-7697127</t>
  </si>
  <si>
    <t>406-6608262-5184312</t>
  </si>
  <si>
    <t>406-6067494-4405113</t>
  </si>
  <si>
    <t>407-6126480-7755547</t>
  </si>
  <si>
    <t>408-3151405-6535513</t>
  </si>
  <si>
    <t>402-3362405-1645124</t>
  </si>
  <si>
    <t>407-7255132-0575516</t>
  </si>
  <si>
    <t>403-6566928-7562711</t>
  </si>
  <si>
    <t>407-5987847-1705915</t>
  </si>
  <si>
    <t>403-5787687-0598730</t>
  </si>
  <si>
    <t>404-9893613-2835503</t>
  </si>
  <si>
    <t>404-7723881-4591532</t>
  </si>
  <si>
    <t>407-9821652-8525912</t>
  </si>
  <si>
    <t>407-4875861-3893165</t>
  </si>
  <si>
    <t>407-6059740-6613143</t>
  </si>
  <si>
    <t>404-6970756-2865919</t>
  </si>
  <si>
    <t>404-6287760-5811531</t>
  </si>
  <si>
    <t>407-3375305-1897959</t>
  </si>
  <si>
    <t>408-9068476-2560348</t>
  </si>
  <si>
    <t>407-8909433-0661906</t>
  </si>
  <si>
    <t>405-3129936-0683547</t>
  </si>
  <si>
    <t>405-6638259-2676369</t>
  </si>
  <si>
    <t>407-7157837-3135527</t>
  </si>
  <si>
    <t>406-2631519-5168319</t>
  </si>
  <si>
    <t>406-0271961-3764362</t>
  </si>
  <si>
    <t>402-2733877-9862735</t>
  </si>
  <si>
    <t>402-0732793-4610749</t>
  </si>
  <si>
    <t>171-4577946-2828333</t>
  </si>
  <si>
    <t>408-9482794-2578763</t>
  </si>
  <si>
    <t>407-5010143-3173104</t>
  </si>
  <si>
    <t>408-6353578-8825133</t>
  </si>
  <si>
    <t>402-7193353-0926754</t>
  </si>
  <si>
    <t>406-1369375-3623565</t>
  </si>
  <si>
    <t>406-5751421-7464360</t>
  </si>
  <si>
    <t>406-2525671-6634725</t>
  </si>
  <si>
    <t>402-1148969-0636313</t>
  </si>
  <si>
    <t>407-1480412-0866746</t>
  </si>
  <si>
    <t>406-1581803-2195535</t>
  </si>
  <si>
    <t>407-1589269-5759523</t>
  </si>
  <si>
    <t>171-0163677-1965150</t>
  </si>
  <si>
    <t>405-5591629-4525126</t>
  </si>
  <si>
    <t>402-2762496-7761108</t>
  </si>
  <si>
    <t>405-3613696-0678764</t>
  </si>
  <si>
    <t>406-8674741-3793158</t>
  </si>
  <si>
    <t>406-3961682-5581168</t>
  </si>
  <si>
    <t>171-9993814-3190752</t>
  </si>
  <si>
    <t>403-1484966-4413950</t>
  </si>
  <si>
    <t>406-2998401-6811569</t>
  </si>
  <si>
    <t>408-0443250-3512362</t>
  </si>
  <si>
    <t>408-1440632-1945912</t>
  </si>
  <si>
    <t>171-2943155-2926761</t>
  </si>
  <si>
    <t>407-0165114-4631534</t>
  </si>
  <si>
    <t>408-0330056-8590708</t>
  </si>
  <si>
    <t>404-8480814-8579555</t>
  </si>
  <si>
    <t>408-9740627-8617114</t>
  </si>
  <si>
    <t>407-9143448-0039516</t>
  </si>
  <si>
    <t>402-6604106-8120327</t>
  </si>
  <si>
    <t>403-9917475-5929124</t>
  </si>
  <si>
    <t>171-8161439-4079513</t>
  </si>
  <si>
    <t>405-3946933-9781937</t>
  </si>
  <si>
    <t>408-3357610-1993157</t>
  </si>
  <si>
    <t>405-2411749-8232351</t>
  </si>
  <si>
    <t>403-5633467-8586744</t>
  </si>
  <si>
    <t>171-3228955-2719539</t>
  </si>
  <si>
    <t>405-9973433-8409167</t>
  </si>
  <si>
    <t>406-1130253-9645148</t>
  </si>
  <si>
    <t>405-9716987-0970701</t>
  </si>
  <si>
    <t>403-1032774-8688341</t>
  </si>
  <si>
    <t>171-0125115-0251504</t>
  </si>
  <si>
    <t>407-6537606-3419529</t>
  </si>
  <si>
    <t>408-0082399-4053916</t>
  </si>
  <si>
    <t>404-6673630-5993956</t>
  </si>
  <si>
    <t>404-5782801-6911546</t>
  </si>
  <si>
    <t>404-5183329-5670702</t>
  </si>
  <si>
    <t>406-8426061-9645149</t>
  </si>
  <si>
    <t>171-7753431-7325114</t>
  </si>
  <si>
    <t>406-9159324-1538737</t>
  </si>
  <si>
    <t>171-3646143-0060353</t>
  </si>
  <si>
    <t>403-0805366-7554750</t>
  </si>
  <si>
    <t>405-6120035-9541123</t>
  </si>
  <si>
    <t>407-1702986-1421937</t>
  </si>
  <si>
    <t>403-8413071-1724308</t>
  </si>
  <si>
    <t>408-3883141-4527531</t>
  </si>
  <si>
    <t>406-4815236-3169110</t>
  </si>
  <si>
    <t>408-1811551-4974757</t>
  </si>
  <si>
    <t>402-6885401-7329145</t>
  </si>
  <si>
    <t>408-4554912-8730752</t>
  </si>
  <si>
    <t>171-4700451-1733943</t>
  </si>
  <si>
    <t>407-9857388-6845100</t>
  </si>
  <si>
    <t>406-0663102-6031540</t>
  </si>
  <si>
    <t>406-5836547-3208327</t>
  </si>
  <si>
    <t>404-0289403-1633154</t>
  </si>
  <si>
    <t>403-3997749-6443569</t>
  </si>
  <si>
    <t>407-3035696-4045959</t>
  </si>
  <si>
    <t>405-3958289-7453141</t>
  </si>
  <si>
    <t>408-9939687-9918717</t>
  </si>
  <si>
    <t>403-0742597-2741165</t>
  </si>
  <si>
    <t>406-7435000-4093964</t>
  </si>
  <si>
    <t>406-9495841-6581130</t>
  </si>
  <si>
    <t>403-9612837-4457931</t>
  </si>
  <si>
    <t>406-2001002-8825957</t>
  </si>
  <si>
    <t>403-9992014-0049967</t>
  </si>
  <si>
    <t>404-2298965-1087513</t>
  </si>
  <si>
    <t>408-6229533-1087567</t>
  </si>
  <si>
    <t>404-9396326-7233962</t>
  </si>
  <si>
    <t>404-9923260-4935541</t>
  </si>
  <si>
    <t>402-3220216-6909135</t>
  </si>
  <si>
    <t>408-9096009-2107540</t>
  </si>
  <si>
    <t>407-1123100-7051559</t>
  </si>
  <si>
    <t>407-6297503-8597161</t>
  </si>
  <si>
    <t>406-6558831-2810709</t>
  </si>
  <si>
    <t>406-8089991-0219519</t>
  </si>
  <si>
    <t>171-0812377-2640321</t>
  </si>
  <si>
    <t>404-5421512-4545151</t>
  </si>
  <si>
    <t>405-1249390-7866716</t>
  </si>
  <si>
    <t>405-2502357-4840334</t>
  </si>
  <si>
    <t>405-1922681-4762747</t>
  </si>
  <si>
    <t>407-8366587-3978700</t>
  </si>
  <si>
    <t>405-8607134-1812312</t>
  </si>
  <si>
    <t>406-0227495-3360339</t>
  </si>
  <si>
    <t>402-0103011-3085929</t>
  </si>
  <si>
    <t>408-2795018-8546722</t>
  </si>
  <si>
    <t>405-6445472-3237166</t>
  </si>
  <si>
    <t>404-7957175-1288342</t>
  </si>
  <si>
    <t>407-9856168-8177132</t>
  </si>
  <si>
    <t>406-0419767-8687515</t>
  </si>
  <si>
    <t>406-4237412-1877937</t>
  </si>
  <si>
    <t>402-4852879-9557936</t>
  </si>
  <si>
    <t>406-1405445-2740331</t>
  </si>
  <si>
    <t>171-6884354-7629106</t>
  </si>
  <si>
    <t>405-8622174-5731520</t>
  </si>
  <si>
    <t>406-2722780-7170744</t>
  </si>
  <si>
    <t>402-5335990-8721117</t>
  </si>
  <si>
    <t>408-7826950-8605131</t>
  </si>
  <si>
    <t>403-5059217-9886714</t>
  </si>
  <si>
    <t>407-0494347-4841919</t>
  </si>
  <si>
    <t>404-2719685-0915526</t>
  </si>
  <si>
    <t>406-2095200-9824314</t>
  </si>
  <si>
    <t>404-2454836-6665164</t>
  </si>
  <si>
    <t>405-6200433-6965164</t>
  </si>
  <si>
    <t>406-5499856-1309108</t>
  </si>
  <si>
    <t>403-7665140-4705964</t>
  </si>
  <si>
    <t>402-2440471-7318708</t>
  </si>
  <si>
    <t>406-3006045-7344308</t>
  </si>
  <si>
    <t>407-8395290-3912311</t>
  </si>
  <si>
    <t>402-0946941-8722759</t>
  </si>
  <si>
    <t>402-1458563-2999526</t>
  </si>
  <si>
    <t>408-6352387-7619502</t>
  </si>
  <si>
    <t>406-3994643-7944343</t>
  </si>
  <si>
    <t>405-1301703-2911523</t>
  </si>
  <si>
    <t>408-9479330-9640353</t>
  </si>
  <si>
    <t>402-3896864-2257960</t>
  </si>
  <si>
    <t>171-1345584-0305913</t>
  </si>
  <si>
    <t>406-5716860-1087513</t>
  </si>
  <si>
    <t>403-4272710-9603542</t>
  </si>
  <si>
    <t>403-0922290-0045902</t>
  </si>
  <si>
    <t>406-1740618-7365108</t>
  </si>
  <si>
    <t>402-0602968-8505152</t>
  </si>
  <si>
    <t>406-9062863-3205963</t>
  </si>
  <si>
    <t>407-3613368-5414714</t>
  </si>
  <si>
    <t>407-4420178-6245108</t>
  </si>
  <si>
    <t>406-4969411-1737120</t>
  </si>
  <si>
    <t>403-9145699-0891532</t>
  </si>
  <si>
    <t>403-9303710-7481931</t>
  </si>
  <si>
    <t>402-3306879-3090710</t>
  </si>
  <si>
    <t>404-3772426-6601163</t>
  </si>
  <si>
    <t>407-6142702-5974757</t>
  </si>
  <si>
    <t>405-9677638-6001110</t>
  </si>
  <si>
    <t>405-3539534-8901924</t>
  </si>
  <si>
    <t>405-3693017-2205908</t>
  </si>
  <si>
    <t>403-0908483-3701163</t>
  </si>
  <si>
    <t>171-3061762-9849126</t>
  </si>
  <si>
    <t>403-0309970-1989164</t>
  </si>
  <si>
    <t>403-1438249-7888320</t>
  </si>
  <si>
    <t>407-1877949-9701954</t>
  </si>
  <si>
    <t>171-9045024-0449125</t>
  </si>
  <si>
    <t>407-7001559-5353144</t>
  </si>
  <si>
    <t>407-9419615-8996338</t>
  </si>
  <si>
    <t>406-0472980-6081900</t>
  </si>
  <si>
    <t>403-2179320-9533162</t>
  </si>
  <si>
    <t>404-2051832-9446748</t>
  </si>
  <si>
    <t>403-1945413-7438713</t>
  </si>
  <si>
    <t>408-8267857-7779506</t>
  </si>
  <si>
    <t>404-4748694-7841146</t>
  </si>
  <si>
    <t>406-2831295-8801146</t>
  </si>
  <si>
    <t>403-5974139-0333955</t>
  </si>
  <si>
    <t>407-7598776-6957125</t>
  </si>
  <si>
    <t>407-7930396-2901166</t>
  </si>
  <si>
    <t>406-3709623-0877957</t>
  </si>
  <si>
    <t>404-9721972-3410748</t>
  </si>
  <si>
    <t>402-7604634-2210752</t>
  </si>
  <si>
    <t>405-3948279-4407517</t>
  </si>
  <si>
    <t>404-3319282-3197160</t>
  </si>
  <si>
    <t>408-3567779-0153960</t>
  </si>
  <si>
    <t>403-5569066-3161917</t>
  </si>
  <si>
    <t>405-3424885-4584343</t>
  </si>
  <si>
    <t>407-4504136-9174763</t>
  </si>
  <si>
    <t>171-4416496-4148317</t>
  </si>
  <si>
    <t>171-1440289-2257118</t>
  </si>
  <si>
    <t>406-5195596-1373150</t>
  </si>
  <si>
    <t>404-6836093-4686708</t>
  </si>
  <si>
    <t>403-3894545-9296345</t>
  </si>
  <si>
    <t>403-9536882-7597936</t>
  </si>
  <si>
    <t>404-7032778-0033125</t>
  </si>
  <si>
    <t>404-9812865-0641953</t>
  </si>
  <si>
    <t>408-8429877-6764327</t>
  </si>
  <si>
    <t>404-6154566-7669146</t>
  </si>
  <si>
    <t>407-8728806-1980300</t>
  </si>
  <si>
    <t>407-6662354-8389920</t>
  </si>
  <si>
    <t>403-8629012-9654726</t>
  </si>
  <si>
    <t>408-6505389-2952366</t>
  </si>
  <si>
    <t>405-1492499-3691547</t>
  </si>
  <si>
    <t>404-0301836-2893148</t>
  </si>
  <si>
    <t>406-4159700-6397165</t>
  </si>
  <si>
    <t>403-2887251-3119564</t>
  </si>
  <si>
    <t>171-7320995-0133908</t>
  </si>
  <si>
    <t>404-5897451-3269135</t>
  </si>
  <si>
    <t>408-9561002-1480339</t>
  </si>
  <si>
    <t>408-0518681-2689902</t>
  </si>
  <si>
    <t>408-5800756-9017154</t>
  </si>
  <si>
    <t>408-9551282-5755521</t>
  </si>
  <si>
    <t>407-1742599-9441940</t>
  </si>
  <si>
    <t>402-4054097-8031537</t>
  </si>
  <si>
    <t>408-0232355-4886745</t>
  </si>
  <si>
    <t>404-4278165-0023508</t>
  </si>
  <si>
    <t>405-5168343-2086729</t>
  </si>
  <si>
    <t>403-1130175-1592300</t>
  </si>
  <si>
    <t>408-4898598-8925109</t>
  </si>
  <si>
    <t>406-3795610-8211533</t>
  </si>
  <si>
    <t>404-7823038-1649938</t>
  </si>
  <si>
    <t>171-1437321-6025112</t>
  </si>
  <si>
    <t>404-7153481-7117115</t>
  </si>
  <si>
    <t>406-1576659-9604322</t>
  </si>
  <si>
    <t>403-5072383-5333948</t>
  </si>
  <si>
    <t>171-5832764-8157106</t>
  </si>
  <si>
    <t>171-8588805-2190744</t>
  </si>
  <si>
    <t>402-1545696-7090760</t>
  </si>
  <si>
    <t>404-1757235-8741164</t>
  </si>
  <si>
    <t>407-0448685-0002722</t>
  </si>
  <si>
    <t>403-1347567-0769932</t>
  </si>
  <si>
    <t>403-2837536-6512347</t>
  </si>
  <si>
    <t>405-6876247-7899530</t>
  </si>
  <si>
    <t>171-4416097-2761962</t>
  </si>
  <si>
    <t>171-0190504-4615525</t>
  </si>
  <si>
    <t>408-4803090-8159534</t>
  </si>
  <si>
    <t>405-8571498-4668327</t>
  </si>
  <si>
    <t>408-5114197-9508305</t>
  </si>
  <si>
    <t>404-1461366-8181146</t>
  </si>
  <si>
    <t>404-7633246-0216359</t>
  </si>
  <si>
    <t>402-5938534-8114768</t>
  </si>
  <si>
    <t>402-1289227-9296359</t>
  </si>
  <si>
    <t>171-4143249-8767551</t>
  </si>
  <si>
    <t>402-3944282-8486765</t>
  </si>
  <si>
    <t>404-8638286-5100333</t>
  </si>
  <si>
    <t>405-2785878-7224331</t>
  </si>
  <si>
    <t>404-0315286-6484371</t>
  </si>
  <si>
    <t>171-6270083-7754715</t>
  </si>
  <si>
    <t>171-1058080-2209107</t>
  </si>
  <si>
    <t>403-4628219-3826724</t>
  </si>
  <si>
    <t>404-7413963-8041919</t>
  </si>
  <si>
    <t>404-9606909-5176336</t>
  </si>
  <si>
    <t>408-9097278-3674767</t>
  </si>
  <si>
    <t>405-6827896-1784369</t>
  </si>
  <si>
    <t>406-6531661-6153918</t>
  </si>
  <si>
    <t>404-7474272-9900307</t>
  </si>
  <si>
    <t>403-0155203-1327546</t>
  </si>
  <si>
    <t>402-6856164-7868363</t>
  </si>
  <si>
    <t>402-0663538-6027557</t>
  </si>
  <si>
    <t>408-6572067-0079511</t>
  </si>
  <si>
    <t>404-8676194-9123566</t>
  </si>
  <si>
    <t>404-6006451-2617908</t>
  </si>
  <si>
    <t>404-1554862-0960354</t>
  </si>
  <si>
    <t>403-3806917-4238763</t>
  </si>
  <si>
    <t>408-3789491-1957141</t>
  </si>
  <si>
    <t>171-0453363-5226718</t>
  </si>
  <si>
    <t>405-5098546-3433146</t>
  </si>
  <si>
    <t>407-5300804-9397959</t>
  </si>
  <si>
    <t>404-3662956-5304335</t>
  </si>
  <si>
    <t>403-0531561-5399516</t>
  </si>
  <si>
    <t>407-9833713-1365951</t>
  </si>
  <si>
    <t>406-1294687-9143544</t>
  </si>
  <si>
    <t>171-6527765-9624365</t>
  </si>
  <si>
    <t>402-1421330-0529137</t>
  </si>
  <si>
    <t>407-8545866-1721954</t>
  </si>
  <si>
    <t>408-0161822-0369956</t>
  </si>
  <si>
    <t>405-8352525-8821134</t>
  </si>
  <si>
    <t>405-9889721-7009107</t>
  </si>
  <si>
    <t>402-2928429-1722767</t>
  </si>
  <si>
    <t>404-4094878-4444358</t>
  </si>
  <si>
    <t>405-3326468-3847539</t>
  </si>
  <si>
    <t>171-3577335-7911510</t>
  </si>
  <si>
    <t>407-6008360-3653945</t>
  </si>
  <si>
    <t>407-4041108-6413924</t>
  </si>
  <si>
    <t>408-0412154-5254702</t>
  </si>
  <si>
    <t>408-5774555-2536339</t>
  </si>
  <si>
    <t>407-9793868-2735551</t>
  </si>
  <si>
    <t>407-8340679-1081117</t>
  </si>
  <si>
    <t>403-3651024-2696305</t>
  </si>
  <si>
    <t>403-4086571-1310731</t>
  </si>
  <si>
    <t>171-8101571-8805130</t>
  </si>
  <si>
    <t>406-2494201-9703566</t>
  </si>
  <si>
    <t>404-2072482-5942738</t>
  </si>
  <si>
    <t>408-1942302-2393124</t>
  </si>
  <si>
    <t>408-4183814-6882753</t>
  </si>
  <si>
    <t>408-3629671-5149134</t>
  </si>
  <si>
    <t>408-9941188-4772351</t>
  </si>
  <si>
    <t>403-2975043-7474732</t>
  </si>
  <si>
    <t>403-0909589-1805112</t>
  </si>
  <si>
    <t>404-1642533-1535566</t>
  </si>
  <si>
    <t>171-8074188-5905928</t>
  </si>
  <si>
    <t>408-0709714-3977134</t>
  </si>
  <si>
    <t>403-6573904-1410705</t>
  </si>
  <si>
    <t>407-8738723-6091537</t>
  </si>
  <si>
    <t>403-6194318-0886738</t>
  </si>
  <si>
    <t>404-4038476-8957102</t>
  </si>
  <si>
    <t>408-7440385-4081138</t>
  </si>
  <si>
    <t>402-6619987-5148350</t>
  </si>
  <si>
    <t>408-9142846-2003544</t>
  </si>
  <si>
    <t>402-2901693-7417911</t>
  </si>
  <si>
    <t>402-5023447-9301130</t>
  </si>
  <si>
    <t>407-2197786-7537161</t>
  </si>
  <si>
    <t>408-7351765-3161135</t>
  </si>
  <si>
    <t>402-8268269-0873160</t>
  </si>
  <si>
    <t>408-7419991-8433140</t>
  </si>
  <si>
    <t>406-4157685-5550726</t>
  </si>
  <si>
    <t>404-2316020-4952337</t>
  </si>
  <si>
    <t>171-0776342-8366747</t>
  </si>
  <si>
    <t>404-2200412-4224329</t>
  </si>
  <si>
    <t>403-8221697-2336339</t>
  </si>
  <si>
    <t>407-5267552-8334724</t>
  </si>
  <si>
    <t>405-3885317-9486701</t>
  </si>
  <si>
    <t>404-1465947-1734721</t>
  </si>
  <si>
    <t>404-6465978-3108303</t>
  </si>
  <si>
    <t>402-9783452-8799547</t>
  </si>
  <si>
    <t>403-3213670-7331515</t>
  </si>
  <si>
    <t>171-3339810-3302729</t>
  </si>
  <si>
    <t>402-9980990-5646704</t>
  </si>
  <si>
    <t>408-2826022-0769111</t>
  </si>
  <si>
    <t>403-9556007-4165919</t>
  </si>
  <si>
    <t>408-7910008-9999528</t>
  </si>
  <si>
    <t>408-3401875-7993916</t>
  </si>
  <si>
    <t>407-9281615-5634760</t>
  </si>
  <si>
    <t>404-2556651-9481937</t>
  </si>
  <si>
    <t>405-6980134-7609120</t>
  </si>
  <si>
    <t>402-7043825-7697146</t>
  </si>
  <si>
    <t>404-9943161-9726723</t>
  </si>
  <si>
    <t>405-6161501-5711536</t>
  </si>
  <si>
    <t>408-1800054-3066726</t>
  </si>
  <si>
    <t>171-3817375-8052351</t>
  </si>
  <si>
    <t>407-8094337-1596367</t>
  </si>
  <si>
    <t>406-0409481-2861165</t>
  </si>
  <si>
    <t>408-5631828-3639533</t>
  </si>
  <si>
    <t>408-4300105-3777130</t>
  </si>
  <si>
    <t>402-2276792-8819531</t>
  </si>
  <si>
    <t>171-5665972-4789900</t>
  </si>
  <si>
    <t>406-9452126-2581966</t>
  </si>
  <si>
    <t>408-0103546-4986735</t>
  </si>
  <si>
    <t>407-2218153-8478768</t>
  </si>
  <si>
    <t>406-7470771-3758762</t>
  </si>
  <si>
    <t>408-8008371-1443500</t>
  </si>
  <si>
    <t>408-5525005-4842704</t>
  </si>
  <si>
    <t>402-6713711-0789936</t>
  </si>
  <si>
    <t>408-3459640-7799567</t>
  </si>
  <si>
    <t>403-1139880-9661117</t>
  </si>
  <si>
    <t>404-2147768-1895562</t>
  </si>
  <si>
    <t>404-1713962-4756362</t>
  </si>
  <si>
    <t>402-2775921-7296350</t>
  </si>
  <si>
    <t>405-6729877-9693936</t>
  </si>
  <si>
    <t>404-7452370-7833959</t>
  </si>
  <si>
    <t>403-4610802-5037953</t>
  </si>
  <si>
    <t>407-8201411-0573143</t>
  </si>
  <si>
    <t>404-3221405-4775529</t>
  </si>
  <si>
    <t>408-2037089-7785934</t>
  </si>
  <si>
    <t>402-7557394-0502723</t>
  </si>
  <si>
    <t>404-3323074-6713955</t>
  </si>
  <si>
    <t>403-0102795-2967514</t>
  </si>
  <si>
    <t>408-3147509-3754740</t>
  </si>
  <si>
    <t>407-4438368-9997139</t>
  </si>
  <si>
    <t>406-5800044-4533905</t>
  </si>
  <si>
    <t>403-6654250-6447565</t>
  </si>
  <si>
    <t>171-7682756-9597956</t>
  </si>
  <si>
    <t>407-9785816-0422762</t>
  </si>
  <si>
    <t>406-2365972-0941918</t>
  </si>
  <si>
    <t>404-6050123-6362721</t>
  </si>
  <si>
    <t>403-4846280-6984311</t>
  </si>
  <si>
    <t>403-5531302-6908308</t>
  </si>
  <si>
    <t>408-5403329-8870708</t>
  </si>
  <si>
    <t>408-1327021-0176335</t>
  </si>
  <si>
    <t>402-2338187-9720319</t>
  </si>
  <si>
    <t>171-1476514-5094705</t>
  </si>
  <si>
    <t>403-9067431-5288301</t>
  </si>
  <si>
    <t>403-3080765-3269909</t>
  </si>
  <si>
    <t>403-4984515-8861958</t>
  </si>
  <si>
    <t>403-0173977-3041148</t>
  </si>
  <si>
    <t>404-3781773-5273155</t>
  </si>
  <si>
    <t>404-8901446-2653111</t>
  </si>
  <si>
    <t>408-6347718-5029952</t>
  </si>
  <si>
    <t>403-9825843-7404304</t>
  </si>
  <si>
    <t>408-7186513-1799530</t>
  </si>
  <si>
    <t>171-3240121-9241919</t>
  </si>
  <si>
    <t>403-9995247-2928350</t>
  </si>
  <si>
    <t>403-2713312-9909901</t>
  </si>
  <si>
    <t>405-8150725-9017959</t>
  </si>
  <si>
    <t>408-5211914-0490753</t>
  </si>
  <si>
    <t>404-3446819-0733165</t>
  </si>
  <si>
    <t>404-0507148-4270713</t>
  </si>
  <si>
    <t>406-1462525-3769134</t>
  </si>
  <si>
    <t>171-5162864-3641937</t>
  </si>
  <si>
    <t>404-0277376-1733949</t>
  </si>
  <si>
    <t>406-0822699-7322749</t>
  </si>
  <si>
    <t>404-5091416-1492320</t>
  </si>
  <si>
    <t>406-9647815-8723542</t>
  </si>
  <si>
    <t>406-0159818-3450761</t>
  </si>
  <si>
    <t>404-9772395-0039531</t>
  </si>
  <si>
    <t>403-6798354-2263530</t>
  </si>
  <si>
    <t>402-1332654-5251565</t>
  </si>
  <si>
    <t>402-0525055-9985118</t>
  </si>
  <si>
    <t>402-4949647-5281130</t>
  </si>
  <si>
    <t>171-5718861-2675548</t>
  </si>
  <si>
    <t>404-2491025-5387539</t>
  </si>
  <si>
    <t>406-3017669-8989931</t>
  </si>
  <si>
    <t>407-0490921-5859564</t>
  </si>
  <si>
    <t>402-5444548-3809964</t>
  </si>
  <si>
    <t>171-5737174-1856332</t>
  </si>
  <si>
    <t>408-8548158-4519552</t>
  </si>
  <si>
    <t>402-9974851-9147523</t>
  </si>
  <si>
    <t>404-2220793-9097120</t>
  </si>
  <si>
    <t>171-9155153-6653959</t>
  </si>
  <si>
    <t>171-5595188-7063520</t>
  </si>
  <si>
    <t>405-6760345-6457136</t>
  </si>
  <si>
    <t>403-3569139-2083525</t>
  </si>
  <si>
    <t>403-5016171-3285148</t>
  </si>
  <si>
    <t>406-9184688-6906737</t>
  </si>
  <si>
    <t>407-1196333-2230765</t>
  </si>
  <si>
    <t>404-9978425-4809103</t>
  </si>
  <si>
    <t>171-9569162-1245942</t>
  </si>
  <si>
    <t>407-7208859-3898727</t>
  </si>
  <si>
    <t>408-9116386-3651541</t>
  </si>
  <si>
    <t>171-7286119-6769964</t>
  </si>
  <si>
    <t>402-2546275-3844326</t>
  </si>
  <si>
    <t>407-5135320-3506755</t>
  </si>
  <si>
    <t>171-9884525-8785141</t>
  </si>
  <si>
    <t>402-5628966-8442711</t>
  </si>
  <si>
    <t>402-6138380-1211540</t>
  </si>
  <si>
    <t>402-0159112-4885968</t>
  </si>
  <si>
    <t>402-1960238-4917133</t>
  </si>
  <si>
    <t>402-9188859-4729952</t>
  </si>
  <si>
    <t>406-5563976-0103545</t>
  </si>
  <si>
    <t>171-3204934-7787534</t>
  </si>
  <si>
    <t>171-3227935-2578752</t>
  </si>
  <si>
    <t>407-5187364-8725950</t>
  </si>
  <si>
    <t>405-8698294-0717140</t>
  </si>
  <si>
    <t>407-2360764-5530758</t>
  </si>
  <si>
    <t>402-3600740-4760302</t>
  </si>
  <si>
    <t>406-4102435-4088307</t>
  </si>
  <si>
    <t>407-1197282-0109105</t>
  </si>
  <si>
    <t>406-8315179-7364362</t>
  </si>
  <si>
    <t>404-5956376-5614708</t>
  </si>
  <si>
    <t>403-0781625-4879500</t>
  </si>
  <si>
    <t>404-9106012-7938733</t>
  </si>
  <si>
    <t>171-8784631-0682742</t>
  </si>
  <si>
    <t>408-6382984-0553131</t>
  </si>
  <si>
    <t>408-3409162-0932334</t>
  </si>
  <si>
    <t>404-0268369-1493116</t>
  </si>
  <si>
    <t>405-7747946-4255535</t>
  </si>
  <si>
    <t>404-4576235-3073169</t>
  </si>
  <si>
    <t>402-9819217-7541123</t>
  </si>
  <si>
    <t>408-9419371-0086756</t>
  </si>
  <si>
    <t>408-2984947-1433156</t>
  </si>
  <si>
    <t>171-4088819-5081132</t>
  </si>
  <si>
    <t>408-7200684-0823516</t>
  </si>
  <si>
    <t>402-6143193-4145139</t>
  </si>
  <si>
    <t>406-2913362-7901131</t>
  </si>
  <si>
    <t>404-3137600-0679501</t>
  </si>
  <si>
    <t>408-0957621-9941156</t>
  </si>
  <si>
    <t>407-3447197-1460332</t>
  </si>
  <si>
    <t>405-1705244-7821124</t>
  </si>
  <si>
    <t>171-9614792-2227508</t>
  </si>
  <si>
    <t>403-8301835-9228321</t>
  </si>
  <si>
    <t>404-2627419-4552336</t>
  </si>
  <si>
    <t>408-3515311-0058764</t>
  </si>
  <si>
    <t>404-3198986-6816347</t>
  </si>
  <si>
    <t>404-6279164-4356352</t>
  </si>
  <si>
    <t>171-9749497-7602720</t>
  </si>
  <si>
    <t>407-9660150-7244310</t>
  </si>
  <si>
    <t>402-8382670-7081102</t>
  </si>
  <si>
    <t>402-3434817-3641933</t>
  </si>
  <si>
    <t>171-9026178-2712338</t>
  </si>
  <si>
    <t>171-1772770-4108334</t>
  </si>
  <si>
    <t>408-4810346-7958738</t>
  </si>
  <si>
    <t>171-5036499-1237961</t>
  </si>
  <si>
    <t>402-9923193-2209157</t>
  </si>
  <si>
    <t>171-8994624-7251518</t>
  </si>
  <si>
    <t>407-1943998-9901109</t>
  </si>
  <si>
    <t>406-4121086-6297136</t>
  </si>
  <si>
    <t>408-7921257-0326734</t>
  </si>
  <si>
    <t>171-5616318-2458723</t>
  </si>
  <si>
    <t>405-9642932-2006758</t>
  </si>
  <si>
    <t>406-5276879-7075555</t>
  </si>
  <si>
    <t>406-1075951-9174722</t>
  </si>
  <si>
    <t>406-1392839-4713138</t>
  </si>
  <si>
    <t>405-0892155-9847536</t>
  </si>
  <si>
    <t>402-6036845-7332322</t>
  </si>
  <si>
    <t>402-2877315-5162760</t>
  </si>
  <si>
    <t>405-6460858-7129966</t>
  </si>
  <si>
    <t>408-1944603-0379557</t>
  </si>
  <si>
    <t>408-0250238-8769138</t>
  </si>
  <si>
    <t>405-9499050-5171500</t>
  </si>
  <si>
    <t>403-0222189-7617901</t>
  </si>
  <si>
    <t>408-5663565-1382716</t>
  </si>
  <si>
    <t>171-1606875-0089905</t>
  </si>
  <si>
    <t>405-1299137-2024328</t>
  </si>
  <si>
    <t>403-0426424-3530756</t>
  </si>
  <si>
    <t>171-5696671-5675553</t>
  </si>
  <si>
    <t>171-9603913-5850730</t>
  </si>
  <si>
    <t>405-8089566-5121109</t>
  </si>
  <si>
    <t>408-2717249-5331517</t>
  </si>
  <si>
    <t>406-0158981-2460343</t>
  </si>
  <si>
    <t>406-6141946-5762720</t>
  </si>
  <si>
    <t>404-3264468-0141160</t>
  </si>
  <si>
    <t>403-9977490-8025947</t>
  </si>
  <si>
    <t>406-4597589-8227527</t>
  </si>
  <si>
    <t>406-2544564-3421918</t>
  </si>
  <si>
    <t>405-4833870-8872327</t>
  </si>
  <si>
    <t>402-7010898-8650751</t>
  </si>
  <si>
    <t>404-9967268-8442740</t>
  </si>
  <si>
    <t>407-1897745-3007529</t>
  </si>
  <si>
    <t>408-4450198-7298706</t>
  </si>
  <si>
    <t>406-8761336-2400326</t>
  </si>
  <si>
    <t>406-3528677-3229155</t>
  </si>
  <si>
    <t>408-8373738-0517923</t>
  </si>
  <si>
    <t>408-1366596-3556334</t>
  </si>
  <si>
    <t>407-6229553-6805162</t>
  </si>
  <si>
    <t>408-4989878-5077108</t>
  </si>
  <si>
    <t>405-5176395-1833943</t>
  </si>
  <si>
    <t>408-2470347-2212333</t>
  </si>
  <si>
    <t>171-8121668-5375518</t>
  </si>
  <si>
    <t>407-1484330-2890736</t>
  </si>
  <si>
    <t>403-1753921-0793124</t>
  </si>
  <si>
    <t>404-6968357-9473147</t>
  </si>
  <si>
    <t>406-5809177-9237945</t>
  </si>
  <si>
    <t>402-1398058-8566735</t>
  </si>
  <si>
    <t>171-8829622-5044318</t>
  </si>
  <si>
    <t>408-4573619-9451545</t>
  </si>
  <si>
    <t>404-9927746-3838701</t>
  </si>
  <si>
    <t>408-4786933-5305914</t>
  </si>
  <si>
    <t>403-7002542-6292300</t>
  </si>
  <si>
    <t>402-6834677-7678748</t>
  </si>
  <si>
    <t>405-5535723-4491520</t>
  </si>
  <si>
    <t>171-8979469-3174739</t>
  </si>
  <si>
    <t>404-7768870-2998735</t>
  </si>
  <si>
    <t>405-2713833-5356345</t>
  </si>
  <si>
    <t>405-4803692-5689168</t>
  </si>
  <si>
    <t>402-3727132-9219540</t>
  </si>
  <si>
    <t>406-2714485-3755510</t>
  </si>
  <si>
    <t>407-1518509-5932309</t>
  </si>
  <si>
    <t>402-8172172-5965943</t>
  </si>
  <si>
    <t>407-2616604-4625963</t>
  </si>
  <si>
    <t>402-6767779-6718718</t>
  </si>
  <si>
    <t>408-3501607-6055523</t>
  </si>
  <si>
    <t>407-3838385-5235523</t>
  </si>
  <si>
    <t>407-6957650-9319552</t>
  </si>
  <si>
    <t>404-4245640-8749126</t>
  </si>
  <si>
    <t>402-3967649-7487511</t>
  </si>
  <si>
    <t>171-4422587-6968347</t>
  </si>
  <si>
    <t>402-5787329-2190764</t>
  </si>
  <si>
    <t>404-2485892-2327537</t>
  </si>
  <si>
    <t>402-8503995-0738737</t>
  </si>
  <si>
    <t>406-6087504-9522731</t>
  </si>
  <si>
    <t>406-4199509-7531504</t>
  </si>
  <si>
    <t>404-3985944-7931524</t>
  </si>
  <si>
    <t>408-1025273-0247564</t>
  </si>
  <si>
    <t>406-9225888-4709100</t>
  </si>
  <si>
    <t>171-9109452-2675541</t>
  </si>
  <si>
    <t>403-9160131-5349911</t>
  </si>
  <si>
    <t>404-7287435-7165939</t>
  </si>
  <si>
    <t>171-5480727-1205935</t>
  </si>
  <si>
    <t>402-2447093-9720315</t>
  </si>
  <si>
    <t>402-1706520-2668317</t>
  </si>
  <si>
    <t>408-2008379-7377111</t>
  </si>
  <si>
    <t>407-6342847-7656313</t>
  </si>
  <si>
    <t>405-0144548-2018718</t>
  </si>
  <si>
    <t>402-4480208-4687517</t>
  </si>
  <si>
    <t>405-0452328-5293956</t>
  </si>
  <si>
    <t>407-7027004-9188308</t>
  </si>
  <si>
    <t>403-4639579-6487563</t>
  </si>
  <si>
    <t>406-8192502-7520314</t>
  </si>
  <si>
    <t>403-1073898-9546707</t>
  </si>
  <si>
    <t>403-8105776-5684353</t>
  </si>
  <si>
    <t>404-4108433-6669958</t>
  </si>
  <si>
    <t>403-7590596-4000312</t>
  </si>
  <si>
    <t>407-7783914-9335507</t>
  </si>
  <si>
    <t>403-9286257-8004308</t>
  </si>
  <si>
    <t>404-6331688-4354744</t>
  </si>
  <si>
    <t>408-6294340-2996314</t>
  </si>
  <si>
    <t>408-4969347-0339535</t>
  </si>
  <si>
    <t>407-8321158-5315544</t>
  </si>
  <si>
    <t>407-6510714-5718730</t>
  </si>
  <si>
    <t>407-1094625-7097121</t>
  </si>
  <si>
    <t>405-4748558-1637124</t>
  </si>
  <si>
    <t>404-6381580-3174701</t>
  </si>
  <si>
    <t>408-9691516-4093948</t>
  </si>
  <si>
    <t>408-0629022-3110717</t>
  </si>
  <si>
    <t>171-6838538-3969101</t>
  </si>
  <si>
    <t>403-0775906-5565915</t>
  </si>
  <si>
    <t>407-4153899-7382706</t>
  </si>
  <si>
    <t>171-4483599-5864338</t>
  </si>
  <si>
    <t>406-3796629-7850767</t>
  </si>
  <si>
    <t>407-4018425-4510751</t>
  </si>
  <si>
    <t>404-4788352-4549943</t>
  </si>
  <si>
    <t>407-6680125-5199552</t>
  </si>
  <si>
    <t>404-9068519-3341955</t>
  </si>
  <si>
    <t>404-2989740-6307522</t>
  </si>
  <si>
    <t>405-1201776-2028340</t>
  </si>
  <si>
    <t>407-3901170-2823565</t>
  </si>
  <si>
    <t>403-0728924-5787551</t>
  </si>
  <si>
    <t>171-5683002-3226742</t>
  </si>
  <si>
    <t>405-9722357-4855551</t>
  </si>
  <si>
    <t>404-3662074-1824331</t>
  </si>
  <si>
    <t>171-2438166-4173142</t>
  </si>
  <si>
    <t>403-6820480-4223500</t>
  </si>
  <si>
    <t>408-1750809-0165118</t>
  </si>
  <si>
    <t>406-7894827-4294713</t>
  </si>
  <si>
    <t>404-5359308-3249144</t>
  </si>
  <si>
    <t>404-9083028-6009116</t>
  </si>
  <si>
    <t>402-8259194-4068347</t>
  </si>
  <si>
    <t>402-4731403-9756349</t>
  </si>
  <si>
    <t>405-6035246-7525132</t>
  </si>
  <si>
    <t>407-5687079-8912352</t>
  </si>
  <si>
    <t>171-3334901-4793937</t>
  </si>
  <si>
    <t>404-6920467-2129930</t>
  </si>
  <si>
    <t>407-3698261-4923526</t>
  </si>
  <si>
    <t>407-4288404-1444330</t>
  </si>
  <si>
    <t>406-9156153-5312334</t>
  </si>
  <si>
    <t>406-0906395-7833969</t>
  </si>
  <si>
    <t>406-0723620-7392369</t>
  </si>
  <si>
    <t>402-2273092-0118706</t>
  </si>
  <si>
    <t>171-3012152-7737908</t>
  </si>
  <si>
    <t>405-9259471-2737922</t>
  </si>
  <si>
    <t>403-1302840-4065911</t>
  </si>
  <si>
    <t>406-1876196-6084306</t>
  </si>
  <si>
    <t>403-4476173-7678703</t>
  </si>
  <si>
    <t>408-4491955-4724349</t>
  </si>
  <si>
    <t>407-1796463-8086729</t>
  </si>
  <si>
    <t>406-7829542-9021933</t>
  </si>
  <si>
    <t>406-0186588-4154733</t>
  </si>
  <si>
    <t>404-5873849-4641152</t>
  </si>
  <si>
    <t>408-3993353-7089909</t>
  </si>
  <si>
    <t>406-1857124-5399558</t>
  </si>
  <si>
    <t>171-9626926-8031529</t>
  </si>
  <si>
    <t>407-1415968-1510750</t>
  </si>
  <si>
    <t>407-6627745-3521958</t>
  </si>
  <si>
    <t>171-8703669-3529120</t>
  </si>
  <si>
    <t>406-4343369-0029133</t>
  </si>
  <si>
    <t>171-8061913-6225930</t>
  </si>
  <si>
    <t>171-1461013-9063520</t>
  </si>
  <si>
    <t>404-7692743-9492368</t>
  </si>
  <si>
    <t>408-1974544-3368326</t>
  </si>
  <si>
    <t>404-7274697-0945121</t>
  </si>
  <si>
    <t>404-2470566-9849124</t>
  </si>
  <si>
    <t>405-6374128-1181128</t>
  </si>
  <si>
    <t>406-0863695-3761934</t>
  </si>
  <si>
    <t>404-4798045-1368313</t>
  </si>
  <si>
    <t>404-0556797-7152320</t>
  </si>
  <si>
    <t>171-8490472-4683523</t>
  </si>
  <si>
    <t>402-8775744-6848303</t>
  </si>
  <si>
    <t>406-7924642-4540354</t>
  </si>
  <si>
    <t>406-3739037-6845925</t>
  </si>
  <si>
    <t>406-3392351-9694753</t>
  </si>
  <si>
    <t>405-3583244-8682738</t>
  </si>
  <si>
    <t>171-1004509-7937963</t>
  </si>
  <si>
    <t>406-5149604-4516314</t>
  </si>
  <si>
    <t>408-4945874-5956363</t>
  </si>
  <si>
    <t>402-8370679-9742754</t>
  </si>
  <si>
    <t>171-9757288-1506730</t>
  </si>
  <si>
    <t>403-3422175-8588361</t>
  </si>
  <si>
    <t>407-0975836-1662751</t>
  </si>
  <si>
    <t>404-5339654-8699521</t>
  </si>
  <si>
    <t>171-8807415-3796339</t>
  </si>
  <si>
    <t>406-2584311-5969914</t>
  </si>
  <si>
    <t>406-6248918-3078743</t>
  </si>
  <si>
    <t>408-8830580-2178742</t>
  </si>
  <si>
    <t>403-7466394-6701159</t>
  </si>
  <si>
    <t>408-8156341-0265959</t>
  </si>
  <si>
    <t>403-5346372-0793900</t>
  </si>
  <si>
    <t>402-2452708-4896329</t>
  </si>
  <si>
    <t>406-7338347-7069951</t>
  </si>
  <si>
    <t>406-0211892-0559536</t>
  </si>
  <si>
    <t>171-7532609-3249907</t>
  </si>
  <si>
    <t>403-6043726-6721132</t>
  </si>
  <si>
    <t>407-1712596-4050755</t>
  </si>
  <si>
    <t>405-8411773-8229162</t>
  </si>
  <si>
    <t>407-7844529-5051537</t>
  </si>
  <si>
    <t>171-3775810-2345913</t>
  </si>
  <si>
    <t>171-9012771-7416351</t>
  </si>
  <si>
    <t>171-9136525-1911525</t>
  </si>
  <si>
    <t>407-6279695-7581901</t>
  </si>
  <si>
    <t>171-6817306-4265116</t>
  </si>
  <si>
    <t>405-7298234-3814730</t>
  </si>
  <si>
    <t>405-4771236-4811503</t>
  </si>
  <si>
    <t>405-2906637-7852340</t>
  </si>
  <si>
    <t>406-6316473-9375528</t>
  </si>
  <si>
    <t>402-1860368-5003561</t>
  </si>
  <si>
    <t>407-7120808-1351527</t>
  </si>
  <si>
    <t>405-8385584-8498728</t>
  </si>
  <si>
    <t>404-8409362-0284368</t>
  </si>
  <si>
    <t>407-3508652-5836322</t>
  </si>
  <si>
    <t>403-7981359-9749924</t>
  </si>
  <si>
    <t>405-7938814-1087509</t>
  </si>
  <si>
    <t>171-5730087-9741116</t>
  </si>
  <si>
    <t>171-1008629-5178746</t>
  </si>
  <si>
    <t>407-1528185-7186758</t>
  </si>
  <si>
    <t>408-1908576-3189123</t>
  </si>
  <si>
    <t>408-8035303-1545928</t>
  </si>
  <si>
    <t>407-9696755-1240327</t>
  </si>
  <si>
    <t>402-1679192-6240356</t>
  </si>
  <si>
    <t>408-1564787-5856337</t>
  </si>
  <si>
    <t>407-3896824-6146758</t>
  </si>
  <si>
    <t>407-6528768-8929920</t>
  </si>
  <si>
    <t>408-5099210-1165148</t>
  </si>
  <si>
    <t>171-6350746-9007558</t>
  </si>
  <si>
    <t>405-6139036-4994745</t>
  </si>
  <si>
    <t>406-6549790-6262739</t>
  </si>
  <si>
    <t>404-1912718-8415550</t>
  </si>
  <si>
    <t>404-2345765-1785110</t>
  </si>
  <si>
    <t>171-9054821-6610735</t>
  </si>
  <si>
    <t>405-8065116-7629144</t>
  </si>
  <si>
    <t>408-2516921-3716311</t>
  </si>
  <si>
    <t>403-3759418-6709126</t>
  </si>
  <si>
    <t>408-4141277-0193956</t>
  </si>
  <si>
    <t>403-9333662-4662730</t>
  </si>
  <si>
    <t>403-0771338-5988312</t>
  </si>
  <si>
    <t>402-6544214-3573969</t>
  </si>
  <si>
    <t>406-9213513-4800327</t>
  </si>
  <si>
    <t>405-0433643-1144349</t>
  </si>
  <si>
    <t>171-7430723-6787516</t>
  </si>
  <si>
    <t>408-2912274-2522734</t>
  </si>
  <si>
    <t>405-0023422-9779521</t>
  </si>
  <si>
    <t>408-7234922-1148318</t>
  </si>
  <si>
    <t>171-0490840-3053915</t>
  </si>
  <si>
    <t>171-6516243-3492354</t>
  </si>
  <si>
    <t>171-7222033-5792320</t>
  </si>
  <si>
    <t>403-4347680-3239550</t>
  </si>
  <si>
    <t>171-6525563-8877103</t>
  </si>
  <si>
    <t>405-3186738-7721118</t>
  </si>
  <si>
    <t>403-1826402-9435560</t>
  </si>
  <si>
    <t>406-6667637-9966753</t>
  </si>
  <si>
    <t>406-8156230-5674718</t>
  </si>
  <si>
    <t>171-1728497-2329143</t>
  </si>
  <si>
    <t>407-1435458-1919510</t>
  </si>
  <si>
    <t>406-6913365-0861962</t>
  </si>
  <si>
    <t>171-2993620-5828353</t>
  </si>
  <si>
    <t>408-2359400-8260316</t>
  </si>
  <si>
    <t>406-1518551-8159546</t>
  </si>
  <si>
    <t>408-6485769-9061154</t>
  </si>
  <si>
    <t>404-2640683-8356316</t>
  </si>
  <si>
    <t>404-5332578-7605138</t>
  </si>
  <si>
    <t>408-7565589-4918732</t>
  </si>
  <si>
    <t>404-4011410-5805159</t>
  </si>
  <si>
    <t>407-7383664-4251535</t>
  </si>
  <si>
    <t>407-8020405-7634731</t>
  </si>
  <si>
    <t>402-8026142-9249964</t>
  </si>
  <si>
    <t>403-4670066-5206731</t>
  </si>
  <si>
    <t>407-8441117-8985143</t>
  </si>
  <si>
    <t>171-5347420-8465156</t>
  </si>
  <si>
    <t>402-2135883-0929113</t>
  </si>
  <si>
    <t>408-4711899-6544333</t>
  </si>
  <si>
    <t>402-1353336-2743504</t>
  </si>
  <si>
    <t>407-2333018-0219523</t>
  </si>
  <si>
    <t>402-7346638-7916354</t>
  </si>
  <si>
    <t>404-8672033-7928356</t>
  </si>
  <si>
    <t>408-9222012-8687508</t>
  </si>
  <si>
    <t>404-2256348-5508312</t>
  </si>
  <si>
    <t>171-7378656-4945136</t>
  </si>
  <si>
    <t>404-0303558-0924362</t>
  </si>
  <si>
    <t>406-8358105-5972367</t>
  </si>
  <si>
    <t>407-3023807-2244342</t>
  </si>
  <si>
    <t>402-8951738-8744317</t>
  </si>
  <si>
    <t>406-6421898-2702741</t>
  </si>
  <si>
    <t>406-0366316-9300365</t>
  </si>
  <si>
    <t>408-0881227-1909157</t>
  </si>
  <si>
    <t>407-3188067-2032310</t>
  </si>
  <si>
    <t>402-3062922-7386738</t>
  </si>
  <si>
    <t>171-9851273-1489902</t>
  </si>
  <si>
    <t>408-1252191-5613126</t>
  </si>
  <si>
    <t>404-0801054-7823531</t>
  </si>
  <si>
    <t>404-7262078-0821950</t>
  </si>
  <si>
    <t>407-6529033-8467555</t>
  </si>
  <si>
    <t>406-8454722-9951509</t>
  </si>
  <si>
    <t>403-8944992-1995506</t>
  </si>
  <si>
    <t>402-7298767-9017923</t>
  </si>
  <si>
    <t>406-1642344-8681967</t>
  </si>
  <si>
    <t>407-3289271-0591501</t>
  </si>
  <si>
    <t>408-0224438-4410712</t>
  </si>
  <si>
    <t>404-1154525-5590710</t>
  </si>
  <si>
    <t>404-8669517-8398769</t>
  </si>
  <si>
    <t>406-4894136-3187553</t>
  </si>
  <si>
    <t>404-6441994-0926721</t>
  </si>
  <si>
    <t>407-3857140-4855515</t>
  </si>
  <si>
    <t>405-1461081-8011538</t>
  </si>
  <si>
    <t>403-7515163-6761163</t>
  </si>
  <si>
    <t>403-0584759-6017139</t>
  </si>
  <si>
    <t>403-5237450-0177141</t>
  </si>
  <si>
    <t>406-5008235-5143521</t>
  </si>
  <si>
    <t>407-6214589-9425930</t>
  </si>
  <si>
    <t>403-3465545-9609165</t>
  </si>
  <si>
    <t>404-0390677-9835569</t>
  </si>
  <si>
    <t>406-3680107-7864353</t>
  </si>
  <si>
    <t>406-2033412-3428322</t>
  </si>
  <si>
    <t>407-1477283-7097144</t>
  </si>
  <si>
    <t>404-0988834-5309963</t>
  </si>
  <si>
    <t>408-4583329-2648319</t>
  </si>
  <si>
    <t>406-8936832-7080327</t>
  </si>
  <si>
    <t>406-9911191-2496369</t>
  </si>
  <si>
    <t>171-7773738-6873157</t>
  </si>
  <si>
    <t>405-9652389-5037110</t>
  </si>
  <si>
    <t>406-3312546-5081907</t>
  </si>
  <si>
    <t>171-4251045-7058753</t>
  </si>
  <si>
    <t>403-7485773-0954712</t>
  </si>
  <si>
    <t>408-0986501-7261937</t>
  </si>
  <si>
    <t>403-3791898-1168357</t>
  </si>
  <si>
    <t>406-6685863-8898746</t>
  </si>
  <si>
    <t>402-0345867-3597105</t>
  </si>
  <si>
    <t>171-6911000-1977146</t>
  </si>
  <si>
    <t>406-8893631-9381900</t>
  </si>
  <si>
    <t>405-6796932-0639547</t>
  </si>
  <si>
    <t>405-0271059-1293107</t>
  </si>
  <si>
    <t>408-5064895-2625909</t>
  </si>
  <si>
    <t>408-3798702-4595521</t>
  </si>
  <si>
    <t>405-4107684-2759554</t>
  </si>
  <si>
    <t>405-3572419-8898708</t>
  </si>
  <si>
    <t>404-7685627-5473113</t>
  </si>
  <si>
    <t>405-4362268-3301143</t>
  </si>
  <si>
    <t>404-6435955-3158734</t>
  </si>
  <si>
    <t>171-7448214-1616361</t>
  </si>
  <si>
    <t>403-9969448-7918748</t>
  </si>
  <si>
    <t>402-6359995-5072333</t>
  </si>
  <si>
    <t>171-6597399-7582729</t>
  </si>
  <si>
    <t>405-5356391-0888357</t>
  </si>
  <si>
    <t>402-6382929-0089967</t>
  </si>
  <si>
    <t>404-4133616-6510719</t>
  </si>
  <si>
    <t>171-2288474-6174729</t>
  </si>
  <si>
    <t>407-5308365-9333954</t>
  </si>
  <si>
    <t>407-3359583-8657937</t>
  </si>
  <si>
    <t>403-4652998-4217920</t>
  </si>
  <si>
    <t>171-0193674-5397974</t>
  </si>
  <si>
    <t>171-6183438-2882702</t>
  </si>
  <si>
    <t>406-9541623-4533155</t>
  </si>
  <si>
    <t>407-1537228-7748360</t>
  </si>
  <si>
    <t>404-9462272-0106738</t>
  </si>
  <si>
    <t>404-1453043-8105162</t>
  </si>
  <si>
    <t>171-2894896-0829140</t>
  </si>
  <si>
    <t>408-4224057-4833140</t>
  </si>
  <si>
    <t>171-3637560-6011516</t>
  </si>
  <si>
    <t>403-1352141-9130751</t>
  </si>
  <si>
    <t>402-5813082-6256358</t>
  </si>
  <si>
    <t>402-0894007-8680326</t>
  </si>
  <si>
    <t>404-0465764-3426704</t>
  </si>
  <si>
    <t>405-7376929-8431531</t>
  </si>
  <si>
    <t>403-6661351-9453959</t>
  </si>
  <si>
    <t>171-7910592-4027504</t>
  </si>
  <si>
    <t>408-5104847-3122755</t>
  </si>
  <si>
    <t>405-1466365-1742736</t>
  </si>
  <si>
    <t>406-3705877-1440321</t>
  </si>
  <si>
    <t>406-3064916-4566740</t>
  </si>
  <si>
    <t>402-5730171-4461904</t>
  </si>
  <si>
    <t>404-5008674-0541137</t>
  </si>
  <si>
    <t>171-5329056-1935521</t>
  </si>
  <si>
    <t>402-9071801-7321147</t>
  </si>
  <si>
    <t>407-0254956-0204378</t>
  </si>
  <si>
    <t>402-1522564-9974760</t>
  </si>
  <si>
    <t>402-6029952-7326765</t>
  </si>
  <si>
    <t>406-7454120-0577940</t>
  </si>
  <si>
    <t>408-9528462-6373103</t>
  </si>
  <si>
    <t>171-5127854-9868331</t>
  </si>
  <si>
    <t>171-8690203-8305108</t>
  </si>
  <si>
    <t>405-7352987-7841152</t>
  </si>
  <si>
    <t>403-4024641-1322716</t>
  </si>
  <si>
    <t>407-5527376-6269119</t>
  </si>
  <si>
    <t>407-1689926-8825916</t>
  </si>
  <si>
    <t>408-1214329-1764333</t>
  </si>
  <si>
    <t>Status</t>
  </si>
  <si>
    <t>Delivered</t>
  </si>
  <si>
    <t>Amazon</t>
  </si>
  <si>
    <t>Flipkart</t>
  </si>
  <si>
    <t>Refunded</t>
  </si>
  <si>
    <t>Cancelled</t>
  </si>
  <si>
    <t>Returned</t>
  </si>
  <si>
    <t>Row Labels</t>
  </si>
  <si>
    <t>Grand Total</t>
  </si>
  <si>
    <t>Count of Order ID</t>
  </si>
  <si>
    <t>Sum of     Amount</t>
  </si>
  <si>
    <t>Tatacliq</t>
  </si>
  <si>
    <t>Snapdeal</t>
  </si>
  <si>
    <t>Croma</t>
  </si>
  <si>
    <t>Vijay Sales</t>
  </si>
  <si>
    <t>Jan</t>
  </si>
  <si>
    <t>Feb</t>
  </si>
  <si>
    <t>Mar</t>
  </si>
  <si>
    <t>Apr</t>
  </si>
  <si>
    <t>May</t>
  </si>
  <si>
    <t>Jun</t>
  </si>
  <si>
    <t>Jul</t>
  </si>
  <si>
    <t>Aug</t>
  </si>
  <si>
    <t>Sep</t>
  </si>
  <si>
    <t>Oct</t>
  </si>
  <si>
    <t>Nov</t>
  </si>
  <si>
    <t>Dec</t>
  </si>
  <si>
    <t xml:space="preserve">ELECTROHUB  STORE </t>
  </si>
  <si>
    <t>Brand</t>
  </si>
  <si>
    <t>Discount %</t>
  </si>
  <si>
    <t>Customer Rating</t>
  </si>
  <si>
    <t>Profit Margin %</t>
  </si>
  <si>
    <t>Warranty Period</t>
  </si>
  <si>
    <t>Dell</t>
  </si>
  <si>
    <t>OnePlus</t>
  </si>
  <si>
    <t>Apple</t>
  </si>
  <si>
    <t>HP</t>
  </si>
  <si>
    <t>Tax%</t>
  </si>
  <si>
    <t>6 Months</t>
  </si>
  <si>
    <t>1 Year</t>
  </si>
  <si>
    <t>Total Sales</t>
  </si>
  <si>
    <t xml:space="preserve">Total Order </t>
  </si>
  <si>
    <t>Buyers by Ages Group</t>
  </si>
  <si>
    <t>Sales By City</t>
  </si>
  <si>
    <t>Sales By Product</t>
  </si>
  <si>
    <t xml:space="preserve">Sales By Category </t>
  </si>
  <si>
    <t>Sales By Month</t>
  </si>
  <si>
    <t>Sum of  Amount</t>
  </si>
  <si>
    <t>Sales by Platfrom</t>
  </si>
  <si>
    <t xml:space="preserve">                     </t>
  </si>
  <si>
    <t xml:space="preserve">        </t>
  </si>
  <si>
    <t>Platform</t>
  </si>
  <si>
    <t xml:space="preserve">  ELECTROHUB  STORE [2025]</t>
  </si>
  <si>
    <t>ELETROHUB 2025</t>
  </si>
  <si>
    <t xml:space="preserve">     3. Focus on laptops , Amazon sales and top-performing cities to increase revenue further.</t>
  </si>
  <si>
    <t xml:space="preserve">     4. Improving delivery performance can enhance customer satisfaction.</t>
  </si>
  <si>
    <t xml:space="preserve">     2. High sales, profit margin and customer ratings indicate healthy growth.</t>
  </si>
  <si>
    <t xml:space="preserve">     1. The Business performed strongly in 2025.</t>
  </si>
  <si>
    <t>Introduction</t>
  </si>
  <si>
    <t xml:space="preserve">"This dashboard provides a complete overview of ElectroHub Store's sales performance for 2025. </t>
  </si>
  <si>
    <t>It helps management track sales, customer behavior, delivery performance, and profitability."</t>
  </si>
  <si>
    <t xml:space="preserve">        1.Total sales are ₹43.60 Crore from 1,560 orders.</t>
  </si>
  <si>
    <t xml:space="preserve">        3. Laptops were the best-selling product category.</t>
  </si>
  <si>
    <t xml:space="preserve">        2. Amazon generate the highest sales among all channels. </t>
  </si>
  <si>
    <t xml:space="preserve">        5. Customer rating of 4.6 and delivery success rate of 90% indicate strong customer satisfaction.</t>
  </si>
  <si>
    <t xml:space="preserve">        4. Sales peaked during April, July,October and December.</t>
  </si>
  <si>
    <t xml:space="preserve"> ELETROHUB 2025</t>
  </si>
  <si>
    <t xml:space="preserve"> R  E  P  O  R  T      A  N  A  L  Y  S  I  S     2 0 2 5</t>
  </si>
  <si>
    <t>CONCLUSION</t>
  </si>
  <si>
    <t xml:space="preserve"> KEY INSIGHTS </t>
  </si>
  <si>
    <t xml:space="preserve">THANKYOU  </t>
  </si>
  <si>
    <t xml:space="preserve"> overall performance.</t>
  </si>
  <si>
    <t>The dashboard presents key business metrics in a simple and visual format, making it easier to monitor</t>
  </si>
  <si>
    <t>It highlights sales trends, top-selling products, customer purchasing patterns, and regional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</si>
</sst>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 &quot;₹&quot;\ * #,##0.00_ ;_ &quot;₹&quot;\ * \-#,##0.00_ ;_ &quot;₹&quot;\ * &quot;-&quot;??_ ;_ @_ "/>
    <numFmt numFmtId="164" formatCode="_ [$₹-4009]\ * #,##0.00_ ;_ [$₹-4009]\ * \-#,##0.00_ ;_ [$₹-4009]\ * &quot;-&quot;??_ ;_ @_ "/>
    <numFmt numFmtId="165" formatCode="0.0"/>
  </numFmts>
  <fonts count="22" x14ac:knownFonts="1">
    <font>
      <sz val="11"/>
      <color theme="1"/>
      <name val="Calibri"/>
      <family val="2"/>
      <scheme val="minor"/>
    </font>
    <font>
      <sz val="11"/>
      <color theme="1"/>
      <name val="Calibri"/>
      <family val="2"/>
      <scheme val="minor"/>
    </font>
    <font>
      <sz val="11"/>
      <color theme="1"/>
      <name val="Bahnschrift Condensed"/>
      <family val="2"/>
    </font>
    <font>
      <b/>
      <i/>
      <sz val="11"/>
      <color theme="1"/>
      <name val="Calibri"/>
      <family val="2"/>
      <scheme val="minor"/>
    </font>
    <font>
      <b/>
      <sz val="11"/>
      <color theme="1"/>
      <name val="Bahnschrift Condensed"/>
      <family val="2"/>
    </font>
    <font>
      <b/>
      <sz val="11"/>
      <color theme="0"/>
      <name val="Bahnschrift Condensed"/>
      <family val="2"/>
    </font>
    <font>
      <sz val="11"/>
      <name val="Bahnschrift Condensed"/>
      <family val="2"/>
    </font>
    <font>
      <sz val="11"/>
      <color theme="0"/>
      <name val="Calibri"/>
      <family val="2"/>
      <scheme val="minor"/>
    </font>
    <font>
      <b/>
      <sz val="11"/>
      <color theme="1"/>
      <name val="Footlight MT Light"/>
      <family val="1"/>
    </font>
    <font>
      <sz val="11"/>
      <color theme="1"/>
      <name val="Footlight MT Light"/>
      <family val="1"/>
    </font>
    <font>
      <b/>
      <sz val="16"/>
      <color theme="0"/>
      <name val="Footlight MT Light"/>
      <family val="1"/>
    </font>
    <font>
      <b/>
      <sz val="18"/>
      <color theme="0"/>
      <name val="Footlight MT Light"/>
      <family val="1"/>
    </font>
    <font>
      <b/>
      <i/>
      <sz val="20"/>
      <color theme="0"/>
      <name val="Footlight MT Light"/>
      <family val="1"/>
    </font>
    <font>
      <sz val="22"/>
      <color theme="0"/>
      <name val="Footlight MT Light"/>
      <family val="1"/>
    </font>
    <font>
      <b/>
      <sz val="9"/>
      <color theme="1"/>
      <name val="Footlight MT Light"/>
      <family val="1"/>
    </font>
    <font>
      <b/>
      <sz val="20"/>
      <color theme="0"/>
      <name val="Footlight MT Light"/>
      <family val="1"/>
    </font>
    <font>
      <b/>
      <i/>
      <sz val="22"/>
      <color theme="0"/>
      <name val="Footlight MT Light"/>
      <family val="1"/>
    </font>
    <font>
      <b/>
      <i/>
      <sz val="22"/>
      <color theme="1" tint="4.9989318521683403E-2"/>
      <name val="Footlight MT Light"/>
      <family val="1"/>
    </font>
    <font>
      <sz val="16"/>
      <color theme="0"/>
      <name val="Footlight MT Light"/>
      <family val="1"/>
    </font>
    <font>
      <sz val="11"/>
      <color theme="0"/>
      <name val="Footlight MT Light"/>
      <family val="1"/>
    </font>
    <font>
      <b/>
      <i/>
      <sz val="26"/>
      <color theme="0"/>
      <name val="Footlight MT Light"/>
      <family val="1"/>
    </font>
    <font>
      <b/>
      <i/>
      <sz val="26"/>
      <color theme="1"/>
      <name val="Footlight MT Light"/>
      <family val="1"/>
    </font>
  </fonts>
  <fills count="10">
    <fill>
      <patternFill patternType="none"/>
    </fill>
    <fill>
      <patternFill patternType="gray125"/>
    </fill>
    <fill>
      <patternFill patternType="solid">
        <fgColor theme="8" tint="0.39997558519241921"/>
        <bgColor indexed="64"/>
      </patternFill>
    </fill>
    <fill>
      <patternFill patternType="solid">
        <fgColor theme="1"/>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249977111117893"/>
        <bgColor indexed="64"/>
      </patternFill>
    </fill>
    <fill>
      <patternFill patternType="solid">
        <fgColor theme="4"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44" fontId="1" fillId="0" borderId="0" applyFont="0" applyFill="0" applyBorder="0" applyAlignment="0" applyProtection="0"/>
  </cellStyleXfs>
  <cellXfs count="69">
    <xf numFmtId="0" fontId="0" fillId="0" borderId="0" xfId="0"/>
    <xf numFmtId="0" fontId="2" fillId="0" borderId="1" xfId="0" applyFont="1" applyBorder="1"/>
    <xf numFmtId="0" fontId="0" fillId="0" borderId="0" xfId="0" pivotButton="1"/>
    <xf numFmtId="0" fontId="0" fillId="0" borderId="0" xfId="0" applyAlignment="1">
      <alignment horizontal="left"/>
    </xf>
    <xf numFmtId="0" fontId="0" fillId="0" borderId="0" xfId="0" applyNumberFormat="1"/>
    <xf numFmtId="0" fontId="2" fillId="0" borderId="3" xfId="0" applyFont="1" applyBorder="1"/>
    <xf numFmtId="0" fontId="2" fillId="0" borderId="4" xfId="0" applyFont="1" applyBorder="1"/>
    <xf numFmtId="0" fontId="2" fillId="0" borderId="5" xfId="0" applyFont="1" applyBorder="1"/>
    <xf numFmtId="0" fontId="4" fillId="3" borderId="3" xfId="0" applyFont="1" applyFill="1" applyBorder="1"/>
    <xf numFmtId="0" fontId="4" fillId="3" borderId="1" xfId="0" applyFont="1" applyFill="1" applyBorder="1"/>
    <xf numFmtId="0" fontId="4" fillId="3" borderId="0" xfId="0" applyFont="1" applyFill="1"/>
    <xf numFmtId="0" fontId="4" fillId="3" borderId="1" xfId="0" applyFont="1" applyFill="1" applyBorder="1" applyAlignment="1">
      <alignment horizontal="center"/>
    </xf>
    <xf numFmtId="44" fontId="4" fillId="3" borderId="1" xfId="1" applyFont="1" applyFill="1" applyBorder="1" applyAlignment="1">
      <alignment horizontal="center"/>
    </xf>
    <xf numFmtId="44" fontId="4" fillId="3" borderId="2" xfId="1" applyFont="1" applyFill="1" applyBorder="1" applyAlignment="1">
      <alignment horizontal="center"/>
    </xf>
    <xf numFmtId="0" fontId="0" fillId="0" borderId="0" xfId="0"/>
    <xf numFmtId="0" fontId="5" fillId="3" borderId="0" xfId="0" applyFont="1" applyFill="1"/>
    <xf numFmtId="14" fontId="2" fillId="0" borderId="2" xfId="0" applyNumberFormat="1" applyFont="1" applyBorder="1" applyAlignment="1">
      <alignment horizontal="center"/>
    </xf>
    <xf numFmtId="0" fontId="6" fillId="0" borderId="0" xfId="0" applyFont="1"/>
    <xf numFmtId="0" fontId="2" fillId="0" borderId="3" xfId="0" applyFont="1" applyBorder="1" applyAlignment="1">
      <alignment horizontal="center"/>
    </xf>
    <xf numFmtId="0" fontId="2" fillId="0" borderId="1" xfId="0" applyFont="1" applyBorder="1" applyAlignment="1">
      <alignment horizontal="center"/>
    </xf>
    <xf numFmtId="3" fontId="2" fillId="0" borderId="1" xfId="0" applyNumberFormat="1" applyFont="1" applyBorder="1" applyAlignment="1">
      <alignment horizontal="center"/>
    </xf>
    <xf numFmtId="164" fontId="4" fillId="0" borderId="1" xfId="1" applyNumberFormat="1" applyFont="1" applyBorder="1" applyAlignment="1">
      <alignment horizontal="right"/>
    </xf>
    <xf numFmtId="0" fontId="2" fillId="0" borderId="0" xfId="0" applyFont="1"/>
    <xf numFmtId="44" fontId="2" fillId="0" borderId="0" xfId="1" applyFont="1"/>
    <xf numFmtId="14" fontId="2" fillId="0" borderId="6" xfId="0" applyNumberFormat="1"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3" fontId="2" fillId="0" borderId="5" xfId="0" applyNumberFormat="1" applyFont="1" applyBorder="1" applyAlignment="1">
      <alignment horizontal="center"/>
    </xf>
    <xf numFmtId="164" fontId="4" fillId="0" borderId="5" xfId="1" applyNumberFormat="1" applyFont="1" applyBorder="1" applyAlignment="1">
      <alignment horizontal="right"/>
    </xf>
    <xf numFmtId="0" fontId="5" fillId="3" borderId="0" xfId="0" applyFont="1" applyFill="1" applyAlignment="1">
      <alignment horizontal="center" wrapText="1"/>
    </xf>
    <xf numFmtId="44" fontId="4" fillId="3" borderId="7" xfId="1" applyFont="1" applyFill="1" applyBorder="1" applyAlignment="1">
      <alignment horizontal="center" wrapText="1"/>
    </xf>
    <xf numFmtId="44" fontId="5" fillId="3" borderId="0" xfId="1" applyFont="1" applyFill="1"/>
    <xf numFmtId="44" fontId="0" fillId="0" borderId="0" xfId="1" applyFont="1"/>
    <xf numFmtId="0" fontId="0" fillId="0" borderId="0" xfId="0"/>
    <xf numFmtId="0" fontId="0" fillId="4" borderId="1" xfId="0" applyFill="1" applyBorder="1"/>
    <xf numFmtId="44" fontId="0" fillId="4" borderId="1" xfId="0" applyNumberFormat="1" applyFill="1" applyBorder="1"/>
    <xf numFmtId="0" fontId="7" fillId="2" borderId="1" xfId="0" applyFont="1" applyFill="1" applyBorder="1" applyAlignment="1">
      <alignment horizontal="left"/>
    </xf>
    <xf numFmtId="0" fontId="0" fillId="6" borderId="0" xfId="0" applyFill="1"/>
    <xf numFmtId="165" fontId="0" fillId="0" borderId="0" xfId="0" applyNumberFormat="1"/>
    <xf numFmtId="0" fontId="0" fillId="7" borderId="0" xfId="0" applyFill="1"/>
    <xf numFmtId="0" fontId="0" fillId="0" borderId="0" xfId="0"/>
    <xf numFmtId="0" fontId="0" fillId="0" borderId="0" xfId="0" applyAlignment="1"/>
    <xf numFmtId="0" fontId="0" fillId="4" borderId="0" xfId="0" applyFill="1"/>
    <xf numFmtId="0" fontId="0" fillId="4" borderId="0" xfId="0" applyFill="1" applyAlignment="1"/>
    <xf numFmtId="0" fontId="0" fillId="7" borderId="0" xfId="0" applyFill="1" applyAlignment="1"/>
    <xf numFmtId="0" fontId="0" fillId="9" borderId="0" xfId="0" applyFill="1"/>
    <xf numFmtId="0" fontId="0" fillId="8" borderId="0" xfId="0" applyFill="1"/>
    <xf numFmtId="0" fontId="12" fillId="8" borderId="0" xfId="0" applyFont="1" applyFill="1" applyAlignment="1">
      <alignment vertical="center" textRotation="180"/>
    </xf>
    <xf numFmtId="0" fontId="13" fillId="8" borderId="0" xfId="0" applyFont="1" applyFill="1" applyAlignment="1">
      <alignment vertical="center" textRotation="180"/>
    </xf>
    <xf numFmtId="0" fontId="9" fillId="4" borderId="0" xfId="0" applyFont="1" applyFill="1" applyAlignment="1">
      <alignment horizontal="center"/>
    </xf>
    <xf numFmtId="0" fontId="0" fillId="0" borderId="0" xfId="0"/>
    <xf numFmtId="0" fontId="0" fillId="0" borderId="0" xfId="0"/>
    <xf numFmtId="0" fontId="0" fillId="9" borderId="0" xfId="0" applyFill="1"/>
    <xf numFmtId="0" fontId="9" fillId="9" borderId="0" xfId="0" applyFont="1" applyFill="1"/>
    <xf numFmtId="0" fontId="9" fillId="9" borderId="0" xfId="0" applyFont="1" applyFill="1" applyAlignment="1"/>
    <xf numFmtId="0" fontId="15" fillId="3" borderId="0" xfId="0" applyFont="1" applyFill="1" applyAlignment="1">
      <alignment horizontal="center" vertical="center"/>
    </xf>
    <xf numFmtId="0" fontId="16" fillId="5" borderId="0" xfId="0" applyFont="1" applyFill="1" applyBorder="1" applyAlignment="1">
      <alignment horizontal="center" vertical="center"/>
    </xf>
    <xf numFmtId="0" fontId="17" fillId="5" borderId="0" xfId="0" applyFont="1" applyFill="1" applyBorder="1" applyAlignment="1">
      <alignment horizontal="center" vertical="center"/>
    </xf>
    <xf numFmtId="0" fontId="3" fillId="4" borderId="1" xfId="0" applyFont="1" applyFill="1" applyBorder="1" applyAlignment="1">
      <alignment horizontal="center"/>
    </xf>
    <xf numFmtId="0" fontId="0" fillId="0" borderId="0" xfId="0"/>
    <xf numFmtId="0" fontId="0" fillId="4" borderId="1" xfId="0" applyFill="1" applyBorder="1" applyAlignment="1">
      <alignment horizontal="center"/>
    </xf>
    <xf numFmtId="0" fontId="20" fillId="5" borderId="0" xfId="0" applyFont="1" applyFill="1" applyAlignment="1">
      <alignment horizontal="center" vertical="center"/>
    </xf>
    <xf numFmtId="0" fontId="21" fillId="5" borderId="0" xfId="0" applyFont="1" applyFill="1" applyAlignment="1">
      <alignment horizontal="center" vertical="center"/>
    </xf>
    <xf numFmtId="0" fontId="18" fillId="3" borderId="0" xfId="0" applyFont="1" applyFill="1" applyAlignment="1">
      <alignment horizontal="center" vertical="center" textRotation="255"/>
    </xf>
    <xf numFmtId="0" fontId="19" fillId="3" borderId="0" xfId="0" applyFont="1" applyFill="1" applyAlignment="1">
      <alignment horizontal="center" vertical="center"/>
    </xf>
    <xf numFmtId="0" fontId="14" fillId="4" borderId="0" xfId="0" applyFont="1" applyFill="1" applyAlignment="1">
      <alignment horizontal="left" vertical="center"/>
    </xf>
    <xf numFmtId="0" fontId="11" fillId="8" borderId="0" xfId="0" applyFont="1" applyFill="1" applyAlignment="1">
      <alignment horizontal="center" vertical="center"/>
    </xf>
    <xf numFmtId="0" fontId="10" fillId="8" borderId="0" xfId="0" applyFont="1" applyFill="1" applyAlignment="1">
      <alignment horizontal="center" vertical="center"/>
    </xf>
    <xf numFmtId="0" fontId="8" fillId="4" borderId="0" xfId="0" applyFont="1" applyFill="1" applyAlignment="1">
      <alignment horizontal="left" vertical="center"/>
    </xf>
  </cellXfs>
  <cellStyles count="2">
    <cellStyle name="Currency" xfId="1" builtinId="4"/>
    <cellStyle name="Normal" xfId="0" builtinId="0"/>
  </cellStyles>
  <dxfs count="22">
    <dxf>
      <font>
        <strike val="0"/>
        <outline val="0"/>
        <shadow val="0"/>
        <u val="none"/>
        <vertAlign val="baseline"/>
        <sz val="11"/>
        <color theme="1"/>
        <name val="Bahnschrift Condensed"/>
        <scheme val="none"/>
      </font>
    </dxf>
    <dxf>
      <font>
        <b val="0"/>
        <i val="0"/>
        <strike val="0"/>
        <condense val="0"/>
        <extend val="0"/>
        <outline val="0"/>
        <shadow val="0"/>
        <u val="none"/>
        <vertAlign val="baseline"/>
        <sz val="11"/>
        <color theme="1"/>
        <name val="Bahnschrift Condensed"/>
        <scheme val="none"/>
      </font>
    </dxf>
    <dxf>
      <font>
        <strike val="0"/>
        <outline val="0"/>
        <shadow val="0"/>
        <u val="none"/>
        <vertAlign val="baseline"/>
        <sz val="11"/>
        <name val="Bahnschrift Condensed"/>
        <scheme val="none"/>
      </font>
      <numFmt numFmtId="0" formatCode="General"/>
    </dxf>
    <dxf>
      <font>
        <strike val="0"/>
        <outline val="0"/>
        <shadow val="0"/>
        <u val="none"/>
        <vertAlign val="baseline"/>
        <sz val="11"/>
        <name val="Bahnschrift Condensed"/>
        <scheme val="none"/>
      </font>
      <numFmt numFmtId="34" formatCode="_ &quot;₹&quot;\ * #,##0.00_ ;_ &quot;₹&quot;\ * \-#,##0.00_ ;_ &quot;₹&quot;\ * &quot;-&quot;??_ ;_ @_ "/>
    </dxf>
    <dxf>
      <font>
        <strike val="0"/>
        <outline val="0"/>
        <shadow val="0"/>
        <u val="none"/>
        <vertAlign val="baseline"/>
        <sz val="11"/>
        <color theme="1"/>
        <name val="Bahnschrift Condensed"/>
        <scheme val="none"/>
      </font>
    </dxf>
    <dxf>
      <font>
        <b/>
        <i val="0"/>
        <strike val="0"/>
        <condense val="0"/>
        <extend val="0"/>
        <outline val="0"/>
        <shadow val="0"/>
        <u val="none"/>
        <vertAlign val="baseline"/>
        <sz val="11"/>
        <color theme="1"/>
        <name val="Bahnschrift Condensed"/>
        <scheme val="none"/>
      </font>
      <numFmt numFmtId="164" formatCode="_ [$₹-4009]\ * #,##0.00_ ;_ [$₹-4009]\ * \-#,##0.00_ ;_ [$₹-4009]\ * &quot;-&quot;??_ ;_ @_ "/>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b/>
        <strike val="0"/>
        <condense val="0"/>
        <extend val="0"/>
        <outline val="0"/>
        <shadow val="0"/>
        <u val="none"/>
        <vertAlign val="baseline"/>
        <sz val="11"/>
        <color theme="1"/>
        <name val="Bahnschrift Condensed"/>
        <scheme val="none"/>
      </font>
      <numFmt numFmtId="164" formatCode="_ [$₹-4009]\ * #,##0.00_ ;_ [$₹-4009]\ * \-#,##0.00_ ;_ [$₹-4009]\ * &quot;-&quot;??_ ;_ @_ "/>
      <alignment horizontal="right" vertical="bottom"/>
      <border outline="0">
        <left style="thin">
          <color indexed="64"/>
        </left>
        <right/>
        <top style="thin">
          <color indexed="64"/>
        </top>
        <bottom style="thin">
          <color indexed="64"/>
        </bottom>
      </border>
    </dxf>
    <dxf>
      <font>
        <strike val="0"/>
        <condense val="0"/>
        <extend val="0"/>
        <outline val="0"/>
        <shadow val="0"/>
        <u val="none"/>
        <vertAlign val="baseline"/>
        <sz val="11"/>
        <color theme="1"/>
        <name val="Bahnschrift Condensed"/>
        <scheme val="none"/>
      </font>
      <numFmt numFmtId="3" formatCode="#,##0"/>
      <alignment horizontal="center" vertical="bottom"/>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1"/>
        <color theme="1"/>
        <name val="Bahnschrift Condensed"/>
        <scheme val="none"/>
      </font>
      <alignment horizontal="center" vertical="bottom"/>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1"/>
        <color theme="1"/>
        <name val="Bahnschrift Condensed"/>
        <scheme val="none"/>
      </font>
      <alignment horizontal="center" vertical="bottom"/>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1"/>
        <color theme="1"/>
        <name val="Bahnschrift Condensed"/>
        <scheme val="none"/>
      </font>
      <alignment horizontal="center" vertical="bottom"/>
      <border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Bahnschrift Condensed"/>
        <scheme val="none"/>
      </font>
      <border diagonalUp="0" diagonalDown="0" outline="0">
        <left/>
        <right style="thin">
          <color indexed="64"/>
        </right>
        <top style="thin">
          <color indexed="64"/>
        </top>
        <bottom style="thin">
          <color indexed="64"/>
        </bottom>
      </border>
    </dxf>
    <dxf>
      <font>
        <strike val="0"/>
        <condense val="0"/>
        <extend val="0"/>
        <outline val="0"/>
        <shadow val="0"/>
        <u val="none"/>
        <vertAlign val="baseline"/>
        <sz val="11"/>
        <color theme="1"/>
        <name val="Bahnschrift Condensed"/>
        <scheme val="none"/>
      </font>
      <border outline="0">
        <left style="thin">
          <color indexed="64"/>
        </left>
        <right/>
        <top style="thin">
          <color indexed="64"/>
        </top>
        <bottom style="thin">
          <color indexed="64"/>
        </bottom>
      </border>
    </dxf>
    <dxf>
      <font>
        <strike val="0"/>
        <condense val="0"/>
        <extend val="0"/>
        <outline val="0"/>
        <shadow val="0"/>
        <u val="none"/>
        <vertAlign val="baseline"/>
        <sz val="11"/>
        <color theme="1"/>
        <name val="Bahnschrift Condensed"/>
        <scheme val="none"/>
      </font>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1"/>
        <color theme="1"/>
        <name val="Bahnschrift Condensed"/>
        <scheme val="none"/>
      </font>
      <numFmt numFmtId="19" formatCode="dd/mm/yyyy"/>
      <alignment horizontal="center" vertical="bottom"/>
      <border outline="0">
        <left style="thin">
          <color indexed="64"/>
        </left>
        <right/>
        <top style="thin">
          <color indexed="64"/>
        </top>
        <bottom style="thin">
          <color indexed="64"/>
        </bottom>
      </border>
    </dxf>
    <dxf>
      <font>
        <strike val="0"/>
        <condense val="0"/>
        <extend val="0"/>
        <outline val="0"/>
        <shadow val="0"/>
        <u val="none"/>
        <vertAlign val="baseline"/>
        <sz val="11"/>
        <color theme="1"/>
        <name val="Bahnschrift Condensed"/>
        <scheme val="none"/>
      </font>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1"/>
        <color theme="1"/>
        <name val="Bahnschrift Condensed"/>
        <scheme val="none"/>
      </font>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1"/>
        <color theme="1"/>
        <name val="Bahnschrift Condensed"/>
        <scheme val="none"/>
      </font>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1"/>
        <color theme="1"/>
        <name val="Bahnschrift Condensed"/>
        <scheme val="none"/>
      </font>
      <border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Bahnschrift Condensed"/>
        <scheme val="none"/>
      </font>
    </dxf>
    <dxf>
      <font>
        <b/>
        <strike val="0"/>
        <condense val="0"/>
        <extend val="0"/>
        <outline val="0"/>
        <shadow val="0"/>
        <u val="none"/>
        <vertAlign val="baseline"/>
        <sz val="11"/>
        <color theme="1"/>
        <name val="Bahnschrift Condensed"/>
        <scheme val="none"/>
      </font>
      <fill>
        <patternFill patternType="solid">
          <fgColor indexed="64"/>
          <bgColor theme="1"/>
        </patternFill>
      </fill>
      <alignment horizontal="center" vertical="bottom"/>
      <border outline="0">
        <left style="thin">
          <color indexed="64"/>
        </left>
        <right style="thin">
          <color indexed="64"/>
        </right>
        <top/>
        <bottom/>
      </border>
    </dxf>
  </dxfs>
  <tableStyles count="0" defaultTableStyle="TableStyleMedium2" defaultPivotStyle="PivotStyleLight16"/>
  <colors>
    <mruColors>
      <color rgb="FFFF0000"/>
      <color rgb="FFCC66FF"/>
      <color rgb="FFECE66E"/>
      <color rgb="FFFF99FF"/>
      <color rgb="FF7ABC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[My Dashboard 2..xlsx]PIVOT TABLES!PivotTable6</c:name>
    <c:fmtId val="3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i="1">
                <a:solidFill>
                  <a:schemeClr val="tx1"/>
                </a:solidFill>
              </a:rPr>
              <a:t>SALES</a:t>
            </a:r>
            <a:r>
              <a:rPr lang="en-US" sz="1200" b="1" i="1" baseline="0">
                <a:solidFill>
                  <a:schemeClr val="tx1"/>
                </a:solidFill>
              </a:rPr>
              <a:t> BY CATEGORY</a:t>
            </a:r>
            <a:endParaRPr lang="en-US" sz="1200" b="1" i="1">
              <a:solidFill>
                <a:schemeClr val="tx1"/>
              </a:solidFill>
            </a:endParaRPr>
          </a:p>
        </c:rich>
      </c:tx>
      <c:layout>
        <c:manualLayout>
          <c:xMode val="edge"/>
          <c:yMode val="edge"/>
          <c:x val="0.66038880140230427"/>
          <c:y val="3.1194365974511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92D050"/>
          </a:solidFill>
          <a:ln>
            <a:noFill/>
          </a:ln>
          <a:effectLst/>
        </c:spPr>
        <c:marker>
          <c:symbol val="none"/>
        </c:marker>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324759405074362"/>
          <c:y val="0.2202989209682123"/>
          <c:w val="0.83008573928258966"/>
          <c:h val="0.57610017497812771"/>
        </c:manualLayout>
      </c:layout>
      <c:barChart>
        <c:barDir val="col"/>
        <c:grouping val="clustered"/>
        <c:varyColors val="0"/>
        <c:ser>
          <c:idx val="0"/>
          <c:order val="0"/>
          <c:tx>
            <c:strRef>
              <c:f>'PIVOT TABLES'!$H$4</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TABLES'!$G$5:$G$8</c:f>
              <c:strCache>
                <c:ptCount val="3"/>
                <c:pt idx="0">
                  <c:v>Headphone</c:v>
                </c:pt>
                <c:pt idx="1">
                  <c:v>Laptop</c:v>
                </c:pt>
                <c:pt idx="2">
                  <c:v>Phone</c:v>
                </c:pt>
              </c:strCache>
            </c:strRef>
          </c:cat>
          <c:val>
            <c:numRef>
              <c:f>'PIVOT TABLES'!$H$5:$H$8</c:f>
              <c:numCache>
                <c:formatCode>General</c:formatCode>
                <c:ptCount val="3"/>
                <c:pt idx="0">
                  <c:v>107442313.62000006</c:v>
                </c:pt>
                <c:pt idx="1">
                  <c:v>185426406.05999994</c:v>
                </c:pt>
                <c:pt idx="2">
                  <c:v>143214879.95999971</c:v>
                </c:pt>
              </c:numCache>
            </c:numRef>
          </c:val>
          <c:extLst>
            <c:ext xmlns:c16="http://schemas.microsoft.com/office/drawing/2014/chart" uri="{C3380CC4-5D6E-409C-BE32-E72D297353CC}">
              <c16:uniqueId val="{00000000-CFAB-49C8-A174-87201576DAC7}"/>
            </c:ext>
          </c:extLst>
        </c:ser>
        <c:dLbls>
          <c:dLblPos val="outEnd"/>
          <c:showLegendKey val="0"/>
          <c:showVal val="1"/>
          <c:showCatName val="0"/>
          <c:showSerName val="0"/>
          <c:showPercent val="0"/>
          <c:showBubbleSize val="0"/>
        </c:dLbls>
        <c:gapWidth val="219"/>
        <c:overlap val="-27"/>
        <c:axId val="970883135"/>
        <c:axId val="970883551"/>
      </c:barChart>
      <c:catAx>
        <c:axId val="97088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95000"/>
                    <a:lumOff val="5000"/>
                  </a:schemeClr>
                </a:solidFill>
                <a:latin typeface="+mn-lt"/>
                <a:ea typeface="+mn-ea"/>
                <a:cs typeface="+mn-cs"/>
              </a:defRPr>
            </a:pPr>
            <a:endParaRPr lang="en-US"/>
          </a:p>
        </c:txPr>
        <c:crossAx val="970883551"/>
        <c:crosses val="autoZero"/>
        <c:auto val="1"/>
        <c:lblAlgn val="ctr"/>
        <c:lblOffset val="100"/>
        <c:noMultiLvlLbl val="0"/>
      </c:catAx>
      <c:valAx>
        <c:axId val="970883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95000"/>
                    <a:lumOff val="5000"/>
                  </a:schemeClr>
                </a:solidFill>
                <a:latin typeface="+mj-lt"/>
                <a:ea typeface="+mn-ea"/>
                <a:cs typeface="+mn-cs"/>
              </a:defRPr>
            </a:pPr>
            <a:endParaRPr lang="en-US"/>
          </a:p>
        </c:txPr>
        <c:crossAx val="9708831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2..xlsx]PIVOT TABLES!PivotTable5</c:name>
    <c:fmtId val="13"/>
  </c:pivotSource>
  <c:chart>
    <c:title>
      <c:tx>
        <c:rich>
          <a:bodyPr rot="0" spcFirstLastPara="1" vertOverflow="ellipsis" vert="horz" wrap="square" anchor="ctr" anchorCtr="1"/>
          <a:lstStyle/>
          <a:p>
            <a:pPr>
              <a:defRPr sz="1200" b="1" i="1" u="none" strike="noStrike" kern="1200" cap="all" spc="50" baseline="0">
                <a:solidFill>
                  <a:schemeClr val="tx1">
                    <a:lumMod val="95000"/>
                    <a:lumOff val="5000"/>
                  </a:schemeClr>
                </a:solidFill>
                <a:latin typeface="+mn-lt"/>
                <a:ea typeface="+mn-ea"/>
                <a:cs typeface="+mn-cs"/>
              </a:defRPr>
            </a:pPr>
            <a:r>
              <a:rPr lang="en-IN" sz="1200" i="1">
                <a:solidFill>
                  <a:schemeClr val="tx1">
                    <a:lumMod val="95000"/>
                    <a:lumOff val="5000"/>
                  </a:schemeClr>
                </a:solidFill>
              </a:rPr>
              <a:t>city wise Sales</a:t>
            </a:r>
          </a:p>
        </c:rich>
      </c:tx>
      <c:layout>
        <c:manualLayout>
          <c:xMode val="edge"/>
          <c:yMode val="edge"/>
          <c:x val="0.68585202906307363"/>
          <c:y val="5.3861253511169979E-2"/>
        </c:manualLayout>
      </c:layout>
      <c:overlay val="0"/>
      <c:spPr>
        <a:noFill/>
        <a:ln>
          <a:noFill/>
        </a:ln>
        <a:effectLst/>
      </c:spPr>
      <c:txPr>
        <a:bodyPr rot="0" spcFirstLastPara="1" vertOverflow="ellipsis" vert="horz" wrap="square" anchor="ctr" anchorCtr="1"/>
        <a:lstStyle/>
        <a:p>
          <a:pPr>
            <a:defRPr sz="1200" b="1" i="1"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pivotFmt>
      <c:pivotFmt>
        <c:idx val="5"/>
        <c:spPr>
          <a:solidFill>
            <a:schemeClr val="accent5">
              <a:lumMod val="60000"/>
              <a:lumOff val="40000"/>
            </a:schemeClr>
          </a:solidFill>
          <a:ln>
            <a:noFill/>
          </a:ln>
          <a:effectLst/>
        </c:spPr>
        <c:marker>
          <c:symbol val="none"/>
        </c:marker>
      </c:pivotFmt>
      <c:pivotFmt>
        <c:idx val="6"/>
        <c:spPr>
          <a:solidFill>
            <a:schemeClr val="accent5">
              <a:lumMod val="60000"/>
              <a:lumOff val="40000"/>
            </a:schemeClr>
          </a:solidFill>
          <a:ln>
            <a:noFill/>
          </a:ln>
          <a:effectLst/>
        </c:spPr>
        <c:marker>
          <c:symbol val="none"/>
        </c:marker>
      </c:pivotFmt>
      <c:pivotFmt>
        <c:idx val="7"/>
        <c:spPr>
          <a:solidFill>
            <a:schemeClr val="accent5">
              <a:lumMod val="60000"/>
              <a:lumOff val="40000"/>
            </a:schemeClr>
          </a:solidFill>
          <a:ln>
            <a:noFill/>
          </a:ln>
          <a:effectLst/>
        </c:spPr>
        <c:marker>
          <c:symbol val="none"/>
        </c:marker>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TABLES'!$E$14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delete val="1"/>
          </c:dLbls>
          <c:cat>
            <c:strRef>
              <c:f>'PIVOT TABLES'!$D$15:$D$20</c:f>
              <c:strCache>
                <c:ptCount val="5"/>
                <c:pt idx="0">
                  <c:v>Mumbai</c:v>
                </c:pt>
                <c:pt idx="1">
                  <c:v>Bangalore</c:v>
                </c:pt>
                <c:pt idx="2">
                  <c:v>Pune</c:v>
                </c:pt>
                <c:pt idx="3">
                  <c:v>Delhi</c:v>
                </c:pt>
                <c:pt idx="4">
                  <c:v>Hyderabad</c:v>
                </c:pt>
              </c:strCache>
            </c:strRef>
          </c:cat>
          <c:val>
            <c:numRef>
              <c:f>'PIVOT TABLES'!$E$15:$E$20</c:f>
              <c:numCache>
                <c:formatCode>General</c:formatCode>
                <c:ptCount val="5"/>
                <c:pt idx="0">
                  <c:v>90551491.809999809</c:v>
                </c:pt>
                <c:pt idx="1">
                  <c:v>88298232.289999858</c:v>
                </c:pt>
                <c:pt idx="2">
                  <c:v>79530367.939999908</c:v>
                </c:pt>
                <c:pt idx="3">
                  <c:v>88289456.569999918</c:v>
                </c:pt>
                <c:pt idx="4">
                  <c:v>89414051.029999897</c:v>
                </c:pt>
              </c:numCache>
            </c:numRef>
          </c:val>
          <c:extLst>
            <c:ext xmlns:c16="http://schemas.microsoft.com/office/drawing/2014/chart" uri="{C3380CC4-5D6E-409C-BE32-E72D297353CC}">
              <c16:uniqueId val="{00000000-21D7-4D23-94B4-D7D8B3878BF2}"/>
            </c:ext>
          </c:extLst>
        </c:ser>
        <c:dLbls>
          <c:dLblPos val="outEnd"/>
          <c:showLegendKey val="0"/>
          <c:showVal val="1"/>
          <c:showCatName val="0"/>
          <c:showSerName val="0"/>
          <c:showPercent val="0"/>
          <c:showBubbleSize val="0"/>
        </c:dLbls>
        <c:gapWidth val="150"/>
        <c:axId val="1601489343"/>
        <c:axId val="1601473535"/>
      </c:barChart>
      <c:catAx>
        <c:axId val="160148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95000"/>
                    <a:lumOff val="5000"/>
                  </a:schemeClr>
                </a:solidFill>
                <a:latin typeface="+mn-lt"/>
                <a:ea typeface="+mn-ea"/>
                <a:cs typeface="+mn-cs"/>
              </a:defRPr>
            </a:pPr>
            <a:endParaRPr lang="en-US"/>
          </a:p>
        </c:txPr>
        <c:crossAx val="1601473535"/>
        <c:crosses val="autoZero"/>
        <c:auto val="1"/>
        <c:lblAlgn val="ctr"/>
        <c:lblOffset val="100"/>
        <c:noMultiLvlLbl val="0"/>
      </c:catAx>
      <c:valAx>
        <c:axId val="16014735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95000"/>
                    <a:lumOff val="5000"/>
                  </a:schemeClr>
                </a:solidFill>
                <a:latin typeface="+mn-lt"/>
                <a:ea typeface="+mn-ea"/>
                <a:cs typeface="+mn-cs"/>
              </a:defRPr>
            </a:pPr>
            <a:endParaRPr lang="en-US"/>
          </a:p>
        </c:txPr>
        <c:crossAx val="16014893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2..xlsx]PIVOT TABLES!PivotTable8</c:name>
    <c:fmtId val="16"/>
  </c:pivotSource>
  <c:chart>
    <c:title>
      <c:tx>
        <c:rich>
          <a:bodyPr rot="0" spcFirstLastPara="1" vertOverflow="ellipsis" vert="horz" wrap="square" anchor="ctr" anchorCtr="1"/>
          <a:lstStyle/>
          <a:p>
            <a:pPr>
              <a:defRPr sz="1200" b="1" i="1"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200" i="1" baseline="0">
                <a:solidFill>
                  <a:schemeClr val="tx1">
                    <a:lumMod val="95000"/>
                    <a:lumOff val="5000"/>
                  </a:schemeClr>
                </a:solidFill>
              </a:rPr>
              <a:t>MONTH WISE SALES</a:t>
            </a:r>
            <a:endParaRPr lang="en-US" sz="1200" i="1">
              <a:solidFill>
                <a:schemeClr val="tx1">
                  <a:lumMod val="95000"/>
                  <a:lumOff val="5000"/>
                </a:schemeClr>
              </a:solidFill>
            </a:endParaRPr>
          </a:p>
        </c:rich>
      </c:tx>
      <c:layout>
        <c:manualLayout>
          <c:xMode val="edge"/>
          <c:yMode val="edge"/>
          <c:x val="0.62912894756845572"/>
          <c:y val="7.1773847578596464E-2"/>
        </c:manualLayout>
      </c:layout>
      <c:overlay val="0"/>
      <c:spPr>
        <a:noFill/>
        <a:ln>
          <a:noFill/>
        </a:ln>
        <a:effectLst/>
      </c:spPr>
      <c:txPr>
        <a:bodyPr rot="0" spcFirstLastPara="1" vertOverflow="ellipsis" vert="horz" wrap="square" anchor="ctr" anchorCtr="1"/>
        <a:lstStyle/>
        <a:p>
          <a:pPr>
            <a:defRPr sz="1200" b="1" i="1"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TABLES'!$K$4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 TABLES'!$J$5:$J$17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TABLES'!$K$5:$K$17</c:f>
              <c:numCache>
                <c:formatCode>General</c:formatCode>
                <c:ptCount val="12"/>
                <c:pt idx="0">
                  <c:v>33053374.089999985</c:v>
                </c:pt>
                <c:pt idx="1">
                  <c:v>33515801.269999985</c:v>
                </c:pt>
                <c:pt idx="2">
                  <c:v>31607029.999999989</c:v>
                </c:pt>
                <c:pt idx="3">
                  <c:v>41606914.559999987</c:v>
                </c:pt>
                <c:pt idx="4">
                  <c:v>34910455.669999994</c:v>
                </c:pt>
                <c:pt idx="5">
                  <c:v>33645864.549999975</c:v>
                </c:pt>
                <c:pt idx="6">
                  <c:v>42943833.079999998</c:v>
                </c:pt>
                <c:pt idx="7">
                  <c:v>31706847.739999991</c:v>
                </c:pt>
                <c:pt idx="8">
                  <c:v>32505870.499999996</c:v>
                </c:pt>
                <c:pt idx="9">
                  <c:v>42880469.579999983</c:v>
                </c:pt>
                <c:pt idx="10">
                  <c:v>33873150.789999999</c:v>
                </c:pt>
                <c:pt idx="11">
                  <c:v>43833987.810000002</c:v>
                </c:pt>
              </c:numCache>
            </c:numRef>
          </c:val>
          <c:extLst>
            <c:ext xmlns:c16="http://schemas.microsoft.com/office/drawing/2014/chart" uri="{C3380CC4-5D6E-409C-BE32-E72D297353CC}">
              <c16:uniqueId val="{00000000-2C75-4D44-87A6-D16F300206C1}"/>
            </c:ext>
          </c:extLst>
        </c:ser>
        <c:dLbls>
          <c:dLblPos val="outEnd"/>
          <c:showLegendKey val="0"/>
          <c:showVal val="1"/>
          <c:showCatName val="0"/>
          <c:showSerName val="0"/>
          <c:showPercent val="0"/>
          <c:showBubbleSize val="0"/>
        </c:dLbls>
        <c:gapWidth val="100"/>
        <c:overlap val="-24"/>
        <c:axId val="1606964543"/>
        <c:axId val="1606963295"/>
      </c:barChart>
      <c:catAx>
        <c:axId val="1606964543"/>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1" i="1" u="none" strike="noStrike" kern="1200" baseline="0">
                <a:solidFill>
                  <a:schemeClr val="tx1">
                    <a:lumMod val="95000"/>
                    <a:lumOff val="5000"/>
                  </a:schemeClr>
                </a:solidFill>
                <a:latin typeface="+mn-lt"/>
                <a:ea typeface="+mn-ea"/>
                <a:cs typeface="+mn-cs"/>
              </a:defRPr>
            </a:pPr>
            <a:endParaRPr lang="en-US"/>
          </a:p>
        </c:txPr>
        <c:crossAx val="1606963295"/>
        <c:crosses val="autoZero"/>
        <c:auto val="1"/>
        <c:lblAlgn val="ctr"/>
        <c:lblOffset val="100"/>
        <c:noMultiLvlLbl val="0"/>
      </c:catAx>
      <c:valAx>
        <c:axId val="1606963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95000"/>
                    <a:lumOff val="5000"/>
                  </a:schemeClr>
                </a:solidFill>
                <a:latin typeface="+mn-lt"/>
                <a:ea typeface="+mn-ea"/>
                <a:cs typeface="+mn-cs"/>
              </a:defRPr>
            </a:pPr>
            <a:endParaRPr lang="en-US"/>
          </a:p>
        </c:txPr>
        <c:crossAx val="1606964543"/>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2..xlsx]PIVOT TABLES!PivotTable4</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200" b="1" i="1" baseline="0">
                <a:solidFill>
                  <a:schemeClr val="tx1">
                    <a:lumMod val="95000"/>
                    <a:lumOff val="5000"/>
                  </a:schemeClr>
                </a:solidFill>
              </a:rPr>
              <a:t>BUYERS BY AGE GROUP </a:t>
            </a:r>
            <a:endParaRPr lang="en-US" sz="1200" b="1" i="1">
              <a:solidFill>
                <a:schemeClr val="tx1">
                  <a:lumMod val="95000"/>
                  <a:lumOff val="5000"/>
                </a:schemeClr>
              </a:solidFill>
            </a:endParaRPr>
          </a:p>
        </c:rich>
      </c:tx>
      <c:layout>
        <c:manualLayout>
          <c:xMode val="edge"/>
          <c:yMode val="edge"/>
          <c:x val="0.5735383124606469"/>
          <c:y val="6.8423925669358288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43611111111111101"/>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182193824543289"/>
          <c:y val="0.17994730695623465"/>
          <c:w val="0.67164041994750656"/>
          <c:h val="0.66376020705745109"/>
        </c:manualLayout>
      </c:layout>
      <c:barChart>
        <c:barDir val="bar"/>
        <c:grouping val="clustered"/>
        <c:varyColors val="0"/>
        <c:ser>
          <c:idx val="0"/>
          <c:order val="0"/>
          <c:tx>
            <c:strRef>
              <c:f>'PIVOT TABLES'!$B$14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TABLES'!$A$15:$A$18</c:f>
              <c:strCache>
                <c:ptCount val="3"/>
                <c:pt idx="0">
                  <c:v>Adult</c:v>
                </c:pt>
                <c:pt idx="1">
                  <c:v>Senior Citizen</c:v>
                </c:pt>
                <c:pt idx="2">
                  <c:v>Teenager</c:v>
                </c:pt>
              </c:strCache>
            </c:strRef>
          </c:cat>
          <c:val>
            <c:numRef>
              <c:f>'PIVOT TABLES'!$B$15:$B$18</c:f>
              <c:numCache>
                <c:formatCode>General</c:formatCode>
                <c:ptCount val="3"/>
                <c:pt idx="0">
                  <c:v>331138737.6200009</c:v>
                </c:pt>
                <c:pt idx="1">
                  <c:v>86295727.849999845</c:v>
                </c:pt>
                <c:pt idx="2">
                  <c:v>18649134.170000009</c:v>
                </c:pt>
              </c:numCache>
            </c:numRef>
          </c:val>
          <c:extLst>
            <c:ext xmlns:c16="http://schemas.microsoft.com/office/drawing/2014/chart" uri="{C3380CC4-5D6E-409C-BE32-E72D297353CC}">
              <c16:uniqueId val="{00000001-96EF-4CEC-B23F-DE442F7C4ADD}"/>
            </c:ext>
          </c:extLst>
        </c:ser>
        <c:dLbls>
          <c:dLblPos val="outEnd"/>
          <c:showLegendKey val="0"/>
          <c:showVal val="1"/>
          <c:showCatName val="0"/>
          <c:showSerName val="0"/>
          <c:showPercent val="0"/>
          <c:showBubbleSize val="0"/>
        </c:dLbls>
        <c:gapWidth val="326"/>
        <c:overlap val="-58"/>
        <c:axId val="580623472"/>
        <c:axId val="580623888"/>
      </c:barChart>
      <c:catAx>
        <c:axId val="580623472"/>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0623888"/>
        <c:crosses val="autoZero"/>
        <c:auto val="1"/>
        <c:lblAlgn val="ctr"/>
        <c:lblOffset val="100"/>
        <c:noMultiLvlLbl val="0"/>
      </c:catAx>
      <c:valAx>
        <c:axId val="5806238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06234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2..xlsx]PIVOT TABLES!PivotTable7</c:name>
    <c:fmtId val="5"/>
  </c:pivotSource>
  <c:chart>
    <c:title>
      <c:tx>
        <c:rich>
          <a:bodyPr rot="0" spcFirstLastPara="1" vertOverflow="ellipsis" vert="horz" wrap="square" anchor="ctr" anchorCtr="1"/>
          <a:lstStyle/>
          <a:p>
            <a:pPr>
              <a:defRPr sz="1200" b="1" i="1" u="none" strike="noStrike" kern="1200" baseline="0">
                <a:solidFill>
                  <a:schemeClr val="tx1"/>
                </a:solidFill>
                <a:latin typeface="+mn-lt"/>
                <a:ea typeface="+mn-ea"/>
                <a:cs typeface="+mn-cs"/>
              </a:defRPr>
            </a:pPr>
            <a:r>
              <a:rPr lang="en-US" sz="1200" i="1">
                <a:solidFill>
                  <a:schemeClr val="tx1"/>
                </a:solidFill>
              </a:rPr>
              <a:t>DELIVERY STATUS</a:t>
            </a:r>
          </a:p>
        </c:rich>
      </c:tx>
      <c:layout>
        <c:manualLayout>
          <c:xMode val="edge"/>
          <c:yMode val="edge"/>
          <c:x val="0.62587266639404082"/>
          <c:y val="4.9905221143946993E-2"/>
        </c:manualLayout>
      </c:layout>
      <c:overlay val="0"/>
      <c:spPr>
        <a:noFill/>
        <a:ln>
          <a:noFill/>
        </a:ln>
        <a:effectLst/>
      </c:spPr>
      <c:txPr>
        <a:bodyPr rot="0" spcFirstLastPara="1" vertOverflow="ellipsis" vert="horz" wrap="square" anchor="ctr" anchorCtr="1"/>
        <a:lstStyle/>
        <a:p>
          <a:pPr>
            <a:defRPr sz="1200" b="1" i="1"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
        <c:dLbl>
          <c:idx val="0"/>
          <c:layout>
            <c:manualLayout>
              <c:x val="-1.4306151645207439E-2"/>
              <c:y val="-5.7504312823461759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8"/>
        <c:dLbl>
          <c:idx val="0"/>
          <c:layout>
            <c:manualLayout>
              <c:x val="-6.5569104247313272E-17"/>
              <c:y val="-7.475560667050028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9"/>
        <c:dLbl>
          <c:idx val="0"/>
          <c:layout>
            <c:manualLayout>
              <c:x val="2.8612303290414878E-2"/>
              <c:y val="-0.10925819436457736"/>
            </c:manualLayout>
          </c:layout>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00B0F0"/>
          </a:solidFill>
          <a:ln>
            <a:noFill/>
          </a:ln>
          <a:effectLst>
            <a:outerShdw blurRad="317500" algn="ctr" rotWithShape="0">
              <a:prstClr val="black">
                <a:alpha val="25000"/>
              </a:prstClr>
            </a:outerShdw>
          </a:effectLst>
        </c:spPr>
      </c:pivotFmt>
      <c:pivotFmt>
        <c:idx val="21"/>
        <c:spPr>
          <a:solidFill>
            <a:srgbClr val="FF0000"/>
          </a:solidFill>
          <a:ln>
            <a:noFill/>
          </a:ln>
          <a:effectLst>
            <a:outerShdw blurRad="317500" algn="ctr" rotWithShape="0">
              <a:prstClr val="black">
                <a:alpha val="25000"/>
              </a:prstClr>
            </a:outerShdw>
          </a:effectLst>
        </c:spPr>
      </c:pivotFmt>
      <c:pivotFmt>
        <c:idx val="22"/>
        <c:spPr>
          <a:solidFill>
            <a:srgbClr val="92D050"/>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marker>
          <c:symbol val="none"/>
        </c:marke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6">
              <a:lumMod val="60000"/>
              <a:lumOff val="40000"/>
            </a:schemeClr>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830514345578047"/>
          <c:y val="0.20309966462525517"/>
          <c:w val="0.45755128248453925"/>
          <c:h val="0.73566037137824702"/>
        </c:manualLayout>
      </c:layout>
      <c:doughnutChart>
        <c:varyColors val="1"/>
        <c:ser>
          <c:idx val="0"/>
          <c:order val="0"/>
          <c:tx>
            <c:strRef>
              <c:f>'PIVOT TABLES'!$H$14</c:f>
              <c:strCache>
                <c:ptCount val="1"/>
                <c:pt idx="0">
                  <c:v>Total</c:v>
                </c:pt>
              </c:strCache>
            </c:strRef>
          </c:tx>
          <c:dPt>
            <c:idx val="0"/>
            <c:bubble3D val="0"/>
            <c:explosion val="8"/>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C98-4FCC-9231-6FAF249B1C70}"/>
              </c:ext>
            </c:extLst>
          </c:dPt>
          <c:dPt>
            <c:idx val="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C98-4FCC-9231-6FAF249B1C70}"/>
              </c:ext>
            </c:extLst>
          </c:dPt>
          <c:dPt>
            <c:idx val="2"/>
            <c:bubble3D val="0"/>
            <c:explosion val="14"/>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C98-4FCC-9231-6FAF249B1C70}"/>
              </c:ext>
            </c:extLst>
          </c:dPt>
          <c:dPt>
            <c:idx val="3"/>
            <c:bubble3D val="0"/>
            <c:explosion val="9"/>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C98-4FCC-9231-6FAF249B1C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TABLES'!$G$15:$G$19</c:f>
              <c:strCache>
                <c:ptCount val="4"/>
                <c:pt idx="0">
                  <c:v>Cancelled</c:v>
                </c:pt>
                <c:pt idx="1">
                  <c:v>Delivered</c:v>
                </c:pt>
                <c:pt idx="2">
                  <c:v>Refunded</c:v>
                </c:pt>
                <c:pt idx="3">
                  <c:v>Returned</c:v>
                </c:pt>
              </c:strCache>
            </c:strRef>
          </c:cat>
          <c:val>
            <c:numRef>
              <c:f>'PIVOT TABLES'!$H$15:$H$19</c:f>
              <c:numCache>
                <c:formatCode>General</c:formatCode>
                <c:ptCount val="4"/>
                <c:pt idx="0">
                  <c:v>49</c:v>
                </c:pt>
                <c:pt idx="1">
                  <c:v>1399</c:v>
                </c:pt>
                <c:pt idx="2">
                  <c:v>39</c:v>
                </c:pt>
                <c:pt idx="3">
                  <c:v>73</c:v>
                </c:pt>
              </c:numCache>
            </c:numRef>
          </c:val>
          <c:extLst>
            <c:ext xmlns:c16="http://schemas.microsoft.com/office/drawing/2014/chart" uri="{C3380CC4-5D6E-409C-BE32-E72D297353CC}">
              <c16:uniqueId val="{00000008-0C98-4FCC-9231-6FAF249B1C7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[My Dashboard 2..xlsx]PIVOT TABLES!PivotTable1</c:name>
    <c:fmtId val="17"/>
  </c:pivotSource>
  <c:chart>
    <c:title>
      <c:tx>
        <c:rich>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r>
              <a:rPr lang="en-US" sz="1200"/>
              <a:t>SALES BY PLATFORM</a:t>
            </a:r>
          </a:p>
        </c:rich>
      </c:tx>
      <c:layout>
        <c:manualLayout>
          <c:xMode val="edge"/>
          <c:yMode val="edge"/>
          <c:x val="0.3356104463022393"/>
          <c:y val="3.929199565917000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1"/>
          <c:showBubbleSize val="0"/>
          <c:extLst>
            <c:ext xmlns:c15="http://schemas.microsoft.com/office/drawing/2012/chart" uri="{CE6537A1-D6FC-4f65-9D91-7224C49458BB}"/>
          </c:extLst>
        </c:dLbl>
      </c:pivotFmt>
      <c:pivotFmt>
        <c:idx val="18"/>
        <c:dLbl>
          <c:idx val="0"/>
          <c:showLegendKey val="0"/>
          <c:showVal val="0"/>
          <c:showCatName val="0"/>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1"/>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pivotFmt>
      <c:pivotFmt>
        <c:idx val="32"/>
      </c:pivotFmt>
      <c:pivotFmt>
        <c:idx val="33"/>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tint val="70000"/>
            </a:schemeClr>
          </a:solidFill>
          <a:ln>
            <a:noFill/>
          </a:ln>
          <a:effectLst>
            <a:outerShdw blurRad="317500" algn="ctr" rotWithShape="0">
              <a:prstClr val="black">
                <a:alpha val="25000"/>
              </a:prstClr>
            </a:outerShdw>
          </a:effectLst>
        </c:spPr>
      </c:pivotFmt>
      <c:pivotFmt>
        <c:idx val="37"/>
        <c:spPr>
          <a:solidFill>
            <a:schemeClr val="accent1">
              <a:shade val="50000"/>
            </a:schemeClr>
          </a:solidFill>
          <a:ln>
            <a:noFill/>
          </a:ln>
          <a:effectLst>
            <a:outerShdw blurRad="317500" algn="ctr" rotWithShape="0">
              <a:prstClr val="black">
                <a:alpha val="25000"/>
              </a:prstClr>
            </a:outerShdw>
          </a:effectLst>
        </c:spPr>
      </c:pivotFmt>
      <c:pivotFmt>
        <c:idx val="38"/>
        <c:spPr>
          <a:solidFill>
            <a:schemeClr val="accent1">
              <a:shade val="70000"/>
            </a:schemeClr>
          </a:solidFill>
          <a:ln>
            <a:noFill/>
          </a:ln>
          <a:effectLst>
            <a:outerShdw blurRad="317500" algn="ctr" rotWithShape="0">
              <a:prstClr val="black">
                <a:alpha val="25000"/>
              </a:prstClr>
            </a:outerShdw>
          </a:effectLst>
        </c:spPr>
      </c:pivotFmt>
      <c:pivotFmt>
        <c:idx val="39"/>
        <c:spPr>
          <a:solidFill>
            <a:schemeClr val="accent1">
              <a:shade val="90000"/>
            </a:schemeClr>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hade val="50000"/>
            </a:schemeClr>
          </a:solidFill>
          <a:ln>
            <a:noFill/>
          </a:ln>
          <a:effectLst>
            <a:outerShdw blurRad="317500" algn="ctr" rotWithShape="0">
              <a:prstClr val="black">
                <a:alpha val="25000"/>
              </a:prstClr>
            </a:outerShdw>
          </a:effectLst>
        </c:spPr>
      </c:pivotFmt>
      <c:pivotFmt>
        <c:idx val="43"/>
        <c:spPr>
          <a:solidFill>
            <a:schemeClr val="accent1">
              <a:shade val="70000"/>
            </a:schemeClr>
          </a:solidFill>
          <a:ln>
            <a:noFill/>
          </a:ln>
          <a:effectLst>
            <a:outerShdw blurRad="317500" algn="ctr" rotWithShape="0">
              <a:prstClr val="black">
                <a:alpha val="25000"/>
              </a:prstClr>
            </a:outerShdw>
          </a:effectLst>
        </c:spPr>
      </c:pivotFmt>
      <c:pivotFmt>
        <c:idx val="44"/>
        <c:spPr>
          <a:solidFill>
            <a:schemeClr val="accent1">
              <a:shade val="90000"/>
            </a:schemeClr>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tint val="70000"/>
            </a:schemeClr>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hade val="50000"/>
            </a:schemeClr>
          </a:solidFill>
          <a:ln>
            <a:noFill/>
          </a:ln>
          <a:effectLst>
            <a:outerShdw blurRad="317500" algn="ctr" rotWithShape="0">
              <a:prstClr val="black">
                <a:alpha val="25000"/>
              </a:prstClr>
            </a:outerShdw>
          </a:effectLst>
        </c:spPr>
      </c:pivotFmt>
      <c:pivotFmt>
        <c:idx val="50"/>
        <c:spPr>
          <a:solidFill>
            <a:schemeClr val="accent1">
              <a:shade val="70000"/>
            </a:schemeClr>
          </a:solidFill>
          <a:ln>
            <a:noFill/>
          </a:ln>
          <a:effectLst>
            <a:outerShdw blurRad="317500" algn="ctr" rotWithShape="0">
              <a:prstClr val="black">
                <a:alpha val="25000"/>
              </a:prstClr>
            </a:outerShdw>
          </a:effectLst>
        </c:spPr>
      </c:pivotFmt>
      <c:pivotFmt>
        <c:idx val="51"/>
        <c:spPr>
          <a:solidFill>
            <a:schemeClr val="accent1">
              <a:shade val="90000"/>
            </a:schemeClr>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tint val="70000"/>
            </a:schemeClr>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hade val="50000"/>
            </a:schemeClr>
          </a:solidFill>
          <a:ln>
            <a:noFill/>
          </a:ln>
          <a:effectLst>
            <a:outerShdw blurRad="317500" algn="ctr" rotWithShape="0">
              <a:prstClr val="black">
                <a:alpha val="25000"/>
              </a:prstClr>
            </a:outerShdw>
          </a:effectLst>
        </c:spPr>
      </c:pivotFmt>
      <c:pivotFmt>
        <c:idx val="57"/>
        <c:spPr>
          <a:solidFill>
            <a:schemeClr val="accent1">
              <a:shade val="70000"/>
            </a:schemeClr>
          </a:solidFill>
          <a:ln>
            <a:noFill/>
          </a:ln>
          <a:effectLst>
            <a:outerShdw blurRad="317500" algn="ctr" rotWithShape="0">
              <a:prstClr val="black">
                <a:alpha val="25000"/>
              </a:prstClr>
            </a:outerShdw>
          </a:effectLst>
        </c:spPr>
      </c:pivotFmt>
      <c:pivotFmt>
        <c:idx val="58"/>
        <c:spPr>
          <a:solidFill>
            <a:schemeClr val="accent1">
              <a:shade val="90000"/>
            </a:schemeClr>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tint val="70000"/>
            </a:schemeClr>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3"/>
        <c:spPr>
          <a:solidFill>
            <a:schemeClr val="accent1">
              <a:shade val="50000"/>
            </a:schemeClr>
          </a:solidFill>
          <a:ln>
            <a:noFill/>
          </a:ln>
          <a:effectLst>
            <a:outerShdw blurRad="317500" algn="ctr" rotWithShape="0">
              <a:prstClr val="black">
                <a:alpha val="25000"/>
              </a:prstClr>
            </a:outerShdw>
          </a:effectLst>
        </c:spPr>
      </c:pivotFmt>
      <c:pivotFmt>
        <c:idx val="64"/>
        <c:spPr>
          <a:solidFill>
            <a:schemeClr val="accent1">
              <a:shade val="70000"/>
            </a:schemeClr>
          </a:solidFill>
          <a:ln>
            <a:noFill/>
          </a:ln>
          <a:effectLst>
            <a:outerShdw blurRad="317500" algn="ctr" rotWithShape="0">
              <a:prstClr val="black">
                <a:alpha val="25000"/>
              </a:prstClr>
            </a:outerShdw>
          </a:effectLst>
        </c:spPr>
      </c:pivotFmt>
      <c:pivotFmt>
        <c:idx val="65"/>
        <c:spPr>
          <a:solidFill>
            <a:schemeClr val="accent1">
              <a:shade val="90000"/>
            </a:schemeClr>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tint val="70000"/>
            </a:schemeClr>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pivotFmt>
      <c:pivotFmt>
        <c:idx val="6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0"/>
        <c:spPr>
          <a:solidFill>
            <a:schemeClr val="accent1">
              <a:shade val="50000"/>
            </a:schemeClr>
          </a:solidFill>
          <a:ln>
            <a:noFill/>
          </a:ln>
          <a:effectLst>
            <a:outerShdw blurRad="317500" algn="ctr" rotWithShape="0">
              <a:prstClr val="black">
                <a:alpha val="25000"/>
              </a:prstClr>
            </a:outerShdw>
          </a:effectLst>
        </c:spPr>
      </c:pivotFmt>
      <c:pivotFmt>
        <c:idx val="71"/>
        <c:spPr>
          <a:solidFill>
            <a:schemeClr val="accent1">
              <a:shade val="70000"/>
            </a:schemeClr>
          </a:solidFill>
          <a:ln>
            <a:noFill/>
          </a:ln>
          <a:effectLst>
            <a:outerShdw blurRad="317500" algn="ctr" rotWithShape="0">
              <a:prstClr val="black">
                <a:alpha val="25000"/>
              </a:prstClr>
            </a:outerShdw>
          </a:effectLst>
        </c:spPr>
      </c:pivotFmt>
      <c:pivotFmt>
        <c:idx val="72"/>
        <c:spPr>
          <a:solidFill>
            <a:schemeClr val="accent1">
              <a:shade val="90000"/>
            </a:schemeClr>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pivotFmt>
      <c:pivotFmt>
        <c:idx val="74"/>
        <c:spPr>
          <a:solidFill>
            <a:schemeClr val="accent1">
              <a:tint val="70000"/>
            </a:schemeClr>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7"/>
        <c:spPr>
          <a:solidFill>
            <a:schemeClr val="accent1">
              <a:shade val="50000"/>
            </a:schemeClr>
          </a:solidFill>
          <a:ln>
            <a:noFill/>
          </a:ln>
          <a:effectLst>
            <a:outerShdw blurRad="317500" algn="ctr" rotWithShape="0">
              <a:prstClr val="black">
                <a:alpha val="25000"/>
              </a:prstClr>
            </a:outerShdw>
          </a:effectLst>
        </c:spPr>
      </c:pivotFmt>
      <c:pivotFmt>
        <c:idx val="78"/>
        <c:spPr>
          <a:solidFill>
            <a:schemeClr val="accent1">
              <a:shade val="70000"/>
            </a:schemeClr>
          </a:solidFill>
          <a:ln>
            <a:noFill/>
          </a:ln>
          <a:effectLst>
            <a:outerShdw blurRad="317500" algn="ctr" rotWithShape="0">
              <a:prstClr val="black">
                <a:alpha val="25000"/>
              </a:prstClr>
            </a:outerShdw>
          </a:effectLst>
        </c:spPr>
      </c:pivotFmt>
      <c:pivotFmt>
        <c:idx val="79"/>
        <c:spPr>
          <a:solidFill>
            <a:schemeClr val="accent1">
              <a:shade val="90000"/>
            </a:schemeClr>
          </a:solidFill>
          <a:ln>
            <a:noFill/>
          </a:ln>
          <a:effectLst>
            <a:outerShdw blurRad="317500" algn="ctr" rotWithShape="0">
              <a:prstClr val="black">
                <a:alpha val="25000"/>
              </a:prstClr>
            </a:outerShdw>
          </a:effectLst>
        </c:spPr>
      </c:pivotFmt>
      <c:pivotFmt>
        <c:idx val="80"/>
        <c:spPr>
          <a:solidFill>
            <a:schemeClr val="accent1"/>
          </a:solidFill>
          <a:ln>
            <a:noFill/>
          </a:ln>
          <a:effectLst>
            <a:outerShdw blurRad="317500" algn="ctr" rotWithShape="0">
              <a:prstClr val="black">
                <a:alpha val="25000"/>
              </a:prstClr>
            </a:outerShdw>
          </a:effectLst>
        </c:spPr>
      </c:pivotFmt>
      <c:pivotFmt>
        <c:idx val="81"/>
        <c:spPr>
          <a:solidFill>
            <a:schemeClr val="accent1">
              <a:tint val="70000"/>
            </a:schemeClr>
          </a:solidFill>
          <a:ln>
            <a:noFill/>
          </a:ln>
          <a:effectLst>
            <a:outerShdw blurRad="317500" algn="ctr" rotWithShape="0">
              <a:prstClr val="black">
                <a:alpha val="25000"/>
              </a:prstClr>
            </a:outerShdw>
          </a:effectLst>
        </c:spPr>
      </c:pivotFmt>
      <c:pivotFmt>
        <c:idx val="82"/>
        <c:spPr>
          <a:solidFill>
            <a:schemeClr val="accent1"/>
          </a:solidFill>
          <a:ln>
            <a:noFill/>
          </a:ln>
          <a:effectLst>
            <a:outerShdw blurRad="317500" algn="ctr" rotWithShape="0">
              <a:prstClr val="black">
                <a:alpha val="25000"/>
              </a:prstClr>
            </a:outerShdw>
          </a:effectLst>
        </c:spPr>
      </c:pivotFmt>
      <c:pivotFmt>
        <c:idx val="83"/>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1"/>
          <c:showVal val="0"/>
          <c:showCatName val="0"/>
          <c:showSerName val="0"/>
          <c:showPercent val="1"/>
          <c:showBubbleSize val="1"/>
          <c:extLst>
            <c:ext xmlns:c15="http://schemas.microsoft.com/office/drawing/2012/chart" uri="{CE6537A1-D6FC-4f65-9D91-7224C49458BB}">
              <c15:layout/>
            </c:ext>
          </c:extLst>
        </c:dLbl>
      </c:pivotFmt>
      <c:pivotFmt>
        <c:idx val="84"/>
        <c:spPr>
          <a:solidFill>
            <a:schemeClr val="accent1">
              <a:shade val="50000"/>
            </a:schemeClr>
          </a:solidFill>
          <a:ln>
            <a:noFill/>
          </a:ln>
          <a:effectLst>
            <a:outerShdw blurRad="317500" algn="ctr" rotWithShape="0">
              <a:prstClr val="black">
                <a:alpha val="25000"/>
              </a:prstClr>
            </a:outerShdw>
          </a:effectLst>
        </c:spPr>
      </c:pivotFmt>
      <c:pivotFmt>
        <c:idx val="85"/>
        <c:spPr>
          <a:solidFill>
            <a:schemeClr val="accent1">
              <a:shade val="70000"/>
            </a:schemeClr>
          </a:solidFill>
          <a:ln>
            <a:noFill/>
          </a:ln>
          <a:effectLst>
            <a:outerShdw blurRad="317500" algn="ctr" rotWithShape="0">
              <a:prstClr val="black">
                <a:alpha val="25000"/>
              </a:prstClr>
            </a:outerShdw>
          </a:effectLst>
        </c:spPr>
      </c:pivotFmt>
      <c:pivotFmt>
        <c:idx val="86"/>
        <c:spPr>
          <a:solidFill>
            <a:schemeClr val="accent1">
              <a:shade val="90000"/>
            </a:schemeClr>
          </a:solidFill>
          <a:ln>
            <a:noFill/>
          </a:ln>
          <a:effectLst>
            <a:outerShdw blurRad="317500" algn="ctr" rotWithShape="0">
              <a:prstClr val="black">
                <a:alpha val="25000"/>
              </a:prstClr>
            </a:outerShdw>
          </a:effectLst>
        </c:spPr>
      </c:pivotFmt>
      <c:pivotFmt>
        <c:idx val="87"/>
        <c:spPr>
          <a:solidFill>
            <a:schemeClr val="accent1"/>
          </a:solidFill>
          <a:ln>
            <a:noFill/>
          </a:ln>
          <a:effectLst>
            <a:outerShdw blurRad="317500" algn="ctr" rotWithShape="0">
              <a:prstClr val="black">
                <a:alpha val="25000"/>
              </a:prstClr>
            </a:outerShdw>
          </a:effectLst>
        </c:spPr>
      </c:pivotFmt>
      <c:pivotFmt>
        <c:idx val="88"/>
        <c:spPr>
          <a:solidFill>
            <a:schemeClr val="accent1">
              <a:tint val="70000"/>
            </a:schemeClr>
          </a:solidFill>
          <a:ln>
            <a:noFill/>
          </a:ln>
          <a:effectLst>
            <a:outerShdw blurRad="317500" algn="ctr" rotWithShape="0">
              <a:prstClr val="black">
                <a:alpha val="25000"/>
              </a:prstClr>
            </a:outerShdw>
          </a:effectLst>
        </c:spPr>
      </c:pivotFmt>
      <c:pivotFmt>
        <c:idx val="89"/>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3230833478181642"/>
          <c:y val="0.21059540661296497"/>
          <c:w val="0.36786978536818626"/>
          <c:h val="0.68602710292008839"/>
        </c:manualLayout>
      </c:layout>
      <c:pieChart>
        <c:varyColors val="1"/>
        <c:ser>
          <c:idx val="0"/>
          <c:order val="0"/>
          <c:tx>
            <c:strRef>
              <c:f>'PIVOT TABLES'!$B$4</c:f>
              <c:strCache>
                <c:ptCount val="1"/>
                <c:pt idx="0">
                  <c:v>Total</c:v>
                </c:pt>
              </c:strCache>
            </c:strRef>
          </c:tx>
          <c:dPt>
            <c:idx val="0"/>
            <c:bubble3D val="0"/>
            <c:spPr>
              <a:solidFill>
                <a:schemeClr val="accent1">
                  <a:shade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9F5-40AB-A1A1-3385D8F2514D}"/>
              </c:ext>
            </c:extLst>
          </c:dPt>
          <c:dPt>
            <c:idx val="1"/>
            <c:bubble3D val="0"/>
            <c:spPr>
              <a:solidFill>
                <a:schemeClr val="accent1">
                  <a:shade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9F5-40AB-A1A1-3385D8F2514D}"/>
              </c:ext>
            </c:extLst>
          </c:dPt>
          <c:dPt>
            <c:idx val="2"/>
            <c:bubble3D val="0"/>
            <c:spPr>
              <a:solidFill>
                <a:schemeClr val="accent1">
                  <a:shade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9F5-40AB-A1A1-3385D8F2514D}"/>
              </c:ext>
            </c:extLst>
          </c:dPt>
          <c:dPt>
            <c:idx val="3"/>
            <c:bubble3D val="0"/>
            <c:spPr>
              <a:solidFill>
                <a:schemeClr val="accent1">
                  <a:tint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9F5-40AB-A1A1-3385D8F2514D}"/>
              </c:ext>
            </c:extLst>
          </c:dPt>
          <c:dPt>
            <c:idx val="4"/>
            <c:bubble3D val="0"/>
            <c:spPr>
              <a:solidFill>
                <a:schemeClr val="accent1">
                  <a:tint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9F5-40AB-A1A1-3385D8F2514D}"/>
              </c:ext>
            </c:extLst>
          </c:dPt>
          <c:dPt>
            <c:idx val="5"/>
            <c:bubble3D val="0"/>
            <c:spPr>
              <a:solidFill>
                <a:schemeClr val="accent1">
                  <a:tint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9F5-40AB-A1A1-3385D8F2514D}"/>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1"/>
            <c:showVal val="0"/>
            <c:showCatName val="0"/>
            <c:showSerName val="0"/>
            <c:showPercent val="1"/>
            <c:showBubbleSize val="1"/>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TABLES'!$A$5:$A$11</c:f>
              <c:strCache>
                <c:ptCount val="6"/>
                <c:pt idx="0">
                  <c:v>Amazon</c:v>
                </c:pt>
                <c:pt idx="1">
                  <c:v>Croma</c:v>
                </c:pt>
                <c:pt idx="2">
                  <c:v>Flipkart</c:v>
                </c:pt>
                <c:pt idx="3">
                  <c:v>Snapdeal</c:v>
                </c:pt>
                <c:pt idx="4">
                  <c:v>Tatacliq</c:v>
                </c:pt>
                <c:pt idx="5">
                  <c:v>Vijay Sales</c:v>
                </c:pt>
              </c:strCache>
            </c:strRef>
          </c:cat>
          <c:val>
            <c:numRef>
              <c:f>'PIVOT TABLES'!$B$5:$B$11</c:f>
              <c:numCache>
                <c:formatCode>General</c:formatCode>
                <c:ptCount val="6"/>
                <c:pt idx="0">
                  <c:v>165199992.70999983</c:v>
                </c:pt>
                <c:pt idx="1">
                  <c:v>102823548.35999991</c:v>
                </c:pt>
                <c:pt idx="2">
                  <c:v>85424198.729999945</c:v>
                </c:pt>
                <c:pt idx="3">
                  <c:v>17990300.370000001</c:v>
                </c:pt>
                <c:pt idx="4">
                  <c:v>19400077.200000007</c:v>
                </c:pt>
                <c:pt idx="5">
                  <c:v>45245482.270000018</c:v>
                </c:pt>
              </c:numCache>
            </c:numRef>
          </c:val>
          <c:extLst>
            <c:ext xmlns:c16="http://schemas.microsoft.com/office/drawing/2014/chart" uri="{C3380CC4-5D6E-409C-BE32-E72D297353CC}">
              <c16:uniqueId val="{0000000C-99F5-40AB-A1A1-3385D8F2514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628277951749538"/>
          <c:y val="0.18239813915899325"/>
          <c:w val="0.17486145840164011"/>
          <c:h val="0.7376587323723801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ASHBOARD '!A1"/></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DASHBOARD '!A1"/></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5.pn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6.svg"/><Relationship Id="rId2" Type="http://schemas.openxmlformats.org/officeDocument/2006/relationships/image" Target="../media/image3.png"/><Relationship Id="rId1" Type="http://schemas.openxmlformats.org/officeDocument/2006/relationships/hyperlink" Target="#'PIVOT TABLES'!A1"/><Relationship Id="rId6" Type="http://schemas.openxmlformats.org/officeDocument/2006/relationships/chart" Target="../charts/chart4.xml"/><Relationship Id="rId5" Type="http://schemas.openxmlformats.org/officeDocument/2006/relationships/chart" Target="../charts/chart3.xml"/><Relationship Id="rId15" Type="http://schemas.openxmlformats.org/officeDocument/2006/relationships/chart" Target="../charts/chart6.xml"/><Relationship Id="rId4" Type="http://schemas.openxmlformats.org/officeDocument/2006/relationships/chart" Target="../charts/chart2.xml"/><Relationship Id="rId14" Type="http://schemas.openxmlformats.org/officeDocument/2006/relationships/image" Target="../media/image2.svg"/></Relationships>
</file>

<file path=xl/drawings/_rels/drawing5.xml.rels><?xml version="1.0" encoding="UTF-8" standalone="yes"?>
<Relationships xmlns="http://schemas.openxmlformats.org/package/2006/relationships"><Relationship Id="rId1" Type="http://schemas.openxmlformats.org/officeDocument/2006/relationships/hyperlink" Target="#'PIVOT TABLES'!A1"/></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10</xdr:col>
      <xdr:colOff>469912</xdr:colOff>
      <xdr:row>15</xdr:row>
      <xdr:rowOff>62095</xdr:rowOff>
    </xdr:from>
    <xdr:to>
      <xdr:col>10</xdr:col>
      <xdr:colOff>775873</xdr:colOff>
      <xdr:row>16</xdr:row>
      <xdr:rowOff>24620</xdr:rowOff>
    </xdr:to>
    <xdr:sp macro="" textlink="">
      <xdr:nvSpPr>
        <xdr:cNvPr id="2" name="Right Arrow 1">
          <a:hlinkClick xmlns:r="http://schemas.openxmlformats.org/officeDocument/2006/relationships" r:id="rId1"/>
        </xdr:cNvPr>
        <xdr:cNvSpPr/>
      </xdr:nvSpPr>
      <xdr:spPr>
        <a:xfrm>
          <a:off x="6253767" y="2742866"/>
          <a:ext cx="305961" cy="146140"/>
        </a:xfrm>
        <a:prstGeom prst="right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0</xdr:colOff>
      <xdr:row>0</xdr:row>
      <xdr:rowOff>1</xdr:rowOff>
    </xdr:from>
    <xdr:to>
      <xdr:col>11</xdr:col>
      <xdr:colOff>6145</xdr:colOff>
      <xdr:row>5</xdr:row>
      <xdr:rowOff>24581</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
          <a:ext cx="6083710" cy="9463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77031</xdr:colOff>
      <xdr:row>1</xdr:row>
      <xdr:rowOff>35442</xdr:rowOff>
    </xdr:from>
    <xdr:to>
      <xdr:col>1</xdr:col>
      <xdr:colOff>697480</xdr:colOff>
      <xdr:row>3</xdr:row>
      <xdr:rowOff>254000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31" y="218558"/>
          <a:ext cx="1004402" cy="750186"/>
        </a:xfrm>
        <a:prstGeom prst="rect">
          <a:avLst/>
        </a:prstGeom>
      </xdr:spPr>
    </xdr:pic>
    <xdr:clientData/>
  </xdr:twoCellAnchor>
  <xdr:twoCellAnchor>
    <xdr:from>
      <xdr:col>8</xdr:col>
      <xdr:colOff>242186</xdr:colOff>
      <xdr:row>2</xdr:row>
      <xdr:rowOff>11814</xdr:rowOff>
    </xdr:from>
    <xdr:to>
      <xdr:col>9</xdr:col>
      <xdr:colOff>169137</xdr:colOff>
      <xdr:row>2</xdr:row>
      <xdr:rowOff>308147</xdr:rowOff>
    </xdr:to>
    <xdr:sp macro="" textlink="">
      <xdr:nvSpPr>
        <xdr:cNvPr id="3" name="4-Point Star 2"/>
        <xdr:cNvSpPr/>
      </xdr:nvSpPr>
      <xdr:spPr>
        <a:xfrm>
          <a:off x="5351721" y="378047"/>
          <a:ext cx="364067" cy="296333"/>
        </a:xfrm>
        <a:prstGeom prst="star4">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525721</xdr:colOff>
      <xdr:row>2</xdr:row>
      <xdr:rowOff>17721</xdr:rowOff>
    </xdr:from>
    <xdr:to>
      <xdr:col>13</xdr:col>
      <xdr:colOff>198672</xdr:colOff>
      <xdr:row>2</xdr:row>
      <xdr:rowOff>314054</xdr:rowOff>
    </xdr:to>
    <xdr:sp macro="" textlink="">
      <xdr:nvSpPr>
        <xdr:cNvPr id="4" name="4-Point Star 3"/>
        <xdr:cNvSpPr/>
      </xdr:nvSpPr>
      <xdr:spPr>
        <a:xfrm>
          <a:off x="8470605" y="383954"/>
          <a:ext cx="364067" cy="296333"/>
        </a:xfrm>
        <a:prstGeom prst="star4">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12700</xdr:colOff>
      <xdr:row>9</xdr:row>
      <xdr:rowOff>107950</xdr:rowOff>
    </xdr:from>
    <xdr:to>
      <xdr:col>14</xdr:col>
      <xdr:colOff>196850</xdr:colOff>
      <xdr:row>12</xdr:row>
      <xdr:rowOff>82550</xdr:rowOff>
    </xdr:to>
    <xdr:sp macro="" textlink="">
      <xdr:nvSpPr>
        <xdr:cNvPr id="2" name="Right Arrow 1">
          <a:hlinkClick xmlns:r="http://schemas.openxmlformats.org/officeDocument/2006/relationships" r:id="rId1"/>
        </xdr:cNvPr>
        <xdr:cNvSpPr/>
      </xdr:nvSpPr>
      <xdr:spPr>
        <a:xfrm>
          <a:off x="9702800" y="1765300"/>
          <a:ext cx="1295400" cy="5270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0</xdr:colOff>
      <xdr:row>5</xdr:row>
      <xdr:rowOff>76200</xdr:rowOff>
    </xdr:from>
    <xdr:to>
      <xdr:col>17</xdr:col>
      <xdr:colOff>397934</xdr:colOff>
      <xdr:row>6</xdr:row>
      <xdr:rowOff>127000</xdr:rowOff>
    </xdr:to>
    <xdr:sp macro="" textlink="">
      <xdr:nvSpPr>
        <xdr:cNvPr id="8" name="Round Diagonal Corner Rectangle 7">
          <a:hlinkClick xmlns:r="http://schemas.openxmlformats.org/officeDocument/2006/relationships" r:id="rId1"/>
        </xdr:cNvPr>
        <xdr:cNvSpPr/>
      </xdr:nvSpPr>
      <xdr:spPr>
        <a:xfrm>
          <a:off x="9897533" y="1092200"/>
          <a:ext cx="1617134" cy="237067"/>
        </a:xfrm>
        <a:prstGeom prst="round2Diag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1</xdr:row>
      <xdr:rowOff>110068</xdr:rowOff>
    </xdr:from>
    <xdr:to>
      <xdr:col>0</xdr:col>
      <xdr:colOff>457200</xdr:colOff>
      <xdr:row>4</xdr:row>
      <xdr:rowOff>30482</xdr:rowOff>
    </xdr:to>
    <xdr:pic>
      <xdr:nvPicPr>
        <xdr:cNvPr id="9" name="Picture 8"/>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2932" t="18107" r="38233" b="30354"/>
        <a:stretch/>
      </xdr:blipFill>
      <xdr:spPr>
        <a:xfrm>
          <a:off x="0" y="296335"/>
          <a:ext cx="457200" cy="563880"/>
        </a:xfrm>
        <a:prstGeom prst="rect">
          <a:avLst/>
        </a:prstGeom>
      </xdr:spPr>
    </xdr:pic>
    <xdr:clientData/>
  </xdr:twoCellAnchor>
  <xdr:twoCellAnchor>
    <xdr:from>
      <xdr:col>18</xdr:col>
      <xdr:colOff>227298</xdr:colOff>
      <xdr:row>4</xdr:row>
      <xdr:rowOff>41683</xdr:rowOff>
    </xdr:from>
    <xdr:to>
      <xdr:col>24</xdr:col>
      <xdr:colOff>513583</xdr:colOff>
      <xdr:row>16</xdr:row>
      <xdr:rowOff>186081</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487252</xdr:colOff>
      <xdr:row>4</xdr:row>
      <xdr:rowOff>23633</xdr:rowOff>
    </xdr:from>
    <xdr:to>
      <xdr:col>18</xdr:col>
      <xdr:colOff>311405</xdr:colOff>
      <xdr:row>17</xdr:row>
      <xdr:rowOff>23633</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426681</xdr:colOff>
      <xdr:row>3</xdr:row>
      <xdr:rowOff>152120</xdr:rowOff>
    </xdr:from>
    <xdr:to>
      <xdr:col>11</xdr:col>
      <xdr:colOff>435056</xdr:colOff>
      <xdr:row>16</xdr:row>
      <xdr:rowOff>168868</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464088</xdr:colOff>
      <xdr:row>17</xdr:row>
      <xdr:rowOff>177240</xdr:rowOff>
    </xdr:from>
    <xdr:to>
      <xdr:col>12</xdr:col>
      <xdr:colOff>130817</xdr:colOff>
      <xdr:row>30</xdr:row>
      <xdr:rowOff>32842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360066</xdr:colOff>
      <xdr:row>17</xdr:row>
      <xdr:rowOff>150725</xdr:rowOff>
    </xdr:from>
    <xdr:to>
      <xdr:col>18</xdr:col>
      <xdr:colOff>243338</xdr:colOff>
      <xdr:row>29</xdr:row>
      <xdr:rowOff>148618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4</xdr:row>
      <xdr:rowOff>0</xdr:rowOff>
    </xdr:from>
    <xdr:to>
      <xdr:col>1</xdr:col>
      <xdr:colOff>966316</xdr:colOff>
      <xdr:row>10</xdr:row>
      <xdr:rowOff>1</xdr:rowOff>
    </xdr:to>
    <mc:AlternateContent xmlns:mc="http://schemas.openxmlformats.org/markup-compatibility/2006" xmlns:a14="http://schemas.microsoft.com/office/drawing/2010/main">
      <mc:Choice Requires="a14">
        <xdr:graphicFrame macro="">
          <xdr:nvGraphicFramePr>
            <xdr:cNvPr id="18" name="Platform"/>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0" y="829733"/>
              <a:ext cx="1829916" cy="1117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16933</xdr:rowOff>
    </xdr:from>
    <xdr:to>
      <xdr:col>1</xdr:col>
      <xdr:colOff>957292</xdr:colOff>
      <xdr:row>16</xdr:row>
      <xdr:rowOff>25400</xdr:rowOff>
    </xdr:to>
    <mc:AlternateContent xmlns:mc="http://schemas.openxmlformats.org/markup-compatibility/2006" xmlns:a14="http://schemas.microsoft.com/office/drawing/2010/main">
      <mc:Choice Requires="a14">
        <xdr:graphicFrame macro="">
          <xdr:nvGraphicFramePr>
            <xdr:cNvPr id="20"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964266"/>
              <a:ext cx="1820892" cy="1126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965200</xdr:colOff>
      <xdr:row>3</xdr:row>
      <xdr:rowOff>177801</xdr:rowOff>
    </xdr:from>
    <xdr:to>
      <xdr:col>4</xdr:col>
      <xdr:colOff>454967</xdr:colOff>
      <xdr:row>16</xdr:row>
      <xdr:rowOff>25400</xdr:rowOff>
    </xdr:to>
    <mc:AlternateContent xmlns:mc="http://schemas.openxmlformats.org/markup-compatibility/2006" xmlns:a14="http://schemas.microsoft.com/office/drawing/2010/main">
      <mc:Choice Requires="a14">
        <xdr:graphicFrame macro="">
          <xdr:nvGraphicFramePr>
            <xdr:cNvPr id="22"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828800" y="821268"/>
              <a:ext cx="1818100" cy="2269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25400</xdr:colOff>
      <xdr:row>19</xdr:row>
      <xdr:rowOff>0</xdr:rowOff>
    </xdr:from>
    <xdr:to>
      <xdr:col>21</xdr:col>
      <xdr:colOff>135467</xdr:colOff>
      <xdr:row>21</xdr:row>
      <xdr:rowOff>177799</xdr:rowOff>
    </xdr:to>
    <xdr:sp macro="" textlink="">
      <xdr:nvSpPr>
        <xdr:cNvPr id="2" name="Rounded Rectangle 1"/>
        <xdr:cNvSpPr/>
      </xdr:nvSpPr>
      <xdr:spPr>
        <a:xfrm>
          <a:off x="12361333" y="3623733"/>
          <a:ext cx="1329267" cy="550333"/>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scene3d>
            <a:camera prst="perspectiveAbove"/>
            <a:lightRig rig="threePt" dir="t"/>
          </a:scene3d>
        </a:bodyPr>
        <a:lstStyle/>
        <a:p>
          <a:pPr algn="l"/>
          <a:r>
            <a:rPr lang="en-IN" sz="1100">
              <a:solidFill>
                <a:schemeClr val="tx1"/>
              </a:solidFill>
            </a:rPr>
            <a:t>      </a:t>
          </a:r>
          <a:r>
            <a:rPr lang="en-IN" sz="1200" b="1" i="1">
              <a:solidFill>
                <a:schemeClr val="tx1"/>
              </a:solidFill>
            </a:rPr>
            <a:t>TOTAL</a:t>
          </a:r>
          <a:r>
            <a:rPr lang="en-IN" sz="1200" b="1" i="1" baseline="0">
              <a:solidFill>
                <a:schemeClr val="tx1"/>
              </a:solidFill>
            </a:rPr>
            <a:t> SALES</a:t>
          </a:r>
          <a:endParaRPr lang="en-IN" sz="1100" b="1" i="1" baseline="0">
            <a:solidFill>
              <a:schemeClr val="tx1"/>
            </a:solidFill>
          </a:endParaRPr>
        </a:p>
        <a:p>
          <a:pPr algn="l"/>
          <a:r>
            <a:rPr lang="en-IN" sz="1100" baseline="0">
              <a:solidFill>
                <a:schemeClr val="tx1"/>
              </a:solidFill>
            </a:rPr>
            <a:t>        </a:t>
          </a:r>
          <a:r>
            <a:rPr lang="en-IN" sz="1400" b="1" i="1" baseline="0">
              <a:solidFill>
                <a:schemeClr val="tx1"/>
              </a:solidFill>
            </a:rPr>
            <a:t>₹ 43.60 Cr</a:t>
          </a:r>
          <a:endParaRPr lang="en-IN" sz="1100" b="1" i="1">
            <a:solidFill>
              <a:schemeClr val="tx1"/>
            </a:solidFill>
          </a:endParaRPr>
        </a:p>
      </xdr:txBody>
    </xdr:sp>
    <xdr:clientData/>
  </xdr:twoCellAnchor>
  <xdr:twoCellAnchor>
    <xdr:from>
      <xdr:col>21</xdr:col>
      <xdr:colOff>279400</xdr:colOff>
      <xdr:row>18</xdr:row>
      <xdr:rowOff>177800</xdr:rowOff>
    </xdr:from>
    <xdr:to>
      <xdr:col>23</xdr:col>
      <xdr:colOff>575734</xdr:colOff>
      <xdr:row>21</xdr:row>
      <xdr:rowOff>169333</xdr:rowOff>
    </xdr:to>
    <xdr:sp macro="" textlink="">
      <xdr:nvSpPr>
        <xdr:cNvPr id="23" name="Rounded Rectangle 22"/>
        <xdr:cNvSpPr/>
      </xdr:nvSpPr>
      <xdr:spPr>
        <a:xfrm>
          <a:off x="13834533" y="3615267"/>
          <a:ext cx="1515534" cy="55033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i="1" baseline="0">
              <a:solidFill>
                <a:schemeClr val="tx1"/>
              </a:solidFill>
            </a:rPr>
            <a:t>CUSTOMER RATING                       </a:t>
          </a:r>
          <a:endParaRPr lang="en-IN" sz="1100" b="1" i="1" baseline="0">
            <a:solidFill>
              <a:schemeClr val="tx1"/>
            </a:solidFill>
          </a:endParaRPr>
        </a:p>
        <a:p>
          <a:pPr algn="l"/>
          <a:r>
            <a:rPr lang="en-IN" sz="1100" b="1" i="1" baseline="0">
              <a:solidFill>
                <a:schemeClr val="tx1"/>
              </a:solidFill>
            </a:rPr>
            <a:t>                   </a:t>
          </a:r>
          <a:r>
            <a:rPr lang="en-IN" sz="1400" b="1" i="1" baseline="0">
              <a:solidFill>
                <a:schemeClr val="tx1"/>
              </a:solidFill>
            </a:rPr>
            <a:t>4.6   </a:t>
          </a:r>
          <a:endParaRPr lang="en-IN" sz="1100" b="1" i="1">
            <a:solidFill>
              <a:schemeClr val="tx1"/>
            </a:solidFill>
          </a:endParaRPr>
        </a:p>
      </xdr:txBody>
    </xdr:sp>
    <xdr:clientData/>
  </xdr:twoCellAnchor>
  <xdr:twoCellAnchor>
    <xdr:from>
      <xdr:col>21</xdr:col>
      <xdr:colOff>270932</xdr:colOff>
      <xdr:row>25</xdr:row>
      <xdr:rowOff>16932</xdr:rowOff>
    </xdr:from>
    <xdr:to>
      <xdr:col>23</xdr:col>
      <xdr:colOff>567267</xdr:colOff>
      <xdr:row>28</xdr:row>
      <xdr:rowOff>8465</xdr:rowOff>
    </xdr:to>
    <xdr:sp macro="" textlink="">
      <xdr:nvSpPr>
        <xdr:cNvPr id="24" name="Rounded Rectangle 23"/>
        <xdr:cNvSpPr/>
      </xdr:nvSpPr>
      <xdr:spPr>
        <a:xfrm>
          <a:off x="13826065" y="4758265"/>
          <a:ext cx="1515535" cy="55033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100" b="1" i="1">
              <a:solidFill>
                <a:schemeClr val="tx1"/>
              </a:solidFill>
            </a:rPr>
            <a:t>               Profit </a:t>
          </a:r>
        </a:p>
        <a:p>
          <a:pPr algn="l"/>
          <a:r>
            <a:rPr lang="en-IN" sz="1100" b="1" i="1">
              <a:solidFill>
                <a:schemeClr val="tx1"/>
              </a:solidFill>
            </a:rPr>
            <a:t>             </a:t>
          </a:r>
          <a:r>
            <a:rPr lang="en-IN" sz="1400" b="1" i="1">
              <a:solidFill>
                <a:schemeClr val="tx1"/>
              </a:solidFill>
            </a:rPr>
            <a:t>20.00%</a:t>
          </a:r>
          <a:endParaRPr lang="en-IN" sz="1100" b="1" i="1">
            <a:solidFill>
              <a:schemeClr val="tx1"/>
            </a:solidFill>
          </a:endParaRPr>
        </a:p>
      </xdr:txBody>
    </xdr:sp>
    <xdr:clientData/>
  </xdr:twoCellAnchor>
  <xdr:twoCellAnchor>
    <xdr:from>
      <xdr:col>19</xdr:col>
      <xdr:colOff>42333</xdr:colOff>
      <xdr:row>25</xdr:row>
      <xdr:rowOff>25401</xdr:rowOff>
    </xdr:from>
    <xdr:to>
      <xdr:col>21</xdr:col>
      <xdr:colOff>152400</xdr:colOff>
      <xdr:row>28</xdr:row>
      <xdr:rowOff>16934</xdr:rowOff>
    </xdr:to>
    <xdr:sp macro="" textlink="">
      <xdr:nvSpPr>
        <xdr:cNvPr id="26" name="Rounded Rectangle 25"/>
        <xdr:cNvSpPr/>
      </xdr:nvSpPr>
      <xdr:spPr>
        <a:xfrm>
          <a:off x="12378266" y="4766734"/>
          <a:ext cx="1329267" cy="550333"/>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b="1" i="1">
              <a:solidFill>
                <a:schemeClr val="tx1"/>
              </a:solidFill>
            </a:rPr>
            <a:t>        TOTAL ORDER</a:t>
          </a:r>
        </a:p>
        <a:p>
          <a:pPr algn="l"/>
          <a:r>
            <a:rPr lang="en-IN" sz="1400" b="1" i="1">
              <a:solidFill>
                <a:schemeClr val="tx1"/>
              </a:solidFill>
            </a:rPr>
            <a:t>         1560</a:t>
          </a:r>
          <a:endParaRPr lang="en-IN" sz="1100" b="1" i="1">
            <a:solidFill>
              <a:schemeClr val="tx1"/>
            </a:solidFill>
          </a:endParaRPr>
        </a:p>
      </xdr:txBody>
    </xdr:sp>
    <xdr:clientData/>
  </xdr:twoCellAnchor>
  <xdr:twoCellAnchor editAs="oneCell">
    <xdr:from>
      <xdr:col>19</xdr:col>
      <xdr:colOff>164332</xdr:colOff>
      <xdr:row>26</xdr:row>
      <xdr:rowOff>30795</xdr:rowOff>
    </xdr:from>
    <xdr:to>
      <xdr:col>19</xdr:col>
      <xdr:colOff>423333</xdr:colOff>
      <xdr:row>27</xdr:row>
      <xdr:rowOff>90448</xdr:rowOff>
    </xdr:to>
    <xdr:pic>
      <xdr:nvPicPr>
        <xdr:cNvPr id="12" name="Graphic 11" descr="Shopping cart">
          <a:extLst>
            <a:ext uri="{FF2B5EF4-FFF2-40B4-BE49-F238E27FC236}">
              <a16:creationId xmlns:a16="http://schemas.microsoft.com/office/drawing/2014/main" id="{2DD4CE67-2D45-4CC1-A1CC-0613594F5A4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 xmlns:asvg="http://schemas.microsoft.com/office/drawing/2016/SVG/main" r:embed="rId12"/>
            </a:ext>
          </a:extLst>
        </a:blip>
        <a:stretch>
          <a:fillRect/>
        </a:stretch>
      </xdr:blipFill>
      <xdr:spPr>
        <a:xfrm>
          <a:off x="12500265" y="4958395"/>
          <a:ext cx="259001" cy="245920"/>
        </a:xfrm>
        <a:prstGeom prst="rect">
          <a:avLst/>
        </a:prstGeom>
      </xdr:spPr>
    </xdr:pic>
    <xdr:clientData/>
  </xdr:twoCellAnchor>
  <xdr:twoCellAnchor editAs="oneCell">
    <xdr:from>
      <xdr:col>19</xdr:col>
      <xdr:colOff>63509</xdr:colOff>
      <xdr:row>19</xdr:row>
      <xdr:rowOff>169916</xdr:rowOff>
    </xdr:from>
    <xdr:to>
      <xdr:col>19</xdr:col>
      <xdr:colOff>330200</xdr:colOff>
      <xdr:row>21</xdr:row>
      <xdr:rowOff>63276</xdr:rowOff>
    </xdr:to>
    <xdr:pic>
      <xdr:nvPicPr>
        <xdr:cNvPr id="17" name="Graphic 16" descr="Bar chart">
          <a:extLst>
            <a:ext uri="{FF2B5EF4-FFF2-40B4-BE49-F238E27FC236}">
              <a16:creationId xmlns:a16="http://schemas.microsoft.com/office/drawing/2014/main" id="{0FBB35FB-3D9A-4FAE-98A8-A0F391A1F62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 xmlns:asvg="http://schemas.microsoft.com/office/drawing/2016/SVG/main" r:embed="rId14"/>
            </a:ext>
          </a:extLst>
        </a:blip>
        <a:stretch>
          <a:fillRect/>
        </a:stretch>
      </xdr:blipFill>
      <xdr:spPr>
        <a:xfrm>
          <a:off x="12399442" y="3793649"/>
          <a:ext cx="266691" cy="265894"/>
        </a:xfrm>
        <a:prstGeom prst="rect">
          <a:avLst/>
        </a:prstGeom>
      </xdr:spPr>
    </xdr:pic>
    <xdr:clientData/>
  </xdr:twoCellAnchor>
  <xdr:twoCellAnchor>
    <xdr:from>
      <xdr:col>22</xdr:col>
      <xdr:colOff>186267</xdr:colOff>
      <xdr:row>20</xdr:row>
      <xdr:rowOff>84665</xdr:rowOff>
    </xdr:from>
    <xdr:to>
      <xdr:col>22</xdr:col>
      <xdr:colOff>355599</xdr:colOff>
      <xdr:row>21</xdr:row>
      <xdr:rowOff>67733</xdr:rowOff>
    </xdr:to>
    <xdr:sp macro="" textlink="">
      <xdr:nvSpPr>
        <xdr:cNvPr id="3" name="5-Point Star 2"/>
        <xdr:cNvSpPr/>
      </xdr:nvSpPr>
      <xdr:spPr>
        <a:xfrm>
          <a:off x="14351000" y="3894665"/>
          <a:ext cx="169332" cy="169335"/>
        </a:xfrm>
        <a:prstGeom prst="star5">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228600</xdr:colOff>
      <xdr:row>25</xdr:row>
      <xdr:rowOff>152401</xdr:rowOff>
    </xdr:from>
    <xdr:to>
      <xdr:col>23</xdr:col>
      <xdr:colOff>228600</xdr:colOff>
      <xdr:row>27</xdr:row>
      <xdr:rowOff>0</xdr:rowOff>
    </xdr:to>
    <xdr:cxnSp macro="">
      <xdr:nvCxnSpPr>
        <xdr:cNvPr id="5" name="Straight Arrow Connector 4"/>
        <xdr:cNvCxnSpPr/>
      </xdr:nvCxnSpPr>
      <xdr:spPr>
        <a:xfrm flipV="1">
          <a:off x="15002933" y="4893734"/>
          <a:ext cx="0" cy="2201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524934</xdr:colOff>
      <xdr:row>2</xdr:row>
      <xdr:rowOff>76201</xdr:rowOff>
    </xdr:from>
    <xdr:to>
      <xdr:col>8</xdr:col>
      <xdr:colOff>279401</xdr:colOff>
      <xdr:row>3</xdr:row>
      <xdr:rowOff>101600</xdr:rowOff>
    </xdr:to>
    <xdr:sp macro="" textlink="">
      <xdr:nvSpPr>
        <xdr:cNvPr id="6" name="4-Point Star 5"/>
        <xdr:cNvSpPr/>
      </xdr:nvSpPr>
      <xdr:spPr>
        <a:xfrm>
          <a:off x="5545667" y="448734"/>
          <a:ext cx="364067" cy="296333"/>
        </a:xfrm>
        <a:prstGeom prst="star4">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414868</xdr:colOff>
      <xdr:row>2</xdr:row>
      <xdr:rowOff>84667</xdr:rowOff>
    </xdr:from>
    <xdr:to>
      <xdr:col>16</xdr:col>
      <xdr:colOff>169335</xdr:colOff>
      <xdr:row>3</xdr:row>
      <xdr:rowOff>110066</xdr:rowOff>
    </xdr:to>
    <xdr:sp macro="" textlink="">
      <xdr:nvSpPr>
        <xdr:cNvPr id="28" name="4-Point Star 27"/>
        <xdr:cNvSpPr/>
      </xdr:nvSpPr>
      <xdr:spPr>
        <a:xfrm>
          <a:off x="10312401" y="457200"/>
          <a:ext cx="364067" cy="296333"/>
        </a:xfrm>
        <a:prstGeom prst="star4">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499533</xdr:colOff>
      <xdr:row>5</xdr:row>
      <xdr:rowOff>169333</xdr:rowOff>
    </xdr:from>
    <xdr:to>
      <xdr:col>24</xdr:col>
      <xdr:colOff>279400</xdr:colOff>
      <xdr:row>6</xdr:row>
      <xdr:rowOff>143932</xdr:rowOff>
    </xdr:to>
    <xdr:sp macro="" textlink="">
      <xdr:nvSpPr>
        <xdr:cNvPr id="10" name="Rectangle 9">
          <a:hlinkClick xmlns:r="http://schemas.openxmlformats.org/officeDocument/2006/relationships" r:id="rId1"/>
        </xdr:cNvPr>
        <xdr:cNvSpPr/>
      </xdr:nvSpPr>
      <xdr:spPr>
        <a:xfrm>
          <a:off x="15273866" y="1185333"/>
          <a:ext cx="389467" cy="160866"/>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245533</xdr:colOff>
      <xdr:row>18</xdr:row>
      <xdr:rowOff>143934</xdr:rowOff>
    </xdr:from>
    <xdr:to>
      <xdr:col>3</xdr:col>
      <xdr:colOff>127000</xdr:colOff>
      <xdr:row>20</xdr:row>
      <xdr:rowOff>8467</xdr:rowOff>
    </xdr:to>
    <xdr:sp macro="" textlink="">
      <xdr:nvSpPr>
        <xdr:cNvPr id="11" name="Rectangle 10">
          <a:hlinkClick xmlns:r="http://schemas.openxmlformats.org/officeDocument/2006/relationships" r:id="rId1"/>
        </xdr:cNvPr>
        <xdr:cNvSpPr/>
      </xdr:nvSpPr>
      <xdr:spPr>
        <a:xfrm>
          <a:off x="2218266" y="3581401"/>
          <a:ext cx="491067" cy="237066"/>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558801</xdr:colOff>
      <xdr:row>20</xdr:row>
      <xdr:rowOff>143933</xdr:rowOff>
    </xdr:from>
    <xdr:to>
      <xdr:col>12</xdr:col>
      <xdr:colOff>160868</xdr:colOff>
      <xdr:row>21</xdr:row>
      <xdr:rowOff>152399</xdr:rowOff>
    </xdr:to>
    <xdr:sp macro="" textlink="">
      <xdr:nvSpPr>
        <xdr:cNvPr id="15" name="Rectangle 14">
          <a:hlinkClick xmlns:r="http://schemas.openxmlformats.org/officeDocument/2006/relationships" r:id="rId1"/>
        </xdr:cNvPr>
        <xdr:cNvSpPr/>
      </xdr:nvSpPr>
      <xdr:spPr>
        <a:xfrm>
          <a:off x="7408334" y="3953933"/>
          <a:ext cx="821267" cy="194733"/>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160867</xdr:colOff>
      <xdr:row>21</xdr:row>
      <xdr:rowOff>42333</xdr:rowOff>
    </xdr:from>
    <xdr:to>
      <xdr:col>18</xdr:col>
      <xdr:colOff>135467</xdr:colOff>
      <xdr:row>22</xdr:row>
      <xdr:rowOff>50800</xdr:rowOff>
    </xdr:to>
    <xdr:sp macro="" textlink="">
      <xdr:nvSpPr>
        <xdr:cNvPr id="16" name="Rectangle 15">
          <a:hlinkClick xmlns:r="http://schemas.openxmlformats.org/officeDocument/2006/relationships" r:id="rId1"/>
        </xdr:cNvPr>
        <xdr:cNvSpPr/>
      </xdr:nvSpPr>
      <xdr:spPr>
        <a:xfrm>
          <a:off x="11277600" y="4038600"/>
          <a:ext cx="584200" cy="194733"/>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42333</xdr:rowOff>
    </xdr:from>
    <xdr:to>
      <xdr:col>5</xdr:col>
      <xdr:colOff>231205</xdr:colOff>
      <xdr:row>29</xdr:row>
      <xdr:rowOff>184686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0.84937</cdr:x>
      <cdr:y>0.01936</cdr:y>
    </cdr:from>
    <cdr:to>
      <cdr:x>0.97114</cdr:x>
      <cdr:y>0.16618</cdr:y>
    </cdr:to>
    <cdr:sp macro="" textlink="">
      <cdr:nvSpPr>
        <cdr:cNvPr id="2" name="Rectangle 1">
          <a:hlinkClick xmlns:a="http://schemas.openxmlformats.org/drawingml/2006/main" xmlns:r="http://schemas.openxmlformats.org/officeDocument/2006/relationships" r:id="rId1"/>
        </cdr:cNvPr>
        <cdr:cNvSpPr/>
      </cdr:nvSpPr>
      <cdr:spPr>
        <a:xfrm xmlns:a="http://schemas.openxmlformats.org/drawingml/2006/main">
          <a:off x="3425287" y="42431"/>
          <a:ext cx="491066" cy="321724"/>
        </a:xfrm>
        <a:prstGeom xmlns:a="http://schemas.openxmlformats.org/drawingml/2006/main" prst="rect">
          <a:avLst/>
        </a:prstGeom>
        <a:solidFill xmlns:a="http://schemas.openxmlformats.org/drawingml/2006/main">
          <a:schemeClr val="bg1">
            <a:lumMod val="95000"/>
          </a:schemeClr>
        </a:solidFill>
        <a:ln xmlns:a="http://schemas.openxmlformats.org/drawingml/2006/main">
          <a:solidFill>
            <a:schemeClr val="bg1">
              <a:lumMod val="95000"/>
            </a:schemeClr>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5</xdr:col>
      <xdr:colOff>290436</xdr:colOff>
      <xdr:row>0</xdr:row>
      <xdr:rowOff>0</xdr:rowOff>
    </xdr:from>
    <xdr:to>
      <xdr:col>6</xdr:col>
      <xdr:colOff>18972</xdr:colOff>
      <xdr:row>1</xdr:row>
      <xdr:rowOff>40252</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74021" y="0"/>
          <a:ext cx="338768" cy="223638"/>
        </a:xfrm>
        <a:prstGeom prst="rect">
          <a:avLst/>
        </a:prstGeom>
      </xdr:spPr>
    </xdr:pic>
    <xdr:clientData/>
  </xdr:twoCellAnchor>
  <xdr:twoCellAnchor editAs="oneCell">
    <xdr:from>
      <xdr:col>10</xdr:col>
      <xdr:colOff>60073</xdr:colOff>
      <xdr:row>0</xdr:row>
      <xdr:rowOff>0</xdr:rowOff>
    </xdr:from>
    <xdr:to>
      <xdr:col>10</xdr:col>
      <xdr:colOff>398841</xdr:colOff>
      <xdr:row>1</xdr:row>
      <xdr:rowOff>40252</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94820" y="0"/>
          <a:ext cx="338768" cy="223638"/>
        </a:xfrm>
        <a:prstGeom prst="rect">
          <a:avLst/>
        </a:prstGeom>
      </xdr:spPr>
    </xdr:pic>
    <xdr:clientData/>
  </xdr:twoCellAnchor>
  <xdr:twoCellAnchor editAs="oneCell">
    <xdr:from>
      <xdr:col>0</xdr:col>
      <xdr:colOff>0</xdr:colOff>
      <xdr:row>0</xdr:row>
      <xdr:rowOff>0</xdr:rowOff>
    </xdr:from>
    <xdr:to>
      <xdr:col>3</xdr:col>
      <xdr:colOff>15089</xdr:colOff>
      <xdr:row>21</xdr:row>
      <xdr:rowOff>173524</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682436" cy="42249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qccs" refreshedDate="46174.587874999997" createdVersion="6" refreshedVersion="6" minRefreshableVersion="3" recordCount="1560">
  <cacheSource type="worksheet">
    <worksheetSource name="Table13"/>
  </cacheSource>
  <cacheFields count="20">
    <cacheField name="Order ID" numFmtId="0">
      <sharedItems count="1441">
        <s v="171-1029312-3038738"/>
        <s v="405-2183842-2225946"/>
        <s v="171-1641533-8921966"/>
        <s v="404-7490807-6300351"/>
        <s v="403-9293516-4577154"/>
        <s v="407-1298130-0368305"/>
        <s v="171-5561216-3398711"/>
        <s v="408-2935263-2935550"/>
        <s v="404-2648970-9042715"/>
        <s v="408-0265357-4939534"/>
        <s v="403-9268874-7296313"/>
        <s v="407-0442660-2736366"/>
        <s v="406-7482261-1657136"/>
        <s v="407-7039962-7080347"/>
        <s v="407-3422488-7373923"/>
        <s v="171-8974687-6745940"/>
        <s v="406-0244536-2177175"/>
        <s v="404-4376789-3345166"/>
        <s v="408-1943310-9789160"/>
        <s v="403-0950590-5005155"/>
        <s v="406-3935670-5720350"/>
        <s v="402-0398999-0011565"/>
        <s v="403-5438780-7231546"/>
        <s v="406-8343960-8137102"/>
        <s v="406-0986513-0498758"/>
        <s v="406-0947452-6044339"/>
        <s v="406-1326018-3426760"/>
        <s v="406-9281717-2212317"/>
        <s v="408-6866119-6793128"/>
        <s v="403-9400852-1350710"/>
        <s v="408-2606836-0473931"/>
        <s v="405-8481179-1130753"/>
        <s v="406-9686095-5057139"/>
        <s v="404-9033015-7527503"/>
        <s v="402-6932218-7744338"/>
        <s v="408-8796291-5026713"/>
        <s v="407-9654105-3225150"/>
        <s v="402-0637532-2672317"/>
        <s v="404-3393819-5081930"/>
        <s v="406-5673590-1054739"/>
        <s v="403-5846829-5098742"/>
        <s v="171-4087298-3807569"/>
        <s v="408-7694743-7590732"/>
        <s v="406-8068610-1108329"/>
        <s v="171-7917674-9759550"/>
        <s v="406-2709798-4585159"/>
        <s v="405-4213846-6141157"/>
        <s v="407-7381557-9088310"/>
        <s v="403-0817885-3061963"/>
        <s v="171-2439278-5433152"/>
        <s v="405-8874360-4913961"/>
        <s v="408-4675134-5301129"/>
        <s v="402-9907523-6175562"/>
        <s v="407-7643005-7856329"/>
        <s v="407-0381223-7065145"/>
        <s v="407-8538186-6616316"/>
        <s v="403-1785530-0119510"/>
        <s v="403-0824767-1871567"/>
        <s v="404-8169153-4411563"/>
        <s v="406-5169174-3536336"/>
        <s v="402-2130722-4734768"/>
        <s v="404-8399604-8880365"/>
        <s v="403-8213196-3804353"/>
        <s v="408-3286680-0659521"/>
        <s v="403-6014983-8111514"/>
        <s v="403-6950860-5590722"/>
        <s v="406-7030051-2742704"/>
        <s v="404-6041386-2803516"/>
        <s v="404-7958450-6860328"/>
        <s v="408-7814128-2203552"/>
        <s v="403-9793483-6877106"/>
        <s v="402-5297818-3665137"/>
        <s v="171-2070545-3786767"/>
        <s v="406-1756314-4546723"/>
        <s v="404-8786932-9447520"/>
        <s v="408-8573929-1921943"/>
        <s v="407-8980704-1408352"/>
        <s v="171-2516658-6849136"/>
        <s v="404-0105497-2446747"/>
        <s v="406-6468339-1490707"/>
        <s v="402-6702100-7257107"/>
        <s v="404-6243782-8199521"/>
        <s v="403-3641651-0348348"/>
        <s v="402-7662369-2719545"/>
        <s v="403-8575376-3341124"/>
        <s v="403-7384618-1017125"/>
        <s v="403-3542194-2527546"/>
        <s v="405-6859790-7125127"/>
        <s v="403-0347306-1283554"/>
        <s v="406-7048232-6973930"/>
        <s v="404-5516090-4385135"/>
        <s v="403-0294848-6612317"/>
        <s v="408-6522716-9753142"/>
        <s v="408-3094141-6564325"/>
        <s v="405-8966819-1579535"/>
        <s v="404-2716293-0209115"/>
        <s v="403-9848998-6793100"/>
        <s v="171-6592212-4665122"/>
        <s v="404-5467416-2849910"/>
        <s v="408-1265802-4542716"/>
        <s v="171-9585512-1214755"/>
        <s v="405-6513430-0509918"/>
        <s v="406-7694216-8034754"/>
        <s v="408-5911668-5550717"/>
        <s v="404-5364170-6523532"/>
        <s v="405-3614770-5449966"/>
        <s v="404-1246579-1197122"/>
        <s v="406-6695683-9996343"/>
        <s v="404-1994186-3865941"/>
        <s v="404-0172471-1609129"/>
        <s v="406-0681598-4591519"/>
        <s v="407-1388772-0703516"/>
        <s v="408-3131740-5067529"/>
        <s v="402-5496750-0331528"/>
        <s v="403-0816846-6852364"/>
        <s v="408-0278400-0572330"/>
        <s v="403-8079606-6799503"/>
        <s v="171-4636514-5082740"/>
        <s v="406-9847734-4402766"/>
        <s v="403-8860022-0290733"/>
        <s v="408-1669205-3638714"/>
        <s v="406-6737238-3993139"/>
        <s v="402-9605076-2885164"/>
        <s v="406-9542566-5579564"/>
        <s v="408-1540604-8952365"/>
        <s v="405-9367631-7902714"/>
        <s v="403-0595996-9383507"/>
        <s v="407-8256896-7645127"/>
        <s v="407-1064158-5677135"/>
        <s v="407-2727693-8699567"/>
        <s v="171-6844452-3288337"/>
        <s v="171-6908439-1987505"/>
        <s v="406-9626742-4153157"/>
        <s v="403-9383537-0791567"/>
        <s v="403-6048785-9857964"/>
        <s v="402-1040945-8225167"/>
        <s v="171-8224545-5941925"/>
        <s v="405-8391201-0161964"/>
        <s v="406-2036568-3507558"/>
        <s v="407-0131231-1980322"/>
        <s v="402-5387048-4695525"/>
        <s v="402-4700322-7377926"/>
        <s v="405-4774074-9942741"/>
        <s v="408-4236224-6705913"/>
        <s v="402-9698056-3215551"/>
        <s v="404-1092399-0229128"/>
        <s v="408-1867708-9856317"/>
        <s v="402-7163849-6357160"/>
        <s v="408-7372776-3077164"/>
        <s v="405-7757271-3277914"/>
        <s v="407-6304030-7294757"/>
        <s v="408-7790665-4334734"/>
        <s v="407-5595686-6100341"/>
        <s v="405-8251665-3225166"/>
        <s v="171-7054852-3448331"/>
        <s v="403-1132538-4037168"/>
        <s v="402-2642921-6231538"/>
        <s v="406-6293095-0239521"/>
        <s v="402-2438137-5393935"/>
        <s v="407-6539984-2399543"/>
        <s v="403-4740407-5307521"/>
        <s v="408-9159866-0466729"/>
        <s v="403-1619866-3571523"/>
        <s v="406-6502399-8558757"/>
        <s v="408-7238770-6140358"/>
        <s v="407-1376871-0295557"/>
        <s v="408-8257154-7073948"/>
        <s v="404-4145340-2637920"/>
        <s v="405-9073647-9045956"/>
        <s v="408-8882909-7090727"/>
        <s v="405-9353236-5655530"/>
        <s v="404-8519920-6090711"/>
        <s v="408-9860710-2994745"/>
        <s v="407-9474390-3484334"/>
        <s v="407-5085571-9113956"/>
        <s v="405-9457709-1221161"/>
        <s v="171-2746120-7458740"/>
        <s v="403-1878389-1237106"/>
        <s v="403-0476685-3465137"/>
        <s v="171-1845045-0161128"/>
        <s v="404-9933073-6187548"/>
        <s v="404-5497347-2324338"/>
        <s v="408-7912532-3769108"/>
        <s v="171-9766258-8979520"/>
        <s v="406-1473140-7914743"/>
        <s v="403-0524091-8412339"/>
        <s v="402-6280655-6962731"/>
        <s v="405-1920070-1571501"/>
        <s v="406-2265901-9858750"/>
        <s v="406-0476593-3693958"/>
        <s v="171-8490583-2352307"/>
        <s v="404-5716384-0233143"/>
        <s v="404-5226206-1753945"/>
        <s v="405-3951365-4622755"/>
        <s v="403-2485702-8968337"/>
        <s v="404-5716802-5805922"/>
        <s v="408-8120045-5093125"/>
        <s v="408-7328394-2683533"/>
        <s v="406-6875530-0340315"/>
        <s v="171-3453298-1736319"/>
        <s v="406-6898340-9370767"/>
        <s v="171-9867216-3827533"/>
        <s v="407-5042032-5902761"/>
        <s v="402-0063406-6968362"/>
        <s v="404-8307667-6071518"/>
        <s v="403-7968627-6588328"/>
        <s v="408-5521742-2526737"/>
        <s v="171-5834744-7793919"/>
        <s v="408-7465655-2417933"/>
        <s v="403-3665568-5477149"/>
        <s v="405-7420219-7316315"/>
        <s v="406-5160745-8578760"/>
        <s v="408-8985896-3094744"/>
        <s v="404-9796800-6627547"/>
        <s v="171-5617430-3197928"/>
        <s v="402-8714035-8722711"/>
        <s v="404-1798937-4461134"/>
        <s v="404-2448060-6133124"/>
        <s v="403-3863417-2662702"/>
        <s v="405-0282991-3215561"/>
        <s v="405-2276390-9797969"/>
        <s v="404-0089951-1037143"/>
        <s v="407-2696952-4496353"/>
        <s v="406-9622079-6413136"/>
        <s v="407-8773331-0580350"/>
        <s v="402-1035887-0881935"/>
        <s v="407-8863009-7029160"/>
        <s v="407-5771983-6473156"/>
        <s v="171-0442536-7993105"/>
        <s v="406-5850336-2669159"/>
        <s v="404-7926847-6820357"/>
        <s v="407-1525291-4033115"/>
        <s v="402-4283278-7350709"/>
        <s v="408-4667355-3438769"/>
        <s v="407-0085101-4310729"/>
        <s v="405-4215381-1387550"/>
        <s v="402-8558087-9373934"/>
        <s v="171-5827792-5989157"/>
        <s v="404-6723060-3710716"/>
        <s v="407-2944135-5841949"/>
        <s v="403-5156440-5557142"/>
        <s v="171-0228693-4451506"/>
        <s v="404-2147583-0438768"/>
        <s v="403-6048700-0847561"/>
        <s v="402-6722174-1193131"/>
        <s v="403-9624470-3476324"/>
        <s v="406-8164407-2451567"/>
        <s v="406-9640916-4101160"/>
        <s v="404-0915050-8994707"/>
        <s v="408-9285338-0178748"/>
        <s v="406-0644445-0198740"/>
        <s v="406-4997330-6723506"/>
        <s v="406-3048145-0469117"/>
        <s v="407-7168499-5342708"/>
        <s v="406-3180908-1826707"/>
        <s v="406-2286700-9196347"/>
        <s v="402-3305763-7175509"/>
        <s v="171-5676727-5195556"/>
        <s v="406-8302065-7086738"/>
        <s v="404-7098912-5234706"/>
        <s v="407-3848348-8301958"/>
        <s v="405-9613429-2310750"/>
        <s v="403-2921633-1318754"/>
        <s v="402-1713822-0853144"/>
        <s v="402-9822747-1695509"/>
        <s v="406-6548679-2663552"/>
        <s v="404-2406097-0070722"/>
        <s v="171-9919199-2172366"/>
        <s v="407-8024399-9735535"/>
        <s v="407-7721497-0677130"/>
        <s v="404-5590210-3310736"/>
        <s v="405-5326871-4946749"/>
        <s v="403-0490720-7265113"/>
        <s v="408-0391103-2451522"/>
        <s v="406-8905689-1231505"/>
        <s v="406-4720373-1796308"/>
        <s v="171-0767351-4049960"/>
        <s v="406-8967945-9865112"/>
        <s v="406-5675757-8121123"/>
        <s v="404-8218066-2747520"/>
        <s v="406-0529992-7047502"/>
        <s v="402-6630432-1486758"/>
        <s v="402-2194113-9960330"/>
        <s v="408-7856161-4027511"/>
        <s v="406-0781206-8987568"/>
        <s v="402-7780555-9142724"/>
        <s v="406-6047509-9643544"/>
        <s v="404-6615959-0723530"/>
        <s v="407-4084518-2229124"/>
        <s v="171-2902438-9165910"/>
        <s v="404-6082959-9813962"/>
        <s v="403-0608880-2574737"/>
        <s v="402-5815426-9929904"/>
        <s v="408-4983896-0694703"/>
        <s v="405-0249073-8317935"/>
        <s v="171-0296282-8433917"/>
        <s v="171-1853947-2973900"/>
        <s v="405-4651921-1784303"/>
        <s v="408-6987211-8854766"/>
        <s v="407-4835989-5602707"/>
        <s v="403-9124078-0215546"/>
        <s v="402-1781950-2669162"/>
        <s v="402-3695347-2013126"/>
        <s v="408-2332327-0487560"/>
        <s v="403-6393323-6741142"/>
        <s v="407-1741029-5266753"/>
        <s v="403-9462001-4407543"/>
        <s v="403-6561746-7889157"/>
        <s v="406-8231592-9325919"/>
        <s v="406-1813868-8437102"/>
        <s v="406-5627675-2622734"/>
        <s v="407-2239856-6606703"/>
        <s v="171-7546685-6644333"/>
        <s v="406-3017458-9363561"/>
        <s v="405-5708054-7423510"/>
        <s v="402-9342662-5811521"/>
        <s v="405-9584565-3810723"/>
        <s v="404-0229964-5801945"/>
        <s v="171-2567899-3847556"/>
        <s v="408-3120227-6994715"/>
        <s v="402-1162355-7211525"/>
        <s v="408-2844001-0981151"/>
        <s v="402-1796640-7014716"/>
        <s v="171-0223976-9461113"/>
        <s v="404-8085873-0181948"/>
        <s v="407-7767130-4281167"/>
        <s v="404-2118526-2790752"/>
        <s v="402-7688970-4239508"/>
        <s v="406-3678042-9067560"/>
        <s v="406-4725061-4210743"/>
        <s v="408-8125364-5064333"/>
        <s v="407-7787158-3304334"/>
        <s v="402-1559586-4174756"/>
        <s v="407-4277775-0428332"/>
        <s v="404-8238226-8953914"/>
        <s v="404-3874867-5497948"/>
        <s v="403-9065362-7267545"/>
        <s v="408-4405714-0789902"/>
        <s v="403-1957132-0346731"/>
        <s v="406-8630007-6024339"/>
        <s v="406-2849866-2096350"/>
        <s v="407-8910046-5091542"/>
        <s v="171-3946363-9695506"/>
        <s v="406-8490644-0317143"/>
        <s v="406-0017510-2532368"/>
        <s v="403-1607946-0444316"/>
        <s v="408-4402120-6747556"/>
        <s v="171-6741005-1801114"/>
        <s v="404-7396160-3109963"/>
        <s v="404-9872468-1444314"/>
        <s v="404-6685775-1613117"/>
        <s v="404-2742059-8824359"/>
        <s v="406-0431359-8413934"/>
        <s v="405-2254374-5147557"/>
        <s v="407-2506744-5951526"/>
        <s v="402-0225967-3261167"/>
        <s v="405-9746730-8113940"/>
        <s v="406-2994704-8893164"/>
        <s v="402-4768183-2277151"/>
        <s v="404-5358164-6149103"/>
        <s v="171-8201125-9962754"/>
        <s v="408-6455153-3669106"/>
        <s v="406-6936302-2339562"/>
        <s v="402-9117771-0156352"/>
        <s v="402-3176719-0844359"/>
        <s v="404-5627495-7389162"/>
        <s v="171-8666099-9479515"/>
        <s v="171-2950631-8351558"/>
        <s v="171-2273061-9777923"/>
        <s v="408-5272502-9527553"/>
        <s v="404-3639245-2253157"/>
        <s v="406-5199868-7786757"/>
        <s v="408-2633521-9125911"/>
        <s v="406-3204932-9448315"/>
        <s v="405-8846329-1473130"/>
        <s v="408-5669660-2079503"/>
        <s v="408-3743867-9908301"/>
        <s v="402-8790622-7591520"/>
        <s v="404-6016873-4061920"/>
        <s v="408-4515678-2038716"/>
        <s v="407-0206214-9199520"/>
        <s v="402-9158142-1673135"/>
        <s v="402-6580211-9975502"/>
        <s v="407-8484605-5225931"/>
        <s v="407-7905996-4330721"/>
        <s v="404-3907505-1541107"/>
        <s v="405-2722190-1193960"/>
        <s v="405-0418007-4920325"/>
        <s v="404-5462211-6965126"/>
        <s v="407-2928531-4669118"/>
        <s v="405-7292810-2395534"/>
        <s v="403-9326035-9206751"/>
        <s v="171-6812698-7999567"/>
        <s v="406-7886687-0751556"/>
        <s v="408-3456962-9764315"/>
        <s v="404-0411709-7385150"/>
        <s v="407-1344787-9871507"/>
        <s v="171-2659259-1404303"/>
        <s v="171-0305106-2384363"/>
        <s v="408-5678500-0253935"/>
        <s v="408-3697381-1299504"/>
        <s v="402-8129717-4838741"/>
        <s v="405-3833087-4361140"/>
        <s v="171-1274138-4366747"/>
        <s v="402-9198525-9884330"/>
        <s v="405-7457952-1411503"/>
        <s v="171-7699990-1206737"/>
        <s v="407-6424721-8534711"/>
        <s v="406-2944289-9780307"/>
        <s v="407-2792923-9568332"/>
        <s v="403-3320475-3277105"/>
        <s v="408-8953982-1101145"/>
        <s v="171-6114234-9173936"/>
        <s v="406-5161481-7949123"/>
        <s v="171-3592356-2844355"/>
        <s v="405-2156012-1676332"/>
        <s v="407-7763289-2889162"/>
        <s v="405-4103369-1897153"/>
        <s v="402-0443362-1827532"/>
        <s v="407-6267284-3340319"/>
        <s v="403-4684341-9100316"/>
        <s v="405-6359794-8845948"/>
        <s v="404-0585668-7605924"/>
        <s v="405-5140252-2700363"/>
        <s v="405-5694760-3734737"/>
        <s v="403-0823948-7106755"/>
        <s v="403-8869312-5542720"/>
        <s v="171-0395605-4197937"/>
        <s v="406-6399089-3723519"/>
        <s v="405-3884074-1912342"/>
        <s v="403-7035656-8372302"/>
        <s v="406-1229439-6357914"/>
        <s v="403-4947593-1372365"/>
        <s v="402-4491188-7124367"/>
        <s v="407-1775998-6454709"/>
        <s v="408-8876998-9810704"/>
        <s v="406-0216823-6545905"/>
        <s v="406-1863792-6381102"/>
        <s v="171-1002340-4588349"/>
        <s v="403-2216196-8989933"/>
        <s v="408-4300165-9396326"/>
        <s v="406-8400190-2999545"/>
        <s v="405-9113248-9314745"/>
        <s v="402-5520338-9778758"/>
        <s v="171-5510344-6923543"/>
        <s v="407-0648743-0725138"/>
        <s v="171-4525940-0891507"/>
        <s v="171-5487299-6205113"/>
        <s v="171-3760677-1367533"/>
        <s v="408-3086922-1029106"/>
        <s v="402-4283216-6574726"/>
        <s v="408-0263159-4320328"/>
        <s v="406-2735063-3679501"/>
        <s v="406-1908556-1071530"/>
        <s v="406-0263726-5575551"/>
        <s v="403-0828016-0451506"/>
        <s v="403-3510246-5512302"/>
        <s v="403-1562996-3132350"/>
        <s v="402-1412370-9685169"/>
        <s v="403-0195090-0359513"/>
        <s v="408-4805720-2828314"/>
        <s v="408-1482595-9961958"/>
        <s v="404-0561569-5414723"/>
        <s v="404-9913700-4902721"/>
        <s v="404-6038553-2708307"/>
        <s v="407-3491457-0963526"/>
        <s v="171-9395757-8658715"/>
        <s v="171-5763184-9158761"/>
        <s v="404-3307096-8985128"/>
        <s v="402-1646848-7925135"/>
        <s v="408-6918550-2763518"/>
        <s v="408-0470788-0615524"/>
        <s v="408-4125863-6581125"/>
        <s v="405-1619093-9851565"/>
        <s v="408-3714219-0253939"/>
        <s v="404-8275680-9341960"/>
        <s v="404-6032671-5435545"/>
        <s v="405-6130966-3411567"/>
        <s v="406-0193925-5025108"/>
        <s v="404-5373067-2161925"/>
        <s v="402-8119281-8018720"/>
        <s v="407-1994630-2789904"/>
        <s v="403-4549965-5374727"/>
        <s v="402-0008673-0033151"/>
        <s v="407-4166762-0677156"/>
        <s v="406-8960622-0081958"/>
        <s v="406-0634942-2596333"/>
        <s v="406-5158965-8921161"/>
        <s v="408-5490746-7089139"/>
        <s v="405-7528511-4203536"/>
        <s v="404-4047531-9682767"/>
        <s v="407-2277333-1295519"/>
        <s v="405-6993353-1283507"/>
        <s v="402-7209804-2247548"/>
        <s v="171-2721307-6181962"/>
        <s v="408-4244576-9116343"/>
        <s v="403-6685847-4507544"/>
        <s v="171-1981568-5231569"/>
        <s v="404-0205757-1520336"/>
        <s v="402-2303396-0904316"/>
        <s v="403-3553137-7152321"/>
        <s v="171-7882707-9911529"/>
        <s v="405-1286640-6913124"/>
        <s v="408-1531245-1663517"/>
        <s v="171-9890628-7457933"/>
        <s v="405-6101159-5807544"/>
        <s v="403-5964555-4790764"/>
        <s v="408-2410897-7557123"/>
        <s v="403-6177297-3420318"/>
        <s v="408-8813507-3063501"/>
        <s v="403-1973643-5554719"/>
        <s v="403-8630605-0690769"/>
        <s v="406-8611373-5539557"/>
        <s v="408-2044365-9097967"/>
        <s v="403-8151832-3333941"/>
        <s v="171-2235887-5585145"/>
        <s v="404-3998205-7286762"/>
        <s v="404-5548596-8561152"/>
        <s v="408-0252614-8486701"/>
        <s v="405-5497113-3123502"/>
        <s v="404-4640147-9453139"/>
        <s v="408-1729818-8505930"/>
        <s v="405-3488885-1780355"/>
        <s v="404-3898679-4793931"/>
        <s v="405-0937120-4395504"/>
        <s v="171-3504837-5617119"/>
        <s v="408-2374778-6181118"/>
        <s v="406-5504608-9635536"/>
        <s v="402-1316762-0594717"/>
        <s v="402-1749092-6325957"/>
        <s v="408-3238001-7081138"/>
        <s v="402-8136697-0684301"/>
        <s v="406-8378600-4217138"/>
        <s v="404-2839193-7107551"/>
        <s v="403-8374030-6006715"/>
        <s v="403-6081434-3402708"/>
        <s v="402-3658501-5533112"/>
        <s v="408-7272392-5617143"/>
        <s v="403-8984518-5638700"/>
        <s v="406-4461058-4386706"/>
        <s v="406-9980959-3520369"/>
        <s v="405-5984744-5075555"/>
        <s v="407-6101487-7449166"/>
        <s v="405-4816337-9550701"/>
        <s v="404-0605697-4066746"/>
        <s v="404-1759089-8145144"/>
        <s v="408-6149021-3150762"/>
        <s v="408-0290999-5302701"/>
        <s v="171-7562871-5776336"/>
        <s v="405-4777340-3371531"/>
        <s v="404-5372960-0722709"/>
        <s v="407-2526682-4359517"/>
        <s v="403-6073591-9257102"/>
        <s v="405-2229567-3510707"/>
        <s v="408-7874045-9757902"/>
        <s v="403-6811391-9186758"/>
        <s v="403-6078306-9320314"/>
        <s v="407-4034081-1985949"/>
        <s v="171-3374384-6724310"/>
        <s v="402-4369754-3524352"/>
        <s v="402-9530023-7697127"/>
        <s v="406-6608262-5184312"/>
        <s v="406-6067494-4405113"/>
        <s v="407-6126480-7755547"/>
        <s v="408-3151405-6535513"/>
        <s v="402-3362405-1645124"/>
        <s v="407-7255132-0575516"/>
        <s v="403-6566928-7562711"/>
        <s v="407-5987847-1705915"/>
        <s v="403-5787687-0598730"/>
        <s v="404-9893613-2835503"/>
        <s v="404-7723881-4591532"/>
        <s v="407-9821652-8525912"/>
        <s v="407-4875861-3893165"/>
        <s v="407-6059740-6613143"/>
        <s v="404-6970756-2865919"/>
        <s v="404-6287760-5811531"/>
        <s v="407-3375305-1897959"/>
        <s v="408-9068476-2560348"/>
        <s v="407-8909433-0661906"/>
        <s v="405-3129936-0683547"/>
        <s v="405-6638259-2676369"/>
        <s v="407-7157837-3135527"/>
        <s v="406-2631519-5168319"/>
        <s v="406-0271961-3764362"/>
        <s v="402-2733877-9862735"/>
        <s v="402-0732793-4610749"/>
        <s v="171-4577946-2828333"/>
        <s v="408-9482794-2578763"/>
        <s v="407-5010143-3173104"/>
        <s v="408-6353578-8825133"/>
        <s v="402-7193353-0926754"/>
        <s v="406-1369375-3623565"/>
        <s v="406-5751421-7464360"/>
        <s v="406-2525671-6634725"/>
        <s v="402-1148969-0636313"/>
        <s v="407-1480412-0866746"/>
        <s v="406-1581803-2195535"/>
        <s v="407-1589269-5759523"/>
        <s v="171-0163677-1965150"/>
        <s v="405-5591629-4525126"/>
        <s v="402-2762496-7761108"/>
        <s v="405-3613696-0678764"/>
        <s v="406-8674741-3793158"/>
        <s v="406-3961682-5581168"/>
        <s v="171-9993814-3190752"/>
        <s v="403-1484966-4413950"/>
        <s v="406-2998401-6811569"/>
        <s v="408-0443250-3512362"/>
        <s v="408-1440632-1945912"/>
        <s v="171-2943155-2926761"/>
        <s v="407-0165114-4631534"/>
        <s v="408-0330056-8590708"/>
        <s v="404-8480814-8579555"/>
        <s v="408-9740627-8617114"/>
        <s v="407-9143448-0039516"/>
        <s v="402-6604106-8120327"/>
        <s v="403-9917475-5929124"/>
        <s v="171-8161439-4079513"/>
        <s v="405-3946933-9781937"/>
        <s v="408-3357610-1993157"/>
        <s v="405-2411749-8232351"/>
        <s v="403-5633467-8586744"/>
        <s v="171-3228955-2719539"/>
        <s v="405-9973433-8409167"/>
        <s v="406-1130253-9645148"/>
        <s v="405-9716987-0970701"/>
        <s v="403-1032774-8688341"/>
        <s v="171-0125115-0251504"/>
        <s v="407-6537606-3419529"/>
        <s v="408-0082399-4053916"/>
        <s v="404-6673630-5993956"/>
        <s v="404-5782801-6911546"/>
        <s v="404-5183329-5670702"/>
        <s v="406-8426061-9645149"/>
        <s v="171-7753431-7325114"/>
        <s v="406-9159324-1538737"/>
        <s v="171-3646143-0060353"/>
        <s v="403-0805366-7554750"/>
        <s v="405-6120035-9541123"/>
        <s v="407-1702986-1421937"/>
        <s v="403-8413071-1724308"/>
        <s v="408-3883141-4527531"/>
        <s v="406-4815236-3169110"/>
        <s v="408-1811551-4974757"/>
        <s v="402-6885401-7329145"/>
        <s v="408-4554912-8730752"/>
        <s v="171-4700451-1733943"/>
        <s v="407-9857388-6845100"/>
        <s v="406-0663102-6031540"/>
        <s v="406-5836547-3208327"/>
        <s v="404-0289403-1633154"/>
        <s v="403-3997749-6443569"/>
        <s v="407-3035696-4045959"/>
        <s v="405-3958289-7453141"/>
        <s v="408-9939687-9918717"/>
        <s v="403-0742597-2741165"/>
        <s v="406-7435000-4093964"/>
        <s v="406-9495841-6581130"/>
        <s v="403-9612837-4457931"/>
        <s v="406-2001002-8825957"/>
        <s v="403-9992014-0049967"/>
        <s v="404-2298965-1087513"/>
        <s v="408-6229533-1087567"/>
        <s v="404-9396326-7233962"/>
        <s v="404-9923260-4935541"/>
        <s v="402-3220216-6909135"/>
        <s v="408-9096009-2107540"/>
        <s v="407-1123100-7051559"/>
        <s v="407-6297503-8597161"/>
        <s v="406-6558831-2810709"/>
        <s v="406-8089991-0219519"/>
        <s v="171-0812377-2640321"/>
        <s v="404-5421512-4545151"/>
        <s v="405-1249390-7866716"/>
        <s v="405-2502357-4840334"/>
        <s v="405-1922681-4762747"/>
        <s v="407-8366587-3978700"/>
        <s v="405-8607134-1812312"/>
        <s v="406-0227495-3360339"/>
        <s v="402-0103011-3085929"/>
        <s v="408-2795018-8546722"/>
        <s v="405-6445472-3237166"/>
        <s v="404-7957175-1288342"/>
        <s v="407-9856168-8177132"/>
        <s v="406-0419767-8687515"/>
        <s v="406-4237412-1877937"/>
        <s v="402-4852879-9557936"/>
        <s v="406-1405445-2740331"/>
        <s v="171-6884354-7629106"/>
        <s v="405-8622174-5731520"/>
        <s v="406-2722780-7170744"/>
        <s v="402-5335990-8721117"/>
        <s v="408-7826950-8605131"/>
        <s v="403-5059217-9886714"/>
        <s v="407-0494347-4841919"/>
        <s v="404-2719685-0915526"/>
        <s v="406-2095200-9824314"/>
        <s v="404-2454836-6665164"/>
        <s v="405-6200433-6965164"/>
        <s v="406-5499856-1309108"/>
        <s v="403-7665140-4705964"/>
        <s v="402-2440471-7318708"/>
        <s v="406-3006045-7344308"/>
        <s v="407-8395290-3912311"/>
        <s v="402-0946941-8722759"/>
        <s v="402-1458563-2999526"/>
        <s v="408-6352387-7619502"/>
        <s v="406-3994643-7944343"/>
        <s v="405-1301703-2911523"/>
        <s v="408-9479330-9640353"/>
        <s v="402-3896864-2257960"/>
        <s v="171-1345584-0305913"/>
        <s v="406-5716860-1087513"/>
        <s v="403-4272710-9603542"/>
        <s v="403-0922290-0045902"/>
        <s v="406-1740618-7365108"/>
        <s v="402-0602968-8505152"/>
        <s v="406-9062863-3205963"/>
        <s v="407-3613368-5414714"/>
        <s v="407-4420178-6245108"/>
        <s v="406-4969411-1737120"/>
        <s v="403-9145699-0891532"/>
        <s v="403-9303710-7481931"/>
        <s v="402-3306879-3090710"/>
        <s v="404-3772426-6601163"/>
        <s v="407-6142702-5974757"/>
        <s v="405-9677638-6001110"/>
        <s v="405-3539534-8901924"/>
        <s v="405-3693017-2205908"/>
        <s v="403-0908483-3701163"/>
        <s v="171-3061762-9849126"/>
        <s v="403-0309970-1989164"/>
        <s v="403-1438249-7888320"/>
        <s v="407-1877949-9701954"/>
        <s v="171-9045024-0449125"/>
        <s v="407-7001559-5353144"/>
        <s v="407-9419615-8996338"/>
        <s v="406-0472980-6081900"/>
        <s v="403-2179320-9533162"/>
        <s v="404-2051832-9446748"/>
        <s v="403-1945413-7438713"/>
        <s v="408-8267857-7779506"/>
        <s v="404-4748694-7841146"/>
        <s v="406-2831295-8801146"/>
        <s v="403-5974139-0333955"/>
        <s v="407-7598776-6957125"/>
        <s v="407-7930396-2901166"/>
        <s v="406-3709623-0877957"/>
        <s v="404-9721972-3410748"/>
        <s v="402-7604634-2210752"/>
        <s v="405-3948279-4407517"/>
        <s v="404-3319282-3197160"/>
        <s v="408-3567779-0153960"/>
        <s v="403-5569066-3161917"/>
        <s v="405-3424885-4584343"/>
        <s v="407-4504136-9174763"/>
        <s v="171-4416496-4148317"/>
        <s v="171-1440289-2257118"/>
        <s v="406-5195596-1373150"/>
        <s v="404-6836093-4686708"/>
        <s v="403-3894545-9296345"/>
        <s v="403-9536882-7597936"/>
        <s v="404-7032778-0033125"/>
        <s v="404-9812865-0641953"/>
        <s v="408-8429877-6764327"/>
        <s v="404-6154566-7669146"/>
        <s v="407-8728806-1980300"/>
        <s v="407-6662354-8389920"/>
        <s v="403-8629012-9654726"/>
        <s v="408-6505389-2952366"/>
        <s v="405-1492499-3691547"/>
        <s v="404-0301836-2893148"/>
        <s v="406-4159700-6397165"/>
        <s v="403-2887251-3119564"/>
        <s v="171-7320995-0133908"/>
        <s v="404-5897451-3269135"/>
        <s v="408-9561002-1480339"/>
        <s v="408-0518681-2689902"/>
        <s v="408-5800756-9017154"/>
        <s v="408-9551282-5755521"/>
        <s v="407-1742599-9441940"/>
        <s v="402-4054097-8031537"/>
        <s v="408-0232355-4886745"/>
        <s v="404-4278165-0023508"/>
        <s v="405-5168343-2086729"/>
        <s v="403-1130175-1592300"/>
        <s v="408-4898598-8925109"/>
        <s v="406-3795610-8211533"/>
        <s v="404-7823038-1649938"/>
        <s v="171-1437321-6025112"/>
        <s v="404-7153481-7117115"/>
        <s v="406-1576659-9604322"/>
        <s v="403-5072383-5333948"/>
        <s v="171-5832764-8157106"/>
        <s v="171-8588805-2190744"/>
        <s v="402-1545696-7090760"/>
        <s v="404-1757235-8741164"/>
        <s v="407-0448685-0002722"/>
        <s v="403-1347567-0769932"/>
        <s v="403-2837536-6512347"/>
        <s v="405-6876247-7899530"/>
        <s v="171-4416097-2761962"/>
        <s v="171-0190504-4615525"/>
        <s v="408-4803090-8159534"/>
        <s v="405-8571498-4668327"/>
        <s v="408-5114197-9508305"/>
        <s v="404-1461366-8181146"/>
        <s v="404-7633246-0216359"/>
        <s v="402-5938534-8114768"/>
        <s v="402-1289227-9296359"/>
        <s v="171-4143249-8767551"/>
        <s v="402-3944282-8486765"/>
        <s v="404-8638286-5100333"/>
        <s v="405-2785878-7224331"/>
        <s v="404-0315286-6484371"/>
        <s v="171-6270083-7754715"/>
        <s v="171-1058080-2209107"/>
        <s v="403-4628219-3826724"/>
        <s v="404-7413963-8041919"/>
        <s v="404-9606909-5176336"/>
        <s v="408-9097278-3674767"/>
        <s v="405-6827896-1784369"/>
        <s v="406-6531661-6153918"/>
        <s v="404-7474272-9900307"/>
        <s v="403-0155203-1327546"/>
        <s v="402-6856164-7868363"/>
        <s v="402-0663538-6027557"/>
        <s v="408-6572067-0079511"/>
        <s v="404-8676194-9123566"/>
        <s v="404-6006451-2617908"/>
        <s v="404-1554862-0960354"/>
        <s v="403-3806917-4238763"/>
        <s v="408-3789491-1957141"/>
        <s v="171-0453363-5226718"/>
        <s v="405-5098546-3433146"/>
        <s v="407-5300804-9397959"/>
        <s v="404-3662956-5304335"/>
        <s v="403-0531561-5399516"/>
        <s v="407-9833713-1365951"/>
        <s v="406-1294687-9143544"/>
        <s v="171-6527765-9624365"/>
        <s v="402-1421330-0529137"/>
        <s v="407-8545866-1721954"/>
        <s v="408-0161822-0369956"/>
        <s v="405-8352525-8821134"/>
        <s v="405-9889721-7009107"/>
        <s v="402-2928429-1722767"/>
        <s v="404-4094878-4444358"/>
        <s v="405-3326468-3847539"/>
        <s v="171-3577335-7911510"/>
        <s v="407-6008360-3653945"/>
        <s v="407-4041108-6413924"/>
        <s v="408-0412154-5254702"/>
        <s v="408-5774555-2536339"/>
        <s v="407-9793868-2735551"/>
        <s v="407-8340679-1081117"/>
        <s v="403-3651024-2696305"/>
        <s v="403-4086571-1310731"/>
        <s v="171-8101571-8805130"/>
        <s v="406-2494201-9703566"/>
        <s v="404-2072482-5942738"/>
        <s v="408-1942302-2393124"/>
        <s v="408-4183814-6882753"/>
        <s v="408-3629671-5149134"/>
        <s v="408-9941188-4772351"/>
        <s v="403-2975043-7474732"/>
        <s v="403-0909589-1805112"/>
        <s v="404-1642533-1535566"/>
        <s v="171-8074188-5905928"/>
        <s v="408-0709714-3977134"/>
        <s v="403-6573904-1410705"/>
        <s v="407-8738723-6091537"/>
        <s v="403-6194318-0886738"/>
        <s v="404-4038476-8957102"/>
        <s v="408-7440385-4081138"/>
        <s v="402-6619987-5148350"/>
        <s v="408-9142846-2003544"/>
        <s v="402-2901693-7417911"/>
        <s v="402-5023447-9301130"/>
        <s v="407-2197786-7537161"/>
        <s v="408-7351765-3161135"/>
        <s v="402-8268269-0873160"/>
        <s v="408-7419991-8433140"/>
        <s v="406-4157685-5550726"/>
        <s v="404-2316020-4952337"/>
        <s v="171-0776342-8366747"/>
        <s v="404-2200412-4224329"/>
        <s v="403-8221697-2336339"/>
        <s v="407-5267552-8334724"/>
        <s v="405-3885317-9486701"/>
        <s v="404-1465947-1734721"/>
        <s v="404-6465978-3108303"/>
        <s v="402-9783452-8799547"/>
        <s v="403-3213670-7331515"/>
        <s v="171-3339810-3302729"/>
        <s v="402-9980990-5646704"/>
        <s v="408-2826022-0769111"/>
        <s v="403-9556007-4165919"/>
        <s v="408-7910008-9999528"/>
        <s v="408-3401875-7993916"/>
        <s v="407-9281615-5634760"/>
        <s v="404-2556651-9481937"/>
        <s v="405-6980134-7609120"/>
        <s v="402-7043825-7697146"/>
        <s v="404-9943161-9726723"/>
        <s v="405-6161501-5711536"/>
        <s v="408-1800054-3066726"/>
        <s v="171-3817375-8052351"/>
        <s v="407-8094337-1596367"/>
        <s v="406-0409481-2861165"/>
        <s v="408-5631828-3639533"/>
        <s v="408-4300105-3777130"/>
        <s v="402-2276792-8819531"/>
        <s v="171-5665972-4789900"/>
        <s v="406-9452126-2581966"/>
        <s v="408-0103546-4986735"/>
        <s v="407-2218153-8478768"/>
        <s v="406-7470771-3758762"/>
        <s v="408-8008371-1443500"/>
        <s v="408-5525005-4842704"/>
        <s v="402-6713711-0789936"/>
        <s v="408-3459640-7799567"/>
        <s v="403-1139880-9661117"/>
        <s v="404-2147768-1895562"/>
        <s v="404-1713962-4756362"/>
        <s v="402-2775921-7296350"/>
        <s v="405-6729877-9693936"/>
        <s v="404-7452370-7833959"/>
        <s v="403-4610802-5037953"/>
        <s v="407-8201411-0573143"/>
        <s v="404-3221405-4775529"/>
        <s v="408-2037089-7785934"/>
        <s v="402-7557394-0502723"/>
        <s v="404-3323074-6713955"/>
        <s v="403-0102795-2967514"/>
        <s v="408-3147509-3754740"/>
        <s v="407-4438368-9997139"/>
        <s v="406-5800044-4533905"/>
        <s v="403-6654250-6447565"/>
        <s v="171-7682756-9597956"/>
        <s v="407-9785816-0422762"/>
        <s v="406-2365972-0941918"/>
        <s v="404-6050123-6362721"/>
        <s v="403-4846280-6984311"/>
        <s v="403-5531302-6908308"/>
        <s v="408-5403329-8870708"/>
        <s v="408-1327021-0176335"/>
        <s v="402-2338187-9720319"/>
        <s v="171-1476514-5094705"/>
        <s v="403-9067431-5288301"/>
        <s v="403-3080765-3269909"/>
        <s v="403-4984515-8861958"/>
        <s v="403-0173977-3041148"/>
        <s v="404-3781773-5273155"/>
        <s v="404-8901446-2653111"/>
        <s v="408-6347718-5029952"/>
        <s v="403-9825843-7404304"/>
        <s v="408-7186513-1799530"/>
        <s v="171-3240121-9241919"/>
        <s v="403-9995247-2928350"/>
        <s v="403-2713312-9909901"/>
        <s v="405-8150725-9017959"/>
        <s v="408-5211914-0490753"/>
        <s v="404-3446819-0733165"/>
        <s v="404-0507148-4270713"/>
        <s v="406-1462525-3769134"/>
        <s v="171-5162864-3641937"/>
        <s v="404-0277376-1733949"/>
        <s v="406-0822699-7322749"/>
        <s v="404-5091416-1492320"/>
        <s v="406-9647815-8723542"/>
        <s v="406-0159818-3450761"/>
        <s v="404-9772395-0039531"/>
        <s v="403-6798354-2263530"/>
        <s v="402-1332654-5251565"/>
        <s v="402-0525055-9985118"/>
        <s v="402-4949647-5281130"/>
        <s v="171-5718861-2675548"/>
        <s v="404-2491025-5387539"/>
        <s v="406-3017669-8989931"/>
        <s v="407-0490921-5859564"/>
        <s v="402-5444548-3809964"/>
        <s v="171-5737174-1856332"/>
        <s v="408-8548158-4519552"/>
        <s v="402-9974851-9147523"/>
        <s v="404-2220793-9097120"/>
        <s v="171-9155153-6653959"/>
        <s v="171-5595188-7063520"/>
        <s v="405-6760345-6457136"/>
        <s v="403-3569139-2083525"/>
        <s v="403-5016171-3285148"/>
        <s v="406-9184688-6906737"/>
        <s v="407-1196333-2230765"/>
        <s v="404-9978425-4809103"/>
        <s v="171-9569162-1245942"/>
        <s v="407-7208859-3898727"/>
        <s v="408-9116386-3651541"/>
        <s v="171-7286119-6769964"/>
        <s v="402-2546275-3844326"/>
        <s v="407-5135320-3506755"/>
        <s v="171-9884525-8785141"/>
        <s v="402-5628966-8442711"/>
        <s v="402-6138380-1211540"/>
        <s v="402-0159112-4885968"/>
        <s v="402-1960238-4917133"/>
        <s v="402-9188859-4729952"/>
        <s v="406-5563976-0103545"/>
        <s v="171-3204934-7787534"/>
        <s v="171-3227935-2578752"/>
        <s v="407-5187364-8725950"/>
        <s v="405-8698294-0717140"/>
        <s v="407-2360764-5530758"/>
        <s v="402-3600740-4760302"/>
        <s v="406-4102435-4088307"/>
        <s v="407-1197282-0109105"/>
        <s v="406-8315179-7364362"/>
        <s v="404-5956376-5614708"/>
        <s v="403-0781625-4879500"/>
        <s v="404-9106012-7938733"/>
        <s v="171-8784631-0682742"/>
        <s v="408-6382984-0553131"/>
        <s v="408-3409162-0932334"/>
        <s v="404-0268369-1493116"/>
        <s v="405-7747946-4255535"/>
        <s v="404-4576235-3073169"/>
        <s v="402-9819217-7541123"/>
        <s v="408-9419371-0086756"/>
        <s v="408-2984947-1433156"/>
        <s v="171-4088819-5081132"/>
        <s v="408-7200684-0823516"/>
        <s v="402-6143193-4145139"/>
        <s v="406-2913362-7901131"/>
        <s v="404-3137600-0679501"/>
        <s v="408-0957621-9941156"/>
        <s v="407-3447197-1460332"/>
        <s v="405-1705244-7821124"/>
        <s v="171-9614792-2227508"/>
        <s v="403-8301835-9228321"/>
        <s v="404-2627419-4552336"/>
        <s v="408-3515311-0058764"/>
        <s v="404-3198986-6816347"/>
        <s v="404-6279164-4356352"/>
        <s v="171-9749497-7602720"/>
        <s v="407-9660150-7244310"/>
        <s v="402-8382670-7081102"/>
        <s v="402-3434817-3641933"/>
        <s v="171-9026178-2712338"/>
        <s v="171-1772770-4108334"/>
        <s v="408-4810346-7958738"/>
        <s v="171-5036499-1237961"/>
        <s v="402-9923193-2209157"/>
        <s v="171-8994624-7251518"/>
        <s v="407-1943998-9901109"/>
        <s v="406-4121086-6297136"/>
        <s v="408-7921257-0326734"/>
        <s v="171-5616318-2458723"/>
        <s v="405-9642932-2006758"/>
        <s v="406-5276879-7075555"/>
        <s v="406-1075951-9174722"/>
        <s v="406-1392839-4713138"/>
        <s v="405-0892155-9847536"/>
        <s v="402-6036845-7332322"/>
        <s v="402-2877315-5162760"/>
        <s v="405-6460858-7129966"/>
        <s v="408-1944603-0379557"/>
        <s v="408-0250238-8769138"/>
        <s v="405-9499050-5171500"/>
        <s v="403-0222189-7617901"/>
        <s v="408-5663565-1382716"/>
        <s v="171-1606875-0089905"/>
        <s v="405-1299137-2024328"/>
        <s v="403-0426424-3530756"/>
        <s v="171-5696671-5675553"/>
        <s v="171-9603913-5850730"/>
        <s v="405-8089566-5121109"/>
        <s v="408-2717249-5331517"/>
        <s v="406-0158981-2460343"/>
        <s v="406-6141946-5762720"/>
        <s v="404-3264468-0141160"/>
        <s v="403-9977490-8025947"/>
        <s v="406-4597589-8227527"/>
        <s v="406-2544564-3421918"/>
        <s v="405-4833870-8872327"/>
        <s v="402-7010898-8650751"/>
        <s v="404-9967268-8442740"/>
        <s v="407-1897745-3007529"/>
        <s v="408-4450198-7298706"/>
        <s v="406-8761336-2400326"/>
        <s v="406-3528677-3229155"/>
        <s v="408-8373738-0517923"/>
        <s v="408-1366596-3556334"/>
        <s v="407-6229553-6805162"/>
        <s v="408-4989878-5077108"/>
        <s v="405-5176395-1833943"/>
        <s v="408-2470347-2212333"/>
        <s v="171-8121668-5375518"/>
        <s v="407-1484330-2890736"/>
        <s v="403-1753921-0793124"/>
        <s v="404-6968357-9473147"/>
        <s v="406-5809177-9237945"/>
        <s v="402-1398058-8566735"/>
        <s v="171-8829622-5044318"/>
        <s v="408-4573619-9451545"/>
        <s v="404-9927746-3838701"/>
        <s v="408-4786933-5305914"/>
        <s v="403-7002542-6292300"/>
        <s v="402-6834677-7678748"/>
        <s v="405-5535723-4491520"/>
        <s v="171-8979469-3174739"/>
        <s v="404-7768870-2998735"/>
        <s v="405-2713833-5356345"/>
        <s v="405-4803692-5689168"/>
        <s v="402-3727132-9219540"/>
        <s v="406-2714485-3755510"/>
        <s v="407-1518509-5932309"/>
        <s v="402-8172172-5965943"/>
        <s v="407-2616604-4625963"/>
        <s v="402-6767779-6718718"/>
        <s v="408-3501607-6055523"/>
        <s v="407-3838385-5235523"/>
        <s v="407-6957650-9319552"/>
        <s v="404-4245640-8749126"/>
        <s v="402-3967649-7487511"/>
        <s v="171-4422587-6968347"/>
        <s v="402-5787329-2190764"/>
        <s v="404-2485892-2327537"/>
        <s v="402-8503995-0738737"/>
        <s v="406-6087504-9522731"/>
        <s v="406-4199509-7531504"/>
        <s v="404-3985944-7931524"/>
        <s v="408-1025273-0247564"/>
        <s v="406-9225888-4709100"/>
        <s v="171-9109452-2675541"/>
        <s v="403-9160131-5349911"/>
        <s v="404-7287435-7165939"/>
        <s v="171-5480727-1205935"/>
        <s v="402-2447093-9720315"/>
        <s v="402-1706520-2668317"/>
        <s v="408-2008379-7377111"/>
        <s v="407-6342847-7656313"/>
        <s v="405-0144548-2018718"/>
        <s v="402-4480208-4687517"/>
        <s v="405-0452328-5293956"/>
        <s v="407-7027004-9188308"/>
        <s v="403-4639579-6487563"/>
        <s v="406-8192502-7520314"/>
        <s v="403-1073898-9546707"/>
        <s v="403-8105776-5684353"/>
        <s v="404-4108433-6669958"/>
        <s v="403-7590596-4000312"/>
        <s v="407-7783914-9335507"/>
        <s v="403-9286257-8004308"/>
        <s v="404-6331688-4354744"/>
        <s v="408-6294340-2996314"/>
        <s v="408-4969347-0339535"/>
        <s v="407-8321158-5315544"/>
        <s v="407-6510714-5718730"/>
        <s v="407-1094625-7097121"/>
        <s v="405-4748558-1637124"/>
        <s v="404-6381580-3174701"/>
        <s v="408-9691516-4093948"/>
        <s v="408-0629022-3110717"/>
        <s v="171-6838538-3969101"/>
        <s v="403-0775906-5565915"/>
        <s v="407-4153899-7382706"/>
        <s v="171-4483599-5864338"/>
        <s v="406-3796629-7850767"/>
        <s v="407-4018425-4510751"/>
        <s v="404-4788352-4549943"/>
        <s v="407-6680125-5199552"/>
        <s v="404-9068519-3341955"/>
        <s v="404-2989740-6307522"/>
        <s v="405-1201776-2028340"/>
        <s v="407-3901170-2823565"/>
        <s v="403-0728924-5787551"/>
        <s v="171-5683002-3226742"/>
        <s v="405-9722357-4855551"/>
        <s v="404-3662074-1824331"/>
        <s v="171-2438166-4173142"/>
        <s v="403-6820480-4223500"/>
        <s v="408-1750809-0165118"/>
        <s v="406-7894827-4294713"/>
        <s v="404-5359308-3249144"/>
        <s v="404-9083028-6009116"/>
        <s v="402-8259194-4068347"/>
        <s v="402-4731403-9756349"/>
        <s v="405-6035246-7525132"/>
        <s v="407-5687079-8912352"/>
        <s v="171-3334901-4793937"/>
        <s v="404-6920467-2129930"/>
        <s v="407-3698261-4923526"/>
        <s v="407-4288404-1444330"/>
        <s v="406-9156153-5312334"/>
        <s v="406-0906395-7833969"/>
        <s v="406-0723620-7392369"/>
        <s v="402-2273092-0118706"/>
        <s v="171-3012152-7737908"/>
        <s v="405-9259471-2737922"/>
        <s v="403-1302840-4065911"/>
        <s v="406-1876196-6084306"/>
        <s v="403-4476173-7678703"/>
        <s v="408-4491955-4724349"/>
        <s v="407-1796463-8086729"/>
        <s v="406-7829542-9021933"/>
        <s v="406-0186588-4154733"/>
        <s v="404-5873849-4641152"/>
        <s v="408-3993353-7089909"/>
        <s v="406-1857124-5399558"/>
        <s v="171-9626926-8031529"/>
        <s v="407-1415968-1510750"/>
        <s v="407-6627745-3521958"/>
        <s v="171-8703669-3529120"/>
        <s v="406-4343369-0029133"/>
        <s v="171-8061913-6225930"/>
        <s v="171-1461013-9063520"/>
        <s v="404-7692743-9492368"/>
        <s v="408-1974544-3368326"/>
        <s v="404-7274697-0945121"/>
        <s v="404-2470566-9849124"/>
        <s v="405-6374128-1181128"/>
        <s v="406-0863695-3761934"/>
        <s v="404-4798045-1368313"/>
        <s v="404-0556797-7152320"/>
        <s v="171-8490472-4683523"/>
        <s v="402-8775744-6848303"/>
        <s v="406-7924642-4540354"/>
        <s v="406-3739037-6845925"/>
        <s v="406-3392351-9694753"/>
        <s v="405-3583244-8682738"/>
        <s v="171-1004509-7937963"/>
        <s v="406-5149604-4516314"/>
        <s v="408-4945874-5956363"/>
        <s v="402-8370679-9742754"/>
        <s v="171-9757288-1506730"/>
        <s v="403-3422175-8588361"/>
        <s v="407-0975836-1662751"/>
        <s v="404-5339654-8699521"/>
        <s v="171-8807415-3796339"/>
        <s v="406-2584311-5969914"/>
        <s v="406-6248918-3078743"/>
        <s v="408-8830580-2178742"/>
        <s v="403-7466394-6701159"/>
        <s v="408-8156341-0265959"/>
        <s v="403-5346372-0793900"/>
        <s v="402-2452708-4896329"/>
        <s v="406-7338347-7069951"/>
        <s v="406-0211892-0559536"/>
        <s v="171-7532609-3249907"/>
        <s v="403-6043726-6721132"/>
        <s v="407-1712596-4050755"/>
        <s v="405-8411773-8229162"/>
        <s v="407-7844529-5051537"/>
        <s v="171-3775810-2345913"/>
        <s v="171-9012771-7416351"/>
        <s v="171-9136525-1911525"/>
        <s v="407-6279695-7581901"/>
        <s v="171-6817306-4265116"/>
        <s v="405-7298234-3814730"/>
        <s v="405-4771236-4811503"/>
        <s v="405-2906637-7852340"/>
        <s v="406-6316473-9375528"/>
        <s v="402-1860368-5003561"/>
        <s v="407-7120808-1351527"/>
        <s v="405-8385584-8498728"/>
        <s v="404-8409362-0284368"/>
        <s v="407-3508652-5836322"/>
        <s v="403-7981359-9749924"/>
        <s v="405-7938814-1087509"/>
        <s v="171-5730087-9741116"/>
        <s v="171-1008629-5178746"/>
        <s v="407-1528185-7186758"/>
        <s v="408-1908576-3189123"/>
        <s v="408-8035303-1545928"/>
        <s v="407-9696755-1240327"/>
        <s v="402-1679192-6240356"/>
        <s v="408-1564787-5856337"/>
        <s v="407-3896824-6146758"/>
        <s v="407-6528768-8929920"/>
        <s v="408-5099210-1165148"/>
        <s v="171-6350746-9007558"/>
        <s v="405-6139036-4994745"/>
        <s v="406-6549790-6262739"/>
        <s v="404-1912718-8415550"/>
        <s v="404-2345765-1785110"/>
        <s v="171-9054821-6610735"/>
        <s v="405-8065116-7629144"/>
        <s v="408-2516921-3716311"/>
        <s v="403-3759418-6709126"/>
        <s v="408-4141277-0193956"/>
        <s v="403-9333662-4662730"/>
        <s v="403-0771338-5988312"/>
        <s v="402-6544214-3573969"/>
        <s v="406-9213513-4800327"/>
        <s v="405-0433643-1144349"/>
        <s v="171-7430723-6787516"/>
        <s v="408-2912274-2522734"/>
        <s v="405-0023422-9779521"/>
        <s v="408-7234922-1148318"/>
        <s v="171-0490840-3053915"/>
        <s v="171-6516243-3492354"/>
        <s v="171-7222033-5792320"/>
        <s v="403-4347680-3239550"/>
        <s v="171-6525563-8877103"/>
        <s v="405-3186738-7721118"/>
        <s v="403-1826402-9435560"/>
        <s v="406-6667637-9966753"/>
        <s v="406-8156230-5674718"/>
        <s v="171-1728497-2329143"/>
        <s v="407-1435458-1919510"/>
        <s v="406-6913365-0861962"/>
        <s v="171-2993620-5828353"/>
        <s v="408-2359400-8260316"/>
        <s v="406-1518551-8159546"/>
        <s v="408-6485769-9061154"/>
        <s v="404-2640683-8356316"/>
        <s v="404-5332578-7605138"/>
        <s v="408-7565589-4918732"/>
        <s v="404-4011410-5805159"/>
        <s v="407-7383664-4251535"/>
        <s v="407-8020405-7634731"/>
        <s v="402-8026142-9249964"/>
        <s v="403-4670066-5206731"/>
        <s v="407-8441117-8985143"/>
        <s v="171-5347420-8465156"/>
        <s v="402-2135883-0929113"/>
        <s v="408-4711899-6544333"/>
        <s v="402-1353336-2743504"/>
        <s v="407-2333018-0219523"/>
        <s v="402-7346638-7916354"/>
        <s v="404-8672033-7928356"/>
        <s v="408-9222012-8687508"/>
        <s v="404-2256348-5508312"/>
        <s v="171-7378656-4945136"/>
        <s v="404-0303558-0924362"/>
        <s v="406-8358105-5972367"/>
        <s v="407-3023807-2244342"/>
        <s v="402-8951738-8744317"/>
        <s v="406-6421898-2702741"/>
        <s v="406-0366316-9300365"/>
        <s v="408-0881227-1909157"/>
        <s v="407-3188067-2032310"/>
        <s v="402-3062922-7386738"/>
        <s v="171-9851273-1489902"/>
        <s v="408-1252191-5613126"/>
        <s v="404-0801054-7823531"/>
        <s v="404-7262078-0821950"/>
        <s v="407-6529033-8467555"/>
        <s v="406-8454722-9951509"/>
        <s v="403-8944992-1995506"/>
        <s v="402-7298767-9017923"/>
        <s v="406-1642344-8681967"/>
        <s v="407-3289271-0591501"/>
        <s v="408-0224438-4410712"/>
        <s v="404-1154525-5590710"/>
        <s v="404-8669517-8398769"/>
        <s v="406-4894136-3187553"/>
        <s v="404-6441994-0926721"/>
        <s v="407-3857140-4855515"/>
        <s v="405-1461081-8011538"/>
        <s v="403-7515163-6761163"/>
        <s v="403-0584759-6017139"/>
        <s v="403-5237450-0177141"/>
        <s v="406-5008235-5143521"/>
        <s v="407-6214589-9425930"/>
        <s v="403-3465545-9609165"/>
        <s v="404-0390677-9835569"/>
        <s v="406-3680107-7864353"/>
        <s v="406-2033412-3428322"/>
        <s v="407-1477283-7097144"/>
        <s v="404-0988834-5309963"/>
        <s v="408-4583329-2648319"/>
        <s v="406-8936832-7080327"/>
        <s v="406-9911191-2496369"/>
        <s v="171-7773738-6873157"/>
        <s v="405-9652389-5037110"/>
        <s v="406-3312546-5081907"/>
        <s v="171-4251045-7058753"/>
        <s v="403-7485773-0954712"/>
        <s v="408-0986501-7261937"/>
        <s v="403-3791898-1168357"/>
        <s v="406-6685863-8898746"/>
        <s v="402-0345867-3597105"/>
        <s v="171-6911000-1977146"/>
        <s v="406-8893631-9381900"/>
        <s v="405-6796932-0639547"/>
        <s v="405-0271059-1293107"/>
        <s v="408-5064895-2625909"/>
        <s v="408-3798702-4595521"/>
        <s v="405-4107684-2759554"/>
        <s v="405-3572419-8898708"/>
        <s v="404-7685627-5473113"/>
        <s v="405-4362268-3301143"/>
        <s v="404-6435955-3158734"/>
        <s v="171-7448214-1616361"/>
        <s v="403-9969448-7918748"/>
        <s v="402-6359995-5072333"/>
        <s v="171-6597399-7582729"/>
        <s v="405-5356391-0888357"/>
        <s v="402-6382929-0089967"/>
        <s v="404-4133616-6510719"/>
        <s v="171-2288474-6174729"/>
        <s v="407-5308365-9333954"/>
        <s v="407-3359583-8657937"/>
        <s v="403-4652998-4217920"/>
        <s v="171-0193674-5397974"/>
        <s v="171-6183438-2882702"/>
        <s v="406-9541623-4533155"/>
        <s v="407-1537228-7748360"/>
        <s v="404-9462272-0106738"/>
        <s v="404-1453043-8105162"/>
        <s v="171-2894896-0829140"/>
        <s v="408-4224057-4833140"/>
        <s v="171-3637560-6011516"/>
        <s v="403-1352141-9130751"/>
        <s v="402-5813082-6256358"/>
        <s v="402-0894007-8680326"/>
        <s v="404-0465764-3426704"/>
        <s v="405-7376929-8431531"/>
        <s v="403-6661351-9453959"/>
        <s v="171-7910592-4027504"/>
        <s v="408-5104847-3122755"/>
        <s v="405-1466365-1742736"/>
        <s v="406-3705877-1440321"/>
        <s v="406-3064916-4566740"/>
        <s v="402-5730171-4461904"/>
        <s v="404-5008674-0541137"/>
        <s v="171-5329056-1935521"/>
        <s v="402-9071801-7321147"/>
        <s v="407-0254956-0204378"/>
        <s v="402-1522564-9974760"/>
        <s v="402-6029952-7326765"/>
        <s v="406-7454120-0577940"/>
        <s v="408-9528462-6373103"/>
        <s v="171-5127854-9868331"/>
        <s v="171-8690203-8305108"/>
        <s v="405-7352987-7841152"/>
        <s v="403-4024641-1322716"/>
        <s v="407-5527376-6269119"/>
        <s v="407-1689926-8825916"/>
        <s v="408-1214329-1764333"/>
      </sharedItems>
    </cacheField>
    <cacheField name="Cust ID" numFmtId="0">
      <sharedItems containsSemiMixedTypes="0" containsString="0" containsNumber="1" containsInteger="1" minValue="8673" maxValue="9995247"/>
    </cacheField>
    <cacheField name="Age" numFmtId="0">
      <sharedItems containsSemiMixedTypes="0" containsString="0" containsNumber="1" containsInteger="1" minValue="18" maxValue="78"/>
    </cacheField>
    <cacheField name="Age Group " numFmtId="0">
      <sharedItems count="3">
        <s v="Adult"/>
        <s v="Senior Citizen"/>
        <s v="Teenager"/>
      </sharedItems>
    </cacheField>
    <cacheField name="Date" numFmtId="14">
      <sharedItems containsSemiMixedTypes="0" containsNonDate="0" containsDate="1" containsString="0" minDate="2025-01-08T00:00:00" maxDate="2026-01-01T00:00:00" count="52">
        <d v="2025-01-08T00:00:00"/>
        <d v="2025-01-15T00:00:00"/>
        <d v="2025-01-22T00:00:00"/>
        <d v="2025-01-29T00:00:00"/>
        <d v="2025-02-05T00:00:00"/>
        <d v="2025-02-12T00:00:00"/>
        <d v="2025-02-19T00:00:00"/>
        <d v="2025-02-26T00:00:00"/>
        <d v="2025-03-05T00:00:00"/>
        <d v="2025-03-12T00:00:00"/>
        <d v="2025-03-19T00:00:00"/>
        <d v="2025-03-26T00:00:00"/>
        <d v="2025-04-02T00:00:00"/>
        <d v="2025-04-09T00:00:00"/>
        <d v="2025-04-16T00:00:00"/>
        <d v="2025-04-23T00:00:00"/>
        <d v="2025-04-30T00:00:00"/>
        <d v="2025-05-07T00:00:00"/>
        <d v="2025-05-14T00:00:00"/>
        <d v="2025-05-21T00:00:00"/>
        <d v="2025-05-28T00:00:00"/>
        <d v="2025-06-04T00:00:00"/>
        <d v="2025-06-11T00:00:00"/>
        <d v="2025-06-18T00:00:00"/>
        <d v="2025-06-25T00:00:00"/>
        <d v="2025-07-02T00:00:00"/>
        <d v="2025-07-09T00:00:00"/>
        <d v="2025-07-16T00:00:00"/>
        <d v="2025-07-23T00:00:00"/>
        <d v="2025-07-30T00:00:00"/>
        <d v="2025-08-06T00:00:00"/>
        <d v="2025-08-13T00:00:00"/>
        <d v="2025-08-20T00:00:00"/>
        <d v="2025-08-27T00:00:00"/>
        <d v="2025-09-03T00:00:00"/>
        <d v="2025-09-10T00:00:00"/>
        <d v="2025-09-17T00:00:00"/>
        <d v="2025-09-24T00:00:00"/>
        <d v="2025-10-01T00:00:00"/>
        <d v="2025-10-08T00:00:00"/>
        <d v="2025-10-15T00:00:00"/>
        <d v="2025-10-22T00:00:00"/>
        <d v="2025-10-29T00:00:00"/>
        <d v="2025-11-05T00:00:00"/>
        <d v="2025-11-12T00:00:00"/>
        <d v="2025-11-19T00:00:00"/>
        <d v="2025-11-26T00:00:00"/>
        <d v="2025-12-03T00:00:00"/>
        <d v="2025-12-10T00:00:00"/>
        <d v="2025-12-17T00:00:00"/>
        <d v="2025-12-24T00:00:00"/>
        <d v="2025-12-31T00:00:00"/>
      </sharedItems>
      <fieldGroup par="19" base="4">
        <rangePr groupBy="days" startDate="2025-01-08T00:00:00" endDate="2026-01-01T00:00:00"/>
        <groupItems count="368">
          <s v="&lt;08-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Status" numFmtId="0">
      <sharedItems count="4">
        <s v="Delivered"/>
        <s v="Refunded"/>
        <s v="Cancelled"/>
        <s v="Returned"/>
      </sharedItems>
    </cacheField>
    <cacheField name="Channel " numFmtId="0">
      <sharedItems count="6">
        <s v="Croma"/>
        <s v="Vijay Sales"/>
        <s v="Amazon"/>
        <s v="Flipkart"/>
        <s v="Tatacliq"/>
        <s v="Snapdeal"/>
      </sharedItems>
    </cacheField>
    <cacheField name="Brand" numFmtId="0">
      <sharedItems count="4">
        <s v="Dell"/>
        <s v="OnePlus"/>
        <s v="Apple"/>
        <s v="HP"/>
      </sharedItems>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City" numFmtId="0">
      <sharedItems count="5">
        <s v="Bangalore"/>
        <s v="Mumbai"/>
        <s v="Pune"/>
        <s v="Delhi"/>
        <s v="Hyderabad"/>
      </sharedItems>
    </cacheField>
    <cacheField name="No.of Units" numFmtId="3">
      <sharedItems containsSemiMixedTypes="0" containsString="0" containsNumber="1" containsInteger="1" minValue="1" maxValue="90"/>
    </cacheField>
    <cacheField name="Unit Price" numFmtId="164">
      <sharedItems containsSemiMixedTypes="0" containsString="0" containsNumber="1" containsInteger="1" minValue="4999" maxValue="99999"/>
    </cacheField>
    <cacheField name="Discount %" numFmtId="0">
      <sharedItems containsSemiMixedTypes="0" containsString="0" containsNumber="1" containsInteger="1" minValue="5" maxValue="18"/>
    </cacheField>
    <cacheField name="    Amount" numFmtId="44">
      <sharedItems containsSemiMixedTypes="0" containsString="0" containsNumber="1" minValue="36549.15" maxValue="544065"/>
    </cacheField>
    <cacheField name="Customer Rating" numFmtId="0">
      <sharedItems containsSemiMixedTypes="0" containsString="0" containsNumber="1" minValue="4.4000000000000004" maxValue="4.8"/>
    </cacheField>
    <cacheField name="Profit Margin %" numFmtId="0">
      <sharedItems containsSemiMixedTypes="0" containsString="0" containsNumber="1" containsInteger="1" minValue="20" maxValue="20"/>
    </cacheField>
    <cacheField name="Tax%" numFmtId="44">
      <sharedItems containsSemiMixedTypes="0" containsString="0" containsNumber="1" minValue="7739.82" maxValue="107998.92"/>
    </cacheField>
    <cacheField name="Warranty Period" numFmtId="0">
      <sharedItems/>
    </cacheField>
    <cacheField name="Months" numFmtId="0" databaseField="0">
      <fieldGroup base="4">
        <rangePr groupBy="months" startDate="2025-01-08T00:00:00" endDate="2026-01-01T00:00:00"/>
        <groupItems count="14">
          <s v="&lt;08-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333915518"/>
    </ext>
  </extLst>
</pivotCacheDefinition>
</file>

<file path=xl/pivotCache/pivotCacheRecords1.xml><?xml version="1.0" encoding="utf-8"?>
<pivotCacheRecords xmlns="http://schemas.openxmlformats.org/spreadsheetml/2006/main" xmlns:r="http://schemas.openxmlformats.org/officeDocument/2006/relationships" count="1560">
  <r>
    <x v="0"/>
    <n v="1029312"/>
    <n v="44"/>
    <x v="0"/>
    <x v="0"/>
    <x v="0"/>
    <x v="0"/>
    <x v="0"/>
    <x v="0"/>
    <x v="0"/>
    <x v="0"/>
    <n v="3"/>
    <n v="99999"/>
    <n v="10"/>
    <n v="269997.3"/>
    <n v="4.7"/>
    <n v="20"/>
    <n v="53999.46"/>
    <s v="6 Months"/>
  </r>
  <r>
    <x v="1"/>
    <n v="2183842"/>
    <n v="29"/>
    <x v="0"/>
    <x v="0"/>
    <x v="0"/>
    <x v="1"/>
    <x v="1"/>
    <x v="1"/>
    <x v="1"/>
    <x v="0"/>
    <n v="31"/>
    <n v="4999"/>
    <n v="18"/>
    <n v="127074.58"/>
    <n v="4.4000000000000004"/>
    <n v="20"/>
    <n v="27894.42"/>
    <s v="1 Year"/>
  </r>
  <r>
    <x v="2"/>
    <n v="1641533"/>
    <n v="67"/>
    <x v="1"/>
    <x v="0"/>
    <x v="0"/>
    <x v="0"/>
    <x v="2"/>
    <x v="2"/>
    <x v="1"/>
    <x v="0"/>
    <n v="12"/>
    <n v="24900"/>
    <n v="5"/>
    <n v="283860"/>
    <n v="4.8"/>
    <n v="20"/>
    <n v="53784"/>
    <s v="6 Months"/>
  </r>
  <r>
    <x v="3"/>
    <n v="7490807"/>
    <n v="20"/>
    <x v="0"/>
    <x v="0"/>
    <x v="0"/>
    <x v="2"/>
    <x v="3"/>
    <x v="3"/>
    <x v="0"/>
    <x v="0"/>
    <n v="4"/>
    <n v="84999"/>
    <n v="12"/>
    <n v="299196.48"/>
    <n v="4.5"/>
    <n v="20"/>
    <n v="61199.28"/>
    <s v="1 Year"/>
  </r>
  <r>
    <x v="4"/>
    <n v="9293516"/>
    <n v="62"/>
    <x v="1"/>
    <x v="0"/>
    <x v="0"/>
    <x v="0"/>
    <x v="2"/>
    <x v="4"/>
    <x v="2"/>
    <x v="0"/>
    <n v="4"/>
    <n v="69999"/>
    <n v="8"/>
    <n v="257596.32"/>
    <n v="4.8"/>
    <n v="20"/>
    <n v="50399.28"/>
    <s v="6 Months"/>
  </r>
  <r>
    <x v="5"/>
    <n v="1298130"/>
    <n v="49"/>
    <x v="0"/>
    <x v="0"/>
    <x v="0"/>
    <x v="3"/>
    <x v="1"/>
    <x v="5"/>
    <x v="2"/>
    <x v="0"/>
    <n v="10"/>
    <n v="42999"/>
    <n v="15"/>
    <n v="365491.5"/>
    <n v="4.5999999999999996"/>
    <n v="20"/>
    <n v="77398.2"/>
    <s v="1 Year"/>
  </r>
  <r>
    <x v="5"/>
    <n v="1298130"/>
    <n v="23"/>
    <x v="0"/>
    <x v="0"/>
    <x v="0"/>
    <x v="4"/>
    <x v="0"/>
    <x v="0"/>
    <x v="0"/>
    <x v="1"/>
    <n v="5"/>
    <n v="99999"/>
    <n v="10"/>
    <n v="449995.5"/>
    <n v="4.7"/>
    <n v="20"/>
    <n v="89999.099999999991"/>
    <s v="1 Year"/>
  </r>
  <r>
    <x v="6"/>
    <n v="5561216"/>
    <n v="70"/>
    <x v="1"/>
    <x v="0"/>
    <x v="0"/>
    <x v="1"/>
    <x v="1"/>
    <x v="1"/>
    <x v="1"/>
    <x v="1"/>
    <n v="40"/>
    <n v="4999"/>
    <n v="18"/>
    <n v="163967.20000000001"/>
    <n v="4.4000000000000004"/>
    <n v="20"/>
    <n v="35992.799999999996"/>
    <s v="1 Year"/>
  </r>
  <r>
    <x v="7"/>
    <n v="2935263"/>
    <n v="75"/>
    <x v="1"/>
    <x v="0"/>
    <x v="0"/>
    <x v="2"/>
    <x v="2"/>
    <x v="2"/>
    <x v="1"/>
    <x v="1"/>
    <n v="15"/>
    <n v="24900"/>
    <n v="5"/>
    <n v="354825"/>
    <n v="4.8"/>
    <n v="20"/>
    <n v="67230"/>
    <s v="1 Year"/>
  </r>
  <r>
    <x v="8"/>
    <n v="2648970"/>
    <n v="43"/>
    <x v="0"/>
    <x v="0"/>
    <x v="0"/>
    <x v="0"/>
    <x v="3"/>
    <x v="3"/>
    <x v="0"/>
    <x v="1"/>
    <n v="6"/>
    <n v="84999"/>
    <n v="12"/>
    <n v="448794.72"/>
    <n v="4.5"/>
    <n v="20"/>
    <n v="91798.92"/>
    <s v="1 Year"/>
  </r>
  <r>
    <x v="8"/>
    <n v="2648970"/>
    <n v="76"/>
    <x v="1"/>
    <x v="0"/>
    <x v="0"/>
    <x v="2"/>
    <x v="2"/>
    <x v="4"/>
    <x v="2"/>
    <x v="1"/>
    <n v="3"/>
    <n v="69999"/>
    <n v="8"/>
    <n v="193197.24"/>
    <n v="4.8"/>
    <n v="20"/>
    <n v="37799.46"/>
    <s v="6 Months"/>
  </r>
  <r>
    <x v="8"/>
    <n v="2648970"/>
    <n v="45"/>
    <x v="0"/>
    <x v="0"/>
    <x v="0"/>
    <x v="0"/>
    <x v="1"/>
    <x v="5"/>
    <x v="2"/>
    <x v="1"/>
    <n v="10"/>
    <n v="42999"/>
    <n v="15"/>
    <n v="365491.5"/>
    <n v="4.5999999999999996"/>
    <n v="20"/>
    <n v="77398.2"/>
    <s v="6 Months"/>
  </r>
  <r>
    <x v="9"/>
    <n v="265357"/>
    <n v="18"/>
    <x v="2"/>
    <x v="0"/>
    <x v="0"/>
    <x v="2"/>
    <x v="0"/>
    <x v="0"/>
    <x v="0"/>
    <x v="2"/>
    <n v="3"/>
    <n v="99999"/>
    <n v="10"/>
    <n v="269997.3"/>
    <n v="4.7"/>
    <n v="20"/>
    <n v="53999.46"/>
    <s v="1 Year"/>
  </r>
  <r>
    <x v="10"/>
    <n v="9268874"/>
    <n v="44"/>
    <x v="0"/>
    <x v="0"/>
    <x v="0"/>
    <x v="0"/>
    <x v="1"/>
    <x v="1"/>
    <x v="1"/>
    <x v="2"/>
    <n v="33"/>
    <n v="4999"/>
    <n v="18"/>
    <n v="135272.94"/>
    <n v="4.4000000000000004"/>
    <n v="20"/>
    <n v="29694.059999999998"/>
    <s v="1 Year"/>
  </r>
  <r>
    <x v="11"/>
    <n v="442660"/>
    <n v="52"/>
    <x v="1"/>
    <x v="0"/>
    <x v="0"/>
    <x v="2"/>
    <x v="2"/>
    <x v="2"/>
    <x v="1"/>
    <x v="2"/>
    <n v="11"/>
    <n v="24900"/>
    <n v="5"/>
    <n v="260205"/>
    <n v="4.8"/>
    <n v="20"/>
    <n v="49302"/>
    <s v="1 Year"/>
  </r>
  <r>
    <x v="12"/>
    <n v="7482261"/>
    <n v="18"/>
    <x v="2"/>
    <x v="0"/>
    <x v="0"/>
    <x v="5"/>
    <x v="3"/>
    <x v="3"/>
    <x v="0"/>
    <x v="2"/>
    <n v="2"/>
    <n v="84999"/>
    <n v="12"/>
    <n v="149598.24"/>
    <n v="4.5"/>
    <n v="20"/>
    <n v="30599.64"/>
    <s v="6 Months"/>
  </r>
  <r>
    <x v="13"/>
    <n v="7039962"/>
    <n v="30"/>
    <x v="0"/>
    <x v="0"/>
    <x v="0"/>
    <x v="4"/>
    <x v="2"/>
    <x v="4"/>
    <x v="2"/>
    <x v="2"/>
    <n v="3"/>
    <n v="69999"/>
    <n v="8"/>
    <n v="193197.24"/>
    <n v="4.8"/>
    <n v="20"/>
    <n v="37799.46"/>
    <s v="1 Year"/>
  </r>
  <r>
    <x v="14"/>
    <n v="3422488"/>
    <n v="48"/>
    <x v="0"/>
    <x v="0"/>
    <x v="0"/>
    <x v="1"/>
    <x v="1"/>
    <x v="5"/>
    <x v="2"/>
    <x v="2"/>
    <n v="5"/>
    <n v="42999"/>
    <n v="15"/>
    <n v="182745.75"/>
    <n v="4.5999999999999996"/>
    <n v="20"/>
    <n v="38699.1"/>
    <s v="1 Year"/>
  </r>
  <r>
    <x v="15"/>
    <n v="8974687"/>
    <n v="24"/>
    <x v="0"/>
    <x v="0"/>
    <x v="0"/>
    <x v="0"/>
    <x v="0"/>
    <x v="0"/>
    <x v="0"/>
    <x v="3"/>
    <n v="5"/>
    <n v="99999"/>
    <n v="10"/>
    <n v="449995.5"/>
    <n v="4.7"/>
    <n v="20"/>
    <n v="89999.099999999991"/>
    <s v="1 Year"/>
  </r>
  <r>
    <x v="16"/>
    <n v="244536"/>
    <n v="46"/>
    <x v="0"/>
    <x v="0"/>
    <x v="0"/>
    <x v="2"/>
    <x v="1"/>
    <x v="1"/>
    <x v="1"/>
    <x v="3"/>
    <n v="41"/>
    <n v="4999"/>
    <n v="18"/>
    <n v="168066.38"/>
    <n v="4.4000000000000004"/>
    <n v="20"/>
    <n v="36892.619999999995"/>
    <s v="1 Year"/>
  </r>
  <r>
    <x v="17"/>
    <n v="4376789"/>
    <n v="43"/>
    <x v="0"/>
    <x v="0"/>
    <x v="0"/>
    <x v="5"/>
    <x v="2"/>
    <x v="2"/>
    <x v="1"/>
    <x v="3"/>
    <n v="11"/>
    <n v="24900"/>
    <n v="5"/>
    <n v="260205"/>
    <n v="4.8"/>
    <n v="20"/>
    <n v="49302"/>
    <s v="6 Months"/>
  </r>
  <r>
    <x v="18"/>
    <n v="1943310"/>
    <n v="31"/>
    <x v="0"/>
    <x v="0"/>
    <x v="1"/>
    <x v="0"/>
    <x v="3"/>
    <x v="3"/>
    <x v="0"/>
    <x v="3"/>
    <n v="4"/>
    <n v="84999"/>
    <n v="12"/>
    <n v="299196.48"/>
    <n v="4.5"/>
    <n v="20"/>
    <n v="61199.28"/>
    <s v="1 Year"/>
  </r>
  <r>
    <x v="19"/>
    <n v="950590"/>
    <n v="30"/>
    <x v="0"/>
    <x v="0"/>
    <x v="0"/>
    <x v="0"/>
    <x v="2"/>
    <x v="4"/>
    <x v="2"/>
    <x v="3"/>
    <n v="6"/>
    <n v="69999"/>
    <n v="8"/>
    <n v="386394.48"/>
    <n v="4.8"/>
    <n v="20"/>
    <n v="75598.92"/>
    <s v="6 Months"/>
  </r>
  <r>
    <x v="20"/>
    <n v="3935670"/>
    <n v="19"/>
    <x v="2"/>
    <x v="0"/>
    <x v="0"/>
    <x v="1"/>
    <x v="1"/>
    <x v="5"/>
    <x v="2"/>
    <x v="3"/>
    <n v="8"/>
    <n v="42999"/>
    <n v="15"/>
    <n v="292393.2"/>
    <n v="4.5999999999999996"/>
    <n v="20"/>
    <n v="61918.559999999998"/>
    <s v="6 Months"/>
  </r>
  <r>
    <x v="21"/>
    <n v="398999"/>
    <n v="37"/>
    <x v="0"/>
    <x v="0"/>
    <x v="0"/>
    <x v="2"/>
    <x v="0"/>
    <x v="0"/>
    <x v="0"/>
    <x v="4"/>
    <n v="6"/>
    <n v="99999"/>
    <n v="10"/>
    <n v="539994.6"/>
    <n v="4.7"/>
    <n v="20"/>
    <n v="107998.92"/>
    <s v="6 Months"/>
  </r>
  <r>
    <x v="22"/>
    <n v="5438780"/>
    <n v="37"/>
    <x v="0"/>
    <x v="0"/>
    <x v="0"/>
    <x v="1"/>
    <x v="1"/>
    <x v="1"/>
    <x v="1"/>
    <x v="4"/>
    <n v="44"/>
    <n v="4999"/>
    <n v="18"/>
    <n v="180363.91999999998"/>
    <n v="4.4000000000000004"/>
    <n v="20"/>
    <n v="39592.080000000002"/>
    <s v="1 Year"/>
  </r>
  <r>
    <x v="23"/>
    <n v="8343960"/>
    <n v="62"/>
    <x v="1"/>
    <x v="0"/>
    <x v="0"/>
    <x v="3"/>
    <x v="2"/>
    <x v="2"/>
    <x v="1"/>
    <x v="4"/>
    <n v="13"/>
    <n v="24900"/>
    <n v="5"/>
    <n v="307515"/>
    <n v="4.8"/>
    <n v="20"/>
    <n v="58266"/>
    <s v="1 Year"/>
  </r>
  <r>
    <x v="24"/>
    <n v="986513"/>
    <n v="20"/>
    <x v="0"/>
    <x v="0"/>
    <x v="0"/>
    <x v="3"/>
    <x v="3"/>
    <x v="3"/>
    <x v="0"/>
    <x v="4"/>
    <n v="4"/>
    <n v="84999"/>
    <n v="12"/>
    <n v="299196.48"/>
    <n v="4.5"/>
    <n v="20"/>
    <n v="61199.28"/>
    <s v="1 Year"/>
  </r>
  <r>
    <x v="25"/>
    <n v="947452"/>
    <n v="77"/>
    <x v="1"/>
    <x v="0"/>
    <x v="0"/>
    <x v="3"/>
    <x v="2"/>
    <x v="4"/>
    <x v="2"/>
    <x v="4"/>
    <n v="5"/>
    <n v="69999"/>
    <n v="8"/>
    <n v="321995.40000000002"/>
    <n v="4.8"/>
    <n v="20"/>
    <n v="62999.1"/>
    <s v="1 Year"/>
  </r>
  <r>
    <x v="26"/>
    <n v="1326018"/>
    <n v="26"/>
    <x v="0"/>
    <x v="0"/>
    <x v="0"/>
    <x v="2"/>
    <x v="1"/>
    <x v="5"/>
    <x v="2"/>
    <x v="4"/>
    <n v="8"/>
    <n v="42999"/>
    <n v="15"/>
    <n v="292393.2"/>
    <n v="4.5999999999999996"/>
    <n v="20"/>
    <n v="61918.559999999998"/>
    <s v="1 Year"/>
  </r>
  <r>
    <x v="27"/>
    <n v="9281717"/>
    <n v="40"/>
    <x v="0"/>
    <x v="1"/>
    <x v="0"/>
    <x v="2"/>
    <x v="0"/>
    <x v="0"/>
    <x v="0"/>
    <x v="0"/>
    <n v="6"/>
    <n v="99999"/>
    <n v="10"/>
    <n v="539994.6"/>
    <n v="4.7"/>
    <n v="20"/>
    <n v="107998.92"/>
    <s v="1 Year"/>
  </r>
  <r>
    <x v="28"/>
    <n v="6866119"/>
    <n v="52"/>
    <x v="1"/>
    <x v="1"/>
    <x v="0"/>
    <x v="2"/>
    <x v="1"/>
    <x v="1"/>
    <x v="1"/>
    <x v="0"/>
    <n v="40"/>
    <n v="4999"/>
    <n v="18"/>
    <n v="163967.20000000001"/>
    <n v="4.4000000000000004"/>
    <n v="20"/>
    <n v="35992.799999999996"/>
    <s v="1 Year"/>
  </r>
  <r>
    <x v="29"/>
    <n v="9400852"/>
    <n v="38"/>
    <x v="0"/>
    <x v="1"/>
    <x v="0"/>
    <x v="1"/>
    <x v="2"/>
    <x v="2"/>
    <x v="1"/>
    <x v="0"/>
    <n v="12"/>
    <n v="24900"/>
    <n v="5"/>
    <n v="283860"/>
    <n v="4.8"/>
    <n v="20"/>
    <n v="53784"/>
    <s v="1 Year"/>
  </r>
  <r>
    <x v="30"/>
    <n v="2606836"/>
    <n v="39"/>
    <x v="0"/>
    <x v="1"/>
    <x v="0"/>
    <x v="0"/>
    <x v="3"/>
    <x v="3"/>
    <x v="0"/>
    <x v="0"/>
    <n v="3"/>
    <n v="84999"/>
    <n v="12"/>
    <n v="224397.36"/>
    <n v="4.5"/>
    <n v="20"/>
    <n v="45899.46"/>
    <s v="1 Year"/>
  </r>
  <r>
    <x v="31"/>
    <n v="8481179"/>
    <n v="37"/>
    <x v="0"/>
    <x v="1"/>
    <x v="0"/>
    <x v="2"/>
    <x v="2"/>
    <x v="4"/>
    <x v="2"/>
    <x v="0"/>
    <n v="6"/>
    <n v="69999"/>
    <n v="8"/>
    <n v="386394.48"/>
    <n v="4.8"/>
    <n v="20"/>
    <n v="75598.92"/>
    <s v="1 Year"/>
  </r>
  <r>
    <x v="32"/>
    <n v="9686095"/>
    <n v="73"/>
    <x v="1"/>
    <x v="1"/>
    <x v="0"/>
    <x v="3"/>
    <x v="1"/>
    <x v="5"/>
    <x v="2"/>
    <x v="0"/>
    <n v="11"/>
    <n v="42999"/>
    <n v="15"/>
    <n v="402040.65"/>
    <n v="4.5999999999999996"/>
    <n v="20"/>
    <n v="85138.02"/>
    <s v="1 Year"/>
  </r>
  <r>
    <x v="33"/>
    <n v="9033015"/>
    <n v="41"/>
    <x v="0"/>
    <x v="1"/>
    <x v="0"/>
    <x v="2"/>
    <x v="0"/>
    <x v="0"/>
    <x v="0"/>
    <x v="1"/>
    <n v="4"/>
    <n v="99999"/>
    <n v="10"/>
    <n v="359996.4"/>
    <n v="4.7"/>
    <n v="20"/>
    <n v="71999.28"/>
    <s v="6 Months"/>
  </r>
  <r>
    <x v="34"/>
    <n v="6932218"/>
    <n v="41"/>
    <x v="0"/>
    <x v="1"/>
    <x v="0"/>
    <x v="0"/>
    <x v="1"/>
    <x v="1"/>
    <x v="1"/>
    <x v="1"/>
    <n v="60"/>
    <n v="4999"/>
    <n v="18"/>
    <n v="245950.8"/>
    <n v="4.4000000000000004"/>
    <n v="20"/>
    <n v="53989.2"/>
    <s v="6 Months"/>
  </r>
  <r>
    <x v="35"/>
    <n v="8796291"/>
    <n v="35"/>
    <x v="0"/>
    <x v="1"/>
    <x v="0"/>
    <x v="2"/>
    <x v="2"/>
    <x v="2"/>
    <x v="1"/>
    <x v="1"/>
    <n v="15"/>
    <n v="24900"/>
    <n v="5"/>
    <n v="354825"/>
    <n v="4.8"/>
    <n v="20"/>
    <n v="67230"/>
    <s v="1 Year"/>
  </r>
  <r>
    <x v="36"/>
    <n v="9654105"/>
    <n v="72"/>
    <x v="1"/>
    <x v="1"/>
    <x v="0"/>
    <x v="3"/>
    <x v="3"/>
    <x v="3"/>
    <x v="0"/>
    <x v="1"/>
    <n v="3"/>
    <n v="84999"/>
    <n v="12"/>
    <n v="224397.36"/>
    <n v="4.5"/>
    <n v="20"/>
    <n v="45899.46"/>
    <s v="6 Months"/>
  </r>
  <r>
    <x v="37"/>
    <n v="637532"/>
    <n v="39"/>
    <x v="0"/>
    <x v="1"/>
    <x v="0"/>
    <x v="3"/>
    <x v="2"/>
    <x v="4"/>
    <x v="2"/>
    <x v="1"/>
    <n v="5"/>
    <n v="69999"/>
    <n v="8"/>
    <n v="321995.40000000002"/>
    <n v="4.8"/>
    <n v="20"/>
    <n v="62999.1"/>
    <s v="1 Year"/>
  </r>
  <r>
    <x v="37"/>
    <n v="637532"/>
    <n v="39"/>
    <x v="0"/>
    <x v="1"/>
    <x v="0"/>
    <x v="2"/>
    <x v="1"/>
    <x v="5"/>
    <x v="2"/>
    <x v="1"/>
    <n v="6"/>
    <n v="42999"/>
    <n v="15"/>
    <n v="219294.9"/>
    <n v="4.5999999999999996"/>
    <n v="20"/>
    <n v="46438.92"/>
    <s v="1 Year"/>
  </r>
  <r>
    <x v="38"/>
    <n v="3393819"/>
    <n v="44"/>
    <x v="0"/>
    <x v="1"/>
    <x v="0"/>
    <x v="0"/>
    <x v="0"/>
    <x v="0"/>
    <x v="0"/>
    <x v="2"/>
    <n v="4"/>
    <n v="99999"/>
    <n v="10"/>
    <n v="359996.4"/>
    <n v="4.7"/>
    <n v="20"/>
    <n v="71999.28"/>
    <s v="1 Year"/>
  </r>
  <r>
    <x v="39"/>
    <n v="5673590"/>
    <n v="22"/>
    <x v="0"/>
    <x v="1"/>
    <x v="0"/>
    <x v="4"/>
    <x v="1"/>
    <x v="1"/>
    <x v="1"/>
    <x v="2"/>
    <n v="33"/>
    <n v="4999"/>
    <n v="18"/>
    <n v="135272.94"/>
    <n v="4.4000000000000004"/>
    <n v="20"/>
    <n v="29694.059999999998"/>
    <s v="1 Year"/>
  </r>
  <r>
    <x v="40"/>
    <n v="5846829"/>
    <n v="64"/>
    <x v="1"/>
    <x v="1"/>
    <x v="0"/>
    <x v="3"/>
    <x v="2"/>
    <x v="2"/>
    <x v="1"/>
    <x v="2"/>
    <n v="5"/>
    <n v="24900"/>
    <n v="5"/>
    <n v="118275"/>
    <n v="4.8"/>
    <n v="20"/>
    <n v="22410"/>
    <s v="1 Year"/>
  </r>
  <r>
    <x v="41"/>
    <n v="4087298"/>
    <n v="30"/>
    <x v="0"/>
    <x v="1"/>
    <x v="0"/>
    <x v="2"/>
    <x v="3"/>
    <x v="3"/>
    <x v="0"/>
    <x v="2"/>
    <n v="1"/>
    <n v="84999"/>
    <n v="12"/>
    <n v="74799.12"/>
    <n v="4.5"/>
    <n v="20"/>
    <n v="15299.82"/>
    <s v="6 Months"/>
  </r>
  <r>
    <x v="42"/>
    <n v="7694743"/>
    <n v="46"/>
    <x v="0"/>
    <x v="1"/>
    <x v="0"/>
    <x v="0"/>
    <x v="2"/>
    <x v="4"/>
    <x v="2"/>
    <x v="2"/>
    <n v="5"/>
    <n v="69999"/>
    <n v="8"/>
    <n v="321995.40000000002"/>
    <n v="4.8"/>
    <n v="20"/>
    <n v="62999.1"/>
    <s v="6 Months"/>
  </r>
  <r>
    <x v="43"/>
    <n v="8068610"/>
    <n v="48"/>
    <x v="0"/>
    <x v="1"/>
    <x v="0"/>
    <x v="5"/>
    <x v="1"/>
    <x v="5"/>
    <x v="2"/>
    <x v="2"/>
    <n v="3"/>
    <n v="42999"/>
    <n v="15"/>
    <n v="109647.45"/>
    <n v="4.5999999999999996"/>
    <n v="20"/>
    <n v="23219.46"/>
    <s v="6 Months"/>
  </r>
  <r>
    <x v="44"/>
    <n v="7917674"/>
    <n v="25"/>
    <x v="0"/>
    <x v="1"/>
    <x v="0"/>
    <x v="0"/>
    <x v="0"/>
    <x v="0"/>
    <x v="0"/>
    <x v="3"/>
    <n v="3"/>
    <n v="99999"/>
    <n v="10"/>
    <n v="269997.3"/>
    <n v="4.7"/>
    <n v="20"/>
    <n v="53999.46"/>
    <s v="1 Year"/>
  </r>
  <r>
    <x v="45"/>
    <n v="2709798"/>
    <n v="35"/>
    <x v="0"/>
    <x v="1"/>
    <x v="0"/>
    <x v="1"/>
    <x v="1"/>
    <x v="1"/>
    <x v="1"/>
    <x v="3"/>
    <n v="45"/>
    <n v="4999"/>
    <n v="18"/>
    <n v="184463.1"/>
    <n v="4.4000000000000004"/>
    <n v="20"/>
    <n v="40491.9"/>
    <s v="6 Months"/>
  </r>
  <r>
    <x v="46"/>
    <n v="4213846"/>
    <n v="27"/>
    <x v="0"/>
    <x v="1"/>
    <x v="0"/>
    <x v="2"/>
    <x v="2"/>
    <x v="2"/>
    <x v="1"/>
    <x v="3"/>
    <n v="8"/>
    <n v="24900"/>
    <n v="5"/>
    <n v="189240"/>
    <n v="4.8"/>
    <n v="20"/>
    <n v="35856"/>
    <s v="6 Months"/>
  </r>
  <r>
    <x v="47"/>
    <n v="7381557"/>
    <n v="21"/>
    <x v="0"/>
    <x v="1"/>
    <x v="0"/>
    <x v="1"/>
    <x v="3"/>
    <x v="3"/>
    <x v="0"/>
    <x v="3"/>
    <n v="3"/>
    <n v="84999"/>
    <n v="12"/>
    <n v="224397.36"/>
    <n v="4.5"/>
    <n v="20"/>
    <n v="45899.46"/>
    <s v="1 Year"/>
  </r>
  <r>
    <x v="48"/>
    <n v="817885"/>
    <n v="43"/>
    <x v="0"/>
    <x v="1"/>
    <x v="0"/>
    <x v="1"/>
    <x v="2"/>
    <x v="4"/>
    <x v="2"/>
    <x v="3"/>
    <n v="6"/>
    <n v="69999"/>
    <n v="8"/>
    <n v="386394.48"/>
    <n v="4.8"/>
    <n v="20"/>
    <n v="75598.92"/>
    <s v="1 Year"/>
  </r>
  <r>
    <x v="49"/>
    <n v="2439278"/>
    <n v="39"/>
    <x v="0"/>
    <x v="1"/>
    <x v="0"/>
    <x v="0"/>
    <x v="1"/>
    <x v="5"/>
    <x v="2"/>
    <x v="3"/>
    <n v="5"/>
    <n v="42999"/>
    <n v="15"/>
    <n v="182745.75"/>
    <n v="4.5999999999999996"/>
    <n v="20"/>
    <n v="38699.1"/>
    <s v="1 Year"/>
  </r>
  <r>
    <x v="50"/>
    <n v="8874360"/>
    <n v="23"/>
    <x v="0"/>
    <x v="1"/>
    <x v="0"/>
    <x v="1"/>
    <x v="0"/>
    <x v="0"/>
    <x v="0"/>
    <x v="4"/>
    <n v="3"/>
    <n v="99999"/>
    <n v="10"/>
    <n v="269997.3"/>
    <n v="4.7"/>
    <n v="20"/>
    <n v="53999.46"/>
    <s v="1 Year"/>
  </r>
  <r>
    <x v="51"/>
    <n v="4675134"/>
    <n v="58"/>
    <x v="1"/>
    <x v="1"/>
    <x v="0"/>
    <x v="4"/>
    <x v="1"/>
    <x v="1"/>
    <x v="1"/>
    <x v="4"/>
    <n v="39"/>
    <n v="4999"/>
    <n v="18"/>
    <n v="159868.02000000002"/>
    <n v="4.4000000000000004"/>
    <n v="20"/>
    <n v="35092.979999999996"/>
    <s v="6 Months"/>
  </r>
  <r>
    <x v="52"/>
    <n v="9907523"/>
    <n v="27"/>
    <x v="0"/>
    <x v="1"/>
    <x v="0"/>
    <x v="2"/>
    <x v="2"/>
    <x v="2"/>
    <x v="1"/>
    <x v="4"/>
    <n v="7"/>
    <n v="24900"/>
    <n v="5"/>
    <n v="165585"/>
    <n v="4.8"/>
    <n v="20"/>
    <n v="31374"/>
    <s v="1 Year"/>
  </r>
  <r>
    <x v="52"/>
    <n v="9907523"/>
    <n v="38"/>
    <x v="0"/>
    <x v="1"/>
    <x v="0"/>
    <x v="2"/>
    <x v="3"/>
    <x v="3"/>
    <x v="0"/>
    <x v="4"/>
    <n v="6"/>
    <n v="84999"/>
    <n v="12"/>
    <n v="448794.72"/>
    <n v="4.5"/>
    <n v="20"/>
    <n v="91798.92"/>
    <s v="6 Months"/>
  </r>
  <r>
    <x v="53"/>
    <n v="7643005"/>
    <n v="75"/>
    <x v="1"/>
    <x v="1"/>
    <x v="0"/>
    <x v="3"/>
    <x v="2"/>
    <x v="4"/>
    <x v="2"/>
    <x v="4"/>
    <n v="6"/>
    <n v="69999"/>
    <n v="8"/>
    <n v="386394.48"/>
    <n v="4.8"/>
    <n v="20"/>
    <n v="75598.92"/>
    <s v="6 Months"/>
  </r>
  <r>
    <x v="54"/>
    <n v="381223"/>
    <n v="47"/>
    <x v="0"/>
    <x v="1"/>
    <x v="0"/>
    <x v="4"/>
    <x v="1"/>
    <x v="5"/>
    <x v="2"/>
    <x v="4"/>
    <n v="7"/>
    <n v="42999"/>
    <n v="15"/>
    <n v="255844.05"/>
    <n v="4.5999999999999996"/>
    <n v="20"/>
    <n v="54178.74"/>
    <s v="6 Months"/>
  </r>
  <r>
    <x v="55"/>
    <n v="8538186"/>
    <n v="62"/>
    <x v="1"/>
    <x v="2"/>
    <x v="0"/>
    <x v="2"/>
    <x v="0"/>
    <x v="0"/>
    <x v="0"/>
    <x v="0"/>
    <n v="3"/>
    <n v="99999"/>
    <n v="10"/>
    <n v="269997.3"/>
    <n v="4.7"/>
    <n v="20"/>
    <n v="53999.46"/>
    <s v="6 Months"/>
  </r>
  <r>
    <x v="56"/>
    <n v="1785530"/>
    <n v="42"/>
    <x v="0"/>
    <x v="2"/>
    <x v="0"/>
    <x v="2"/>
    <x v="1"/>
    <x v="1"/>
    <x v="1"/>
    <x v="0"/>
    <n v="51"/>
    <n v="4999"/>
    <n v="18"/>
    <n v="209058.18"/>
    <n v="4.4000000000000004"/>
    <n v="20"/>
    <n v="45890.82"/>
    <s v="1 Year"/>
  </r>
  <r>
    <x v="57"/>
    <n v="824767"/>
    <n v="34"/>
    <x v="0"/>
    <x v="2"/>
    <x v="0"/>
    <x v="1"/>
    <x v="2"/>
    <x v="2"/>
    <x v="1"/>
    <x v="0"/>
    <n v="5"/>
    <n v="24900"/>
    <n v="5"/>
    <n v="118275"/>
    <n v="4.8"/>
    <n v="20"/>
    <n v="22410"/>
    <s v="6 Months"/>
  </r>
  <r>
    <x v="58"/>
    <n v="8169153"/>
    <n v="20"/>
    <x v="0"/>
    <x v="2"/>
    <x v="0"/>
    <x v="2"/>
    <x v="3"/>
    <x v="3"/>
    <x v="0"/>
    <x v="0"/>
    <n v="6"/>
    <n v="84999"/>
    <n v="12"/>
    <n v="448794.72"/>
    <n v="4.5"/>
    <n v="20"/>
    <n v="91798.92"/>
    <s v="1 Year"/>
  </r>
  <r>
    <x v="59"/>
    <n v="5169174"/>
    <n v="44"/>
    <x v="0"/>
    <x v="2"/>
    <x v="2"/>
    <x v="0"/>
    <x v="2"/>
    <x v="4"/>
    <x v="2"/>
    <x v="0"/>
    <n v="3"/>
    <n v="69999"/>
    <n v="8"/>
    <n v="193197.24"/>
    <n v="4.8"/>
    <n v="20"/>
    <n v="37799.46"/>
    <s v="1 Year"/>
  </r>
  <r>
    <x v="60"/>
    <n v="2130722"/>
    <n v="24"/>
    <x v="0"/>
    <x v="2"/>
    <x v="0"/>
    <x v="0"/>
    <x v="1"/>
    <x v="5"/>
    <x v="2"/>
    <x v="0"/>
    <n v="5"/>
    <n v="42999"/>
    <n v="15"/>
    <n v="182745.75"/>
    <n v="4.5999999999999996"/>
    <n v="20"/>
    <n v="38699.1"/>
    <s v="1 Year"/>
  </r>
  <r>
    <x v="61"/>
    <n v="8399604"/>
    <n v="31"/>
    <x v="0"/>
    <x v="2"/>
    <x v="0"/>
    <x v="2"/>
    <x v="0"/>
    <x v="0"/>
    <x v="0"/>
    <x v="1"/>
    <n v="5"/>
    <n v="99999"/>
    <n v="10"/>
    <n v="449995.5"/>
    <n v="4.7"/>
    <n v="20"/>
    <n v="89999.099999999991"/>
    <s v="1 Year"/>
  </r>
  <r>
    <x v="62"/>
    <n v="8213196"/>
    <n v="75"/>
    <x v="1"/>
    <x v="2"/>
    <x v="0"/>
    <x v="0"/>
    <x v="1"/>
    <x v="1"/>
    <x v="1"/>
    <x v="1"/>
    <n v="55"/>
    <n v="4999"/>
    <n v="18"/>
    <n v="225454.9"/>
    <n v="4.4000000000000004"/>
    <n v="20"/>
    <n v="49490.1"/>
    <s v="1 Year"/>
  </r>
  <r>
    <x v="63"/>
    <n v="3286680"/>
    <n v="46"/>
    <x v="0"/>
    <x v="2"/>
    <x v="0"/>
    <x v="0"/>
    <x v="2"/>
    <x v="2"/>
    <x v="1"/>
    <x v="1"/>
    <n v="10"/>
    <n v="24900"/>
    <n v="5"/>
    <n v="236550"/>
    <n v="4.8"/>
    <n v="20"/>
    <n v="44820"/>
    <s v="6 Months"/>
  </r>
  <r>
    <x v="64"/>
    <n v="6014983"/>
    <n v="48"/>
    <x v="0"/>
    <x v="2"/>
    <x v="0"/>
    <x v="0"/>
    <x v="3"/>
    <x v="3"/>
    <x v="0"/>
    <x v="1"/>
    <n v="3"/>
    <n v="84999"/>
    <n v="12"/>
    <n v="224397.36"/>
    <n v="4.5"/>
    <n v="20"/>
    <n v="45899.46"/>
    <s v="1 Year"/>
  </r>
  <r>
    <x v="65"/>
    <n v="6950860"/>
    <n v="26"/>
    <x v="0"/>
    <x v="2"/>
    <x v="0"/>
    <x v="2"/>
    <x v="2"/>
    <x v="4"/>
    <x v="2"/>
    <x v="1"/>
    <n v="3"/>
    <n v="69999"/>
    <n v="8"/>
    <n v="193197.24"/>
    <n v="4.8"/>
    <n v="20"/>
    <n v="37799.46"/>
    <s v="6 Months"/>
  </r>
  <r>
    <x v="66"/>
    <n v="7030051"/>
    <n v="36"/>
    <x v="0"/>
    <x v="2"/>
    <x v="0"/>
    <x v="0"/>
    <x v="1"/>
    <x v="5"/>
    <x v="2"/>
    <x v="1"/>
    <n v="8"/>
    <n v="42999"/>
    <n v="15"/>
    <n v="292393.2"/>
    <n v="4.5999999999999996"/>
    <n v="20"/>
    <n v="61918.559999999998"/>
    <s v="1 Year"/>
  </r>
  <r>
    <x v="67"/>
    <n v="6041386"/>
    <n v="23"/>
    <x v="0"/>
    <x v="2"/>
    <x v="0"/>
    <x v="3"/>
    <x v="0"/>
    <x v="0"/>
    <x v="0"/>
    <x v="2"/>
    <n v="4"/>
    <n v="99999"/>
    <n v="10"/>
    <n v="359996.4"/>
    <n v="4.7"/>
    <n v="20"/>
    <n v="71999.28"/>
    <s v="6 Months"/>
  </r>
  <r>
    <x v="68"/>
    <n v="7958450"/>
    <n v="32"/>
    <x v="0"/>
    <x v="2"/>
    <x v="0"/>
    <x v="2"/>
    <x v="1"/>
    <x v="1"/>
    <x v="1"/>
    <x v="2"/>
    <n v="31"/>
    <n v="4999"/>
    <n v="18"/>
    <n v="127074.58"/>
    <n v="4.4000000000000004"/>
    <n v="20"/>
    <n v="27894.42"/>
    <s v="1 Year"/>
  </r>
  <r>
    <x v="69"/>
    <n v="7814128"/>
    <n v="26"/>
    <x v="0"/>
    <x v="2"/>
    <x v="0"/>
    <x v="5"/>
    <x v="2"/>
    <x v="2"/>
    <x v="1"/>
    <x v="2"/>
    <n v="4"/>
    <n v="24900"/>
    <n v="5"/>
    <n v="94620"/>
    <n v="4.8"/>
    <n v="20"/>
    <n v="17928"/>
    <s v="1 Year"/>
  </r>
  <r>
    <x v="70"/>
    <n v="9793483"/>
    <n v="45"/>
    <x v="0"/>
    <x v="2"/>
    <x v="0"/>
    <x v="0"/>
    <x v="3"/>
    <x v="3"/>
    <x v="0"/>
    <x v="2"/>
    <n v="3"/>
    <n v="84999"/>
    <n v="12"/>
    <n v="224397.36"/>
    <n v="4.5"/>
    <n v="20"/>
    <n v="45899.46"/>
    <s v="1 Year"/>
  </r>
  <r>
    <x v="71"/>
    <n v="5297818"/>
    <n v="49"/>
    <x v="0"/>
    <x v="2"/>
    <x v="0"/>
    <x v="3"/>
    <x v="2"/>
    <x v="4"/>
    <x v="2"/>
    <x v="2"/>
    <n v="3"/>
    <n v="69999"/>
    <n v="8"/>
    <n v="193197.24"/>
    <n v="4.8"/>
    <n v="20"/>
    <n v="37799.46"/>
    <s v="1 Year"/>
  </r>
  <r>
    <x v="72"/>
    <n v="2070545"/>
    <n v="21"/>
    <x v="0"/>
    <x v="2"/>
    <x v="0"/>
    <x v="3"/>
    <x v="1"/>
    <x v="5"/>
    <x v="2"/>
    <x v="2"/>
    <n v="10"/>
    <n v="42999"/>
    <n v="15"/>
    <n v="365491.5"/>
    <n v="4.5999999999999996"/>
    <n v="20"/>
    <n v="77398.2"/>
    <s v="1 Year"/>
  </r>
  <r>
    <x v="73"/>
    <n v="1756314"/>
    <n v="39"/>
    <x v="0"/>
    <x v="2"/>
    <x v="0"/>
    <x v="0"/>
    <x v="0"/>
    <x v="0"/>
    <x v="0"/>
    <x v="3"/>
    <n v="5"/>
    <n v="99999"/>
    <n v="10"/>
    <n v="449995.5"/>
    <n v="4.7"/>
    <n v="20"/>
    <n v="89999.099999999991"/>
    <s v="6 Months"/>
  </r>
  <r>
    <x v="74"/>
    <n v="8786932"/>
    <n v="55"/>
    <x v="1"/>
    <x v="2"/>
    <x v="0"/>
    <x v="1"/>
    <x v="1"/>
    <x v="1"/>
    <x v="1"/>
    <x v="3"/>
    <n v="56"/>
    <n v="4999"/>
    <n v="18"/>
    <n v="229554.08000000002"/>
    <n v="4.4000000000000004"/>
    <n v="20"/>
    <n v="50389.919999999998"/>
    <s v="1 Year"/>
  </r>
  <r>
    <x v="75"/>
    <n v="8573929"/>
    <n v="30"/>
    <x v="0"/>
    <x v="2"/>
    <x v="0"/>
    <x v="3"/>
    <x v="2"/>
    <x v="2"/>
    <x v="1"/>
    <x v="3"/>
    <n v="15"/>
    <n v="24900"/>
    <n v="5"/>
    <n v="354825"/>
    <n v="4.8"/>
    <n v="20"/>
    <n v="67230"/>
    <s v="6 Months"/>
  </r>
  <r>
    <x v="75"/>
    <n v="8573929"/>
    <n v="46"/>
    <x v="0"/>
    <x v="2"/>
    <x v="0"/>
    <x v="2"/>
    <x v="3"/>
    <x v="3"/>
    <x v="0"/>
    <x v="3"/>
    <n v="2"/>
    <n v="84999"/>
    <n v="12"/>
    <n v="149598.24"/>
    <n v="4.5"/>
    <n v="20"/>
    <n v="30599.64"/>
    <s v="6 Months"/>
  </r>
  <r>
    <x v="76"/>
    <n v="8980704"/>
    <n v="59"/>
    <x v="1"/>
    <x v="2"/>
    <x v="2"/>
    <x v="0"/>
    <x v="2"/>
    <x v="4"/>
    <x v="2"/>
    <x v="3"/>
    <n v="5"/>
    <n v="69999"/>
    <n v="8"/>
    <n v="321995.40000000002"/>
    <n v="4.8"/>
    <n v="20"/>
    <n v="62999.1"/>
    <s v="6 Months"/>
  </r>
  <r>
    <x v="77"/>
    <n v="2516658"/>
    <n v="55"/>
    <x v="1"/>
    <x v="2"/>
    <x v="0"/>
    <x v="3"/>
    <x v="1"/>
    <x v="5"/>
    <x v="2"/>
    <x v="3"/>
    <n v="7"/>
    <n v="42999"/>
    <n v="15"/>
    <n v="255844.05"/>
    <n v="4.5999999999999996"/>
    <n v="20"/>
    <n v="54178.74"/>
    <s v="1 Year"/>
  </r>
  <r>
    <x v="78"/>
    <n v="105497"/>
    <n v="37"/>
    <x v="0"/>
    <x v="2"/>
    <x v="1"/>
    <x v="2"/>
    <x v="0"/>
    <x v="0"/>
    <x v="0"/>
    <x v="4"/>
    <n v="3"/>
    <n v="99999"/>
    <n v="10"/>
    <n v="269997.3"/>
    <n v="4.7"/>
    <n v="20"/>
    <n v="53999.46"/>
    <s v="1 Year"/>
  </r>
  <r>
    <x v="79"/>
    <n v="6468339"/>
    <n v="19"/>
    <x v="2"/>
    <x v="2"/>
    <x v="0"/>
    <x v="2"/>
    <x v="1"/>
    <x v="1"/>
    <x v="1"/>
    <x v="4"/>
    <n v="30"/>
    <n v="4999"/>
    <n v="18"/>
    <n v="122975.4"/>
    <n v="4.4000000000000004"/>
    <n v="20"/>
    <n v="26994.6"/>
    <s v="1 Year"/>
  </r>
  <r>
    <x v="80"/>
    <n v="6702100"/>
    <n v="49"/>
    <x v="0"/>
    <x v="2"/>
    <x v="3"/>
    <x v="0"/>
    <x v="2"/>
    <x v="2"/>
    <x v="1"/>
    <x v="4"/>
    <n v="10"/>
    <n v="24900"/>
    <n v="5"/>
    <n v="236550"/>
    <n v="4.8"/>
    <n v="20"/>
    <n v="44820"/>
    <s v="1 Year"/>
  </r>
  <r>
    <x v="81"/>
    <n v="6243782"/>
    <n v="33"/>
    <x v="0"/>
    <x v="2"/>
    <x v="0"/>
    <x v="2"/>
    <x v="3"/>
    <x v="3"/>
    <x v="0"/>
    <x v="4"/>
    <n v="5"/>
    <n v="84999"/>
    <n v="12"/>
    <n v="373995.6"/>
    <n v="4.5"/>
    <n v="20"/>
    <n v="76499.099999999991"/>
    <s v="6 Months"/>
  </r>
  <r>
    <x v="82"/>
    <n v="3641651"/>
    <n v="22"/>
    <x v="0"/>
    <x v="2"/>
    <x v="0"/>
    <x v="2"/>
    <x v="2"/>
    <x v="4"/>
    <x v="2"/>
    <x v="4"/>
    <n v="5"/>
    <n v="69999"/>
    <n v="8"/>
    <n v="321995.40000000002"/>
    <n v="4.8"/>
    <n v="20"/>
    <n v="62999.1"/>
    <s v="1 Year"/>
  </r>
  <r>
    <x v="83"/>
    <n v="7662369"/>
    <n v="18"/>
    <x v="2"/>
    <x v="2"/>
    <x v="0"/>
    <x v="0"/>
    <x v="1"/>
    <x v="5"/>
    <x v="2"/>
    <x v="4"/>
    <n v="6"/>
    <n v="42999"/>
    <n v="15"/>
    <n v="219294.9"/>
    <n v="4.5999999999999996"/>
    <n v="20"/>
    <n v="46438.92"/>
    <s v="1 Year"/>
  </r>
  <r>
    <x v="84"/>
    <n v="8575376"/>
    <n v="32"/>
    <x v="0"/>
    <x v="3"/>
    <x v="0"/>
    <x v="3"/>
    <x v="0"/>
    <x v="0"/>
    <x v="0"/>
    <x v="0"/>
    <n v="4"/>
    <n v="99999"/>
    <n v="10"/>
    <n v="359996.4"/>
    <n v="4.7"/>
    <n v="20"/>
    <n v="71999.28"/>
    <s v="1 Year"/>
  </r>
  <r>
    <x v="85"/>
    <n v="7384618"/>
    <n v="48"/>
    <x v="0"/>
    <x v="3"/>
    <x v="0"/>
    <x v="3"/>
    <x v="1"/>
    <x v="1"/>
    <x v="1"/>
    <x v="0"/>
    <n v="56"/>
    <n v="4999"/>
    <n v="18"/>
    <n v="229554.08000000002"/>
    <n v="4.4000000000000004"/>
    <n v="20"/>
    <n v="50389.919999999998"/>
    <s v="1 Year"/>
  </r>
  <r>
    <x v="85"/>
    <n v="7384618"/>
    <n v="36"/>
    <x v="0"/>
    <x v="3"/>
    <x v="0"/>
    <x v="0"/>
    <x v="2"/>
    <x v="2"/>
    <x v="1"/>
    <x v="0"/>
    <n v="13"/>
    <n v="24900"/>
    <n v="5"/>
    <n v="307515"/>
    <n v="4.8"/>
    <n v="20"/>
    <n v="58266"/>
    <s v="1 Year"/>
  </r>
  <r>
    <x v="86"/>
    <n v="3542194"/>
    <n v="20"/>
    <x v="0"/>
    <x v="3"/>
    <x v="0"/>
    <x v="2"/>
    <x v="3"/>
    <x v="3"/>
    <x v="0"/>
    <x v="0"/>
    <n v="5"/>
    <n v="84999"/>
    <n v="12"/>
    <n v="373995.6"/>
    <n v="4.5"/>
    <n v="20"/>
    <n v="76499.099999999991"/>
    <s v="1 Year"/>
  </r>
  <r>
    <x v="87"/>
    <n v="6859790"/>
    <n v="48"/>
    <x v="0"/>
    <x v="3"/>
    <x v="0"/>
    <x v="4"/>
    <x v="2"/>
    <x v="4"/>
    <x v="2"/>
    <x v="0"/>
    <n v="4"/>
    <n v="69999"/>
    <n v="8"/>
    <n v="257596.32"/>
    <n v="4.8"/>
    <n v="20"/>
    <n v="50399.28"/>
    <s v="1 Year"/>
  </r>
  <r>
    <x v="88"/>
    <n v="347306"/>
    <n v="66"/>
    <x v="1"/>
    <x v="3"/>
    <x v="0"/>
    <x v="2"/>
    <x v="1"/>
    <x v="5"/>
    <x v="2"/>
    <x v="0"/>
    <n v="8"/>
    <n v="42999"/>
    <n v="15"/>
    <n v="292393.2"/>
    <n v="4.5999999999999996"/>
    <n v="20"/>
    <n v="61918.559999999998"/>
    <s v="1 Year"/>
  </r>
  <r>
    <x v="89"/>
    <n v="7048232"/>
    <n v="60"/>
    <x v="1"/>
    <x v="3"/>
    <x v="0"/>
    <x v="0"/>
    <x v="0"/>
    <x v="0"/>
    <x v="0"/>
    <x v="1"/>
    <n v="3"/>
    <n v="99999"/>
    <n v="10"/>
    <n v="269997.3"/>
    <n v="4.7"/>
    <n v="20"/>
    <n v="53999.46"/>
    <s v="6 Months"/>
  </r>
  <r>
    <x v="90"/>
    <n v="5516090"/>
    <n v="47"/>
    <x v="0"/>
    <x v="3"/>
    <x v="0"/>
    <x v="1"/>
    <x v="1"/>
    <x v="1"/>
    <x v="1"/>
    <x v="1"/>
    <n v="56"/>
    <n v="4999"/>
    <n v="18"/>
    <n v="229554.08000000002"/>
    <n v="4.4000000000000004"/>
    <n v="20"/>
    <n v="50389.919999999998"/>
    <s v="6 Months"/>
  </r>
  <r>
    <x v="91"/>
    <n v="294848"/>
    <n v="19"/>
    <x v="2"/>
    <x v="3"/>
    <x v="0"/>
    <x v="3"/>
    <x v="2"/>
    <x v="2"/>
    <x v="1"/>
    <x v="1"/>
    <n v="8"/>
    <n v="24900"/>
    <n v="5"/>
    <n v="189240"/>
    <n v="4.8"/>
    <n v="20"/>
    <n v="35856"/>
    <s v="1 Year"/>
  </r>
  <r>
    <x v="92"/>
    <n v="6522716"/>
    <n v="48"/>
    <x v="0"/>
    <x v="3"/>
    <x v="0"/>
    <x v="2"/>
    <x v="3"/>
    <x v="3"/>
    <x v="0"/>
    <x v="1"/>
    <n v="4"/>
    <n v="84999"/>
    <n v="12"/>
    <n v="299196.48"/>
    <n v="4.5"/>
    <n v="20"/>
    <n v="61199.28"/>
    <s v="6 Months"/>
  </r>
  <r>
    <x v="92"/>
    <n v="6522716"/>
    <n v="78"/>
    <x v="1"/>
    <x v="3"/>
    <x v="0"/>
    <x v="0"/>
    <x v="2"/>
    <x v="4"/>
    <x v="2"/>
    <x v="1"/>
    <n v="6"/>
    <n v="69999"/>
    <n v="8"/>
    <n v="386394.48"/>
    <n v="4.8"/>
    <n v="20"/>
    <n v="75598.92"/>
    <s v="1 Year"/>
  </r>
  <r>
    <x v="93"/>
    <n v="3094141"/>
    <n v="40"/>
    <x v="0"/>
    <x v="3"/>
    <x v="0"/>
    <x v="2"/>
    <x v="1"/>
    <x v="5"/>
    <x v="2"/>
    <x v="1"/>
    <n v="10"/>
    <n v="42999"/>
    <n v="15"/>
    <n v="365491.5"/>
    <n v="4.5999999999999996"/>
    <n v="20"/>
    <n v="77398.2"/>
    <s v="1 Year"/>
  </r>
  <r>
    <x v="94"/>
    <n v="8966819"/>
    <n v="38"/>
    <x v="0"/>
    <x v="3"/>
    <x v="0"/>
    <x v="3"/>
    <x v="0"/>
    <x v="0"/>
    <x v="0"/>
    <x v="2"/>
    <n v="6"/>
    <n v="99999"/>
    <n v="10"/>
    <n v="539994.6"/>
    <n v="4.7"/>
    <n v="20"/>
    <n v="107998.92"/>
    <s v="6 Months"/>
  </r>
  <r>
    <x v="95"/>
    <n v="2716293"/>
    <n v="21"/>
    <x v="0"/>
    <x v="3"/>
    <x v="0"/>
    <x v="2"/>
    <x v="1"/>
    <x v="1"/>
    <x v="1"/>
    <x v="2"/>
    <n v="44"/>
    <n v="4999"/>
    <n v="18"/>
    <n v="180363.91999999998"/>
    <n v="4.4000000000000004"/>
    <n v="20"/>
    <n v="39592.080000000002"/>
    <s v="1 Year"/>
  </r>
  <r>
    <x v="96"/>
    <n v="9848998"/>
    <n v="38"/>
    <x v="0"/>
    <x v="3"/>
    <x v="0"/>
    <x v="2"/>
    <x v="2"/>
    <x v="2"/>
    <x v="1"/>
    <x v="2"/>
    <n v="8"/>
    <n v="24900"/>
    <n v="5"/>
    <n v="189240"/>
    <n v="4.8"/>
    <n v="20"/>
    <n v="35856"/>
    <s v="6 Months"/>
  </r>
  <r>
    <x v="97"/>
    <n v="6592212"/>
    <n v="25"/>
    <x v="0"/>
    <x v="3"/>
    <x v="0"/>
    <x v="2"/>
    <x v="3"/>
    <x v="3"/>
    <x v="0"/>
    <x v="2"/>
    <n v="5"/>
    <n v="84999"/>
    <n v="12"/>
    <n v="373995.6"/>
    <n v="4.5"/>
    <n v="20"/>
    <n v="76499.099999999991"/>
    <s v="6 Months"/>
  </r>
  <r>
    <x v="98"/>
    <n v="5467416"/>
    <n v="35"/>
    <x v="0"/>
    <x v="3"/>
    <x v="0"/>
    <x v="3"/>
    <x v="2"/>
    <x v="4"/>
    <x v="2"/>
    <x v="2"/>
    <n v="2"/>
    <n v="69999"/>
    <n v="8"/>
    <n v="128798.16"/>
    <n v="4.8"/>
    <n v="20"/>
    <n v="25199.64"/>
    <s v="1 Year"/>
  </r>
  <r>
    <x v="99"/>
    <n v="1265802"/>
    <n v="23"/>
    <x v="0"/>
    <x v="3"/>
    <x v="0"/>
    <x v="2"/>
    <x v="1"/>
    <x v="5"/>
    <x v="2"/>
    <x v="2"/>
    <n v="2"/>
    <n v="42999"/>
    <n v="15"/>
    <n v="73098.3"/>
    <n v="4.5999999999999996"/>
    <n v="20"/>
    <n v="15479.64"/>
    <s v="1 Year"/>
  </r>
  <r>
    <x v="100"/>
    <n v="9585512"/>
    <n v="61"/>
    <x v="1"/>
    <x v="3"/>
    <x v="0"/>
    <x v="0"/>
    <x v="0"/>
    <x v="0"/>
    <x v="0"/>
    <x v="3"/>
    <n v="6"/>
    <n v="99999"/>
    <n v="10"/>
    <n v="539994.6"/>
    <n v="4.7"/>
    <n v="20"/>
    <n v="107998.92"/>
    <s v="6 Months"/>
  </r>
  <r>
    <x v="101"/>
    <n v="6513430"/>
    <n v="40"/>
    <x v="0"/>
    <x v="3"/>
    <x v="0"/>
    <x v="3"/>
    <x v="1"/>
    <x v="1"/>
    <x v="1"/>
    <x v="3"/>
    <n v="58"/>
    <n v="4999"/>
    <n v="18"/>
    <n v="237752.44"/>
    <n v="4.4000000000000004"/>
    <n v="20"/>
    <n v="52189.56"/>
    <s v="6 Months"/>
  </r>
  <r>
    <x v="102"/>
    <n v="7694216"/>
    <n v="32"/>
    <x v="0"/>
    <x v="3"/>
    <x v="0"/>
    <x v="3"/>
    <x v="2"/>
    <x v="2"/>
    <x v="1"/>
    <x v="3"/>
    <n v="14"/>
    <n v="24900"/>
    <n v="5"/>
    <n v="331170"/>
    <n v="4.8"/>
    <n v="20"/>
    <n v="62748"/>
    <s v="1 Year"/>
  </r>
  <r>
    <x v="103"/>
    <n v="5911668"/>
    <n v="31"/>
    <x v="0"/>
    <x v="3"/>
    <x v="0"/>
    <x v="5"/>
    <x v="3"/>
    <x v="3"/>
    <x v="0"/>
    <x v="3"/>
    <n v="4"/>
    <n v="84999"/>
    <n v="12"/>
    <n v="299196.48"/>
    <n v="4.5"/>
    <n v="20"/>
    <n v="61199.28"/>
    <s v="1 Year"/>
  </r>
  <r>
    <x v="104"/>
    <n v="5364170"/>
    <n v="29"/>
    <x v="0"/>
    <x v="3"/>
    <x v="0"/>
    <x v="2"/>
    <x v="2"/>
    <x v="4"/>
    <x v="2"/>
    <x v="3"/>
    <n v="3"/>
    <n v="69999"/>
    <n v="8"/>
    <n v="193197.24"/>
    <n v="4.8"/>
    <n v="20"/>
    <n v="37799.46"/>
    <s v="1 Year"/>
  </r>
  <r>
    <x v="105"/>
    <n v="3614770"/>
    <n v="27"/>
    <x v="0"/>
    <x v="3"/>
    <x v="0"/>
    <x v="2"/>
    <x v="1"/>
    <x v="5"/>
    <x v="2"/>
    <x v="3"/>
    <n v="6"/>
    <n v="42999"/>
    <n v="15"/>
    <n v="219294.9"/>
    <n v="4.5999999999999996"/>
    <n v="20"/>
    <n v="46438.92"/>
    <s v="1 Year"/>
  </r>
  <r>
    <x v="106"/>
    <n v="1246579"/>
    <n v="48"/>
    <x v="0"/>
    <x v="3"/>
    <x v="0"/>
    <x v="2"/>
    <x v="0"/>
    <x v="0"/>
    <x v="0"/>
    <x v="4"/>
    <n v="6"/>
    <n v="99999"/>
    <n v="10"/>
    <n v="539994.6"/>
    <n v="4.7"/>
    <n v="20"/>
    <n v="107998.92"/>
    <s v="6 Months"/>
  </r>
  <r>
    <x v="107"/>
    <n v="6695683"/>
    <n v="30"/>
    <x v="0"/>
    <x v="3"/>
    <x v="2"/>
    <x v="0"/>
    <x v="1"/>
    <x v="1"/>
    <x v="1"/>
    <x v="4"/>
    <n v="37"/>
    <n v="4999"/>
    <n v="18"/>
    <n v="151669.66"/>
    <n v="4.4000000000000004"/>
    <n v="20"/>
    <n v="33293.339999999997"/>
    <s v="1 Year"/>
  </r>
  <r>
    <x v="108"/>
    <n v="1994186"/>
    <n v="71"/>
    <x v="1"/>
    <x v="3"/>
    <x v="0"/>
    <x v="0"/>
    <x v="2"/>
    <x v="2"/>
    <x v="1"/>
    <x v="4"/>
    <n v="13"/>
    <n v="24900"/>
    <n v="5"/>
    <n v="307515"/>
    <n v="4.8"/>
    <n v="20"/>
    <n v="58266"/>
    <s v="6 Months"/>
  </r>
  <r>
    <x v="109"/>
    <n v="172471"/>
    <n v="41"/>
    <x v="0"/>
    <x v="3"/>
    <x v="0"/>
    <x v="3"/>
    <x v="3"/>
    <x v="3"/>
    <x v="0"/>
    <x v="4"/>
    <n v="5"/>
    <n v="84999"/>
    <n v="12"/>
    <n v="373995.6"/>
    <n v="4.5"/>
    <n v="20"/>
    <n v="76499.099999999991"/>
    <s v="6 Months"/>
  </r>
  <r>
    <x v="110"/>
    <n v="681598"/>
    <n v="28"/>
    <x v="0"/>
    <x v="3"/>
    <x v="0"/>
    <x v="0"/>
    <x v="2"/>
    <x v="4"/>
    <x v="2"/>
    <x v="4"/>
    <n v="3"/>
    <n v="69999"/>
    <n v="8"/>
    <n v="193197.24"/>
    <n v="4.8"/>
    <n v="20"/>
    <n v="37799.46"/>
    <s v="1 Year"/>
  </r>
  <r>
    <x v="111"/>
    <n v="1388772"/>
    <n v="19"/>
    <x v="2"/>
    <x v="3"/>
    <x v="0"/>
    <x v="3"/>
    <x v="1"/>
    <x v="5"/>
    <x v="2"/>
    <x v="4"/>
    <n v="10"/>
    <n v="42999"/>
    <n v="15"/>
    <n v="365491.5"/>
    <n v="4.5999999999999996"/>
    <n v="20"/>
    <n v="77398.2"/>
    <s v="6 Months"/>
  </r>
  <r>
    <x v="112"/>
    <n v="3131740"/>
    <n v="25"/>
    <x v="0"/>
    <x v="4"/>
    <x v="0"/>
    <x v="0"/>
    <x v="0"/>
    <x v="0"/>
    <x v="0"/>
    <x v="0"/>
    <n v="5"/>
    <n v="99999"/>
    <n v="10"/>
    <n v="449995.5"/>
    <n v="4.7"/>
    <n v="20"/>
    <n v="89999.099999999991"/>
    <s v="1 Year"/>
  </r>
  <r>
    <x v="113"/>
    <n v="5496750"/>
    <n v="57"/>
    <x v="1"/>
    <x v="4"/>
    <x v="0"/>
    <x v="5"/>
    <x v="1"/>
    <x v="1"/>
    <x v="1"/>
    <x v="0"/>
    <n v="48"/>
    <n v="4999"/>
    <n v="18"/>
    <n v="196760.64"/>
    <n v="4.4000000000000004"/>
    <n v="20"/>
    <n v="43191.360000000001"/>
    <s v="1 Year"/>
  </r>
  <r>
    <x v="113"/>
    <n v="5496750"/>
    <n v="73"/>
    <x v="1"/>
    <x v="4"/>
    <x v="0"/>
    <x v="2"/>
    <x v="2"/>
    <x v="2"/>
    <x v="1"/>
    <x v="0"/>
    <n v="12"/>
    <n v="24900"/>
    <n v="5"/>
    <n v="283860"/>
    <n v="4.8"/>
    <n v="20"/>
    <n v="53784"/>
    <s v="1 Year"/>
  </r>
  <r>
    <x v="114"/>
    <n v="816846"/>
    <n v="50"/>
    <x v="1"/>
    <x v="4"/>
    <x v="0"/>
    <x v="3"/>
    <x v="3"/>
    <x v="3"/>
    <x v="0"/>
    <x v="0"/>
    <n v="2"/>
    <n v="84999"/>
    <n v="12"/>
    <n v="149598.24"/>
    <n v="4.5"/>
    <n v="20"/>
    <n v="30599.64"/>
    <s v="1 Year"/>
  </r>
  <r>
    <x v="115"/>
    <n v="278400"/>
    <n v="31"/>
    <x v="0"/>
    <x v="4"/>
    <x v="0"/>
    <x v="1"/>
    <x v="2"/>
    <x v="4"/>
    <x v="2"/>
    <x v="0"/>
    <n v="6"/>
    <n v="69999"/>
    <n v="8"/>
    <n v="386394.48"/>
    <n v="4.8"/>
    <n v="20"/>
    <n v="75598.92"/>
    <s v="1 Year"/>
  </r>
  <r>
    <x v="116"/>
    <n v="8079606"/>
    <n v="33"/>
    <x v="0"/>
    <x v="4"/>
    <x v="0"/>
    <x v="1"/>
    <x v="1"/>
    <x v="5"/>
    <x v="2"/>
    <x v="0"/>
    <n v="6"/>
    <n v="42999"/>
    <n v="15"/>
    <n v="219294.9"/>
    <n v="4.5999999999999996"/>
    <n v="20"/>
    <n v="46438.92"/>
    <s v="1 Year"/>
  </r>
  <r>
    <x v="117"/>
    <n v="4636514"/>
    <n v="31"/>
    <x v="0"/>
    <x v="4"/>
    <x v="0"/>
    <x v="0"/>
    <x v="0"/>
    <x v="0"/>
    <x v="0"/>
    <x v="1"/>
    <n v="6"/>
    <n v="99999"/>
    <n v="10"/>
    <n v="539994.6"/>
    <n v="4.7"/>
    <n v="20"/>
    <n v="107998.92"/>
    <s v="1 Year"/>
  </r>
  <r>
    <x v="118"/>
    <n v="9847734"/>
    <n v="44"/>
    <x v="0"/>
    <x v="4"/>
    <x v="0"/>
    <x v="0"/>
    <x v="1"/>
    <x v="1"/>
    <x v="1"/>
    <x v="1"/>
    <n v="90"/>
    <n v="4999"/>
    <n v="18"/>
    <n v="368926.2"/>
    <n v="4.4000000000000004"/>
    <n v="20"/>
    <n v="80983.8"/>
    <s v="1 Year"/>
  </r>
  <r>
    <x v="119"/>
    <n v="8860022"/>
    <n v="26"/>
    <x v="0"/>
    <x v="4"/>
    <x v="0"/>
    <x v="0"/>
    <x v="2"/>
    <x v="2"/>
    <x v="1"/>
    <x v="1"/>
    <n v="15"/>
    <n v="24900"/>
    <n v="5"/>
    <n v="354825"/>
    <n v="4.8"/>
    <n v="20"/>
    <n v="67230"/>
    <s v="1 Year"/>
  </r>
  <r>
    <x v="120"/>
    <n v="1669205"/>
    <n v="25"/>
    <x v="0"/>
    <x v="4"/>
    <x v="0"/>
    <x v="0"/>
    <x v="3"/>
    <x v="3"/>
    <x v="0"/>
    <x v="1"/>
    <n v="4"/>
    <n v="84999"/>
    <n v="12"/>
    <n v="299196.48"/>
    <n v="4.5"/>
    <n v="20"/>
    <n v="61199.28"/>
    <s v="1 Year"/>
  </r>
  <r>
    <x v="121"/>
    <n v="6737238"/>
    <n v="49"/>
    <x v="0"/>
    <x v="4"/>
    <x v="0"/>
    <x v="2"/>
    <x v="2"/>
    <x v="4"/>
    <x v="2"/>
    <x v="1"/>
    <n v="4"/>
    <n v="69999"/>
    <n v="8"/>
    <n v="257596.32"/>
    <n v="4.8"/>
    <n v="20"/>
    <n v="50399.28"/>
    <s v="1 Year"/>
  </r>
  <r>
    <x v="122"/>
    <n v="9605076"/>
    <n v="59"/>
    <x v="1"/>
    <x v="4"/>
    <x v="0"/>
    <x v="2"/>
    <x v="1"/>
    <x v="5"/>
    <x v="2"/>
    <x v="1"/>
    <n v="11"/>
    <n v="42999"/>
    <n v="15"/>
    <n v="402040.65"/>
    <n v="4.5999999999999996"/>
    <n v="20"/>
    <n v="85138.02"/>
    <s v="6 Months"/>
  </r>
  <r>
    <x v="123"/>
    <n v="9542566"/>
    <n v="21"/>
    <x v="0"/>
    <x v="4"/>
    <x v="0"/>
    <x v="2"/>
    <x v="0"/>
    <x v="0"/>
    <x v="0"/>
    <x v="2"/>
    <n v="4"/>
    <n v="99999"/>
    <n v="10"/>
    <n v="359996.4"/>
    <n v="4.7"/>
    <n v="20"/>
    <n v="71999.28"/>
    <s v="1 Year"/>
  </r>
  <r>
    <x v="124"/>
    <n v="1540604"/>
    <n v="31"/>
    <x v="0"/>
    <x v="4"/>
    <x v="0"/>
    <x v="2"/>
    <x v="1"/>
    <x v="1"/>
    <x v="1"/>
    <x v="2"/>
    <n v="35"/>
    <n v="4999"/>
    <n v="18"/>
    <n v="143471.29999999999"/>
    <n v="4.4000000000000004"/>
    <n v="20"/>
    <n v="31493.699999999997"/>
    <s v="6 Months"/>
  </r>
  <r>
    <x v="125"/>
    <n v="9367631"/>
    <n v="34"/>
    <x v="0"/>
    <x v="4"/>
    <x v="0"/>
    <x v="2"/>
    <x v="2"/>
    <x v="2"/>
    <x v="1"/>
    <x v="2"/>
    <n v="11"/>
    <n v="24900"/>
    <n v="5"/>
    <n v="260205"/>
    <n v="4.8"/>
    <n v="20"/>
    <n v="49302"/>
    <s v="1 Year"/>
  </r>
  <r>
    <x v="126"/>
    <n v="595996"/>
    <n v="72"/>
    <x v="1"/>
    <x v="4"/>
    <x v="0"/>
    <x v="2"/>
    <x v="3"/>
    <x v="3"/>
    <x v="0"/>
    <x v="2"/>
    <n v="4"/>
    <n v="84999"/>
    <n v="12"/>
    <n v="299196.48"/>
    <n v="4.5"/>
    <n v="20"/>
    <n v="61199.28"/>
    <s v="1 Year"/>
  </r>
  <r>
    <x v="127"/>
    <n v="8256896"/>
    <n v="22"/>
    <x v="0"/>
    <x v="4"/>
    <x v="0"/>
    <x v="2"/>
    <x v="2"/>
    <x v="4"/>
    <x v="2"/>
    <x v="2"/>
    <n v="5"/>
    <n v="69999"/>
    <n v="8"/>
    <n v="321995.40000000002"/>
    <n v="4.8"/>
    <n v="20"/>
    <n v="62999.1"/>
    <s v="6 Months"/>
  </r>
  <r>
    <x v="128"/>
    <n v="1064158"/>
    <n v="35"/>
    <x v="0"/>
    <x v="4"/>
    <x v="0"/>
    <x v="0"/>
    <x v="1"/>
    <x v="5"/>
    <x v="2"/>
    <x v="2"/>
    <n v="6"/>
    <n v="42999"/>
    <n v="15"/>
    <n v="219294.9"/>
    <n v="4.5999999999999996"/>
    <n v="20"/>
    <n v="46438.92"/>
    <s v="1 Year"/>
  </r>
  <r>
    <x v="129"/>
    <n v="2727693"/>
    <n v="31"/>
    <x v="0"/>
    <x v="4"/>
    <x v="0"/>
    <x v="3"/>
    <x v="0"/>
    <x v="0"/>
    <x v="0"/>
    <x v="3"/>
    <n v="5"/>
    <n v="99999"/>
    <n v="10"/>
    <n v="449995.5"/>
    <n v="4.7"/>
    <n v="20"/>
    <n v="89999.099999999991"/>
    <s v="1 Year"/>
  </r>
  <r>
    <x v="130"/>
    <n v="6844452"/>
    <n v="34"/>
    <x v="0"/>
    <x v="4"/>
    <x v="3"/>
    <x v="4"/>
    <x v="1"/>
    <x v="1"/>
    <x v="1"/>
    <x v="3"/>
    <n v="59"/>
    <n v="4999"/>
    <n v="18"/>
    <n v="241851.62"/>
    <n v="4.4000000000000004"/>
    <n v="20"/>
    <n v="53089.38"/>
    <s v="6 Months"/>
  </r>
  <r>
    <x v="131"/>
    <n v="6908439"/>
    <n v="46"/>
    <x v="0"/>
    <x v="4"/>
    <x v="1"/>
    <x v="2"/>
    <x v="2"/>
    <x v="2"/>
    <x v="1"/>
    <x v="3"/>
    <n v="5"/>
    <n v="24900"/>
    <n v="5"/>
    <n v="118275"/>
    <n v="4.8"/>
    <n v="20"/>
    <n v="22410"/>
    <s v="1 Year"/>
  </r>
  <r>
    <x v="132"/>
    <n v="9626742"/>
    <n v="63"/>
    <x v="1"/>
    <x v="4"/>
    <x v="0"/>
    <x v="2"/>
    <x v="3"/>
    <x v="3"/>
    <x v="0"/>
    <x v="3"/>
    <n v="5"/>
    <n v="84999"/>
    <n v="12"/>
    <n v="373995.6"/>
    <n v="4.5"/>
    <n v="20"/>
    <n v="76499.099999999991"/>
    <s v="1 Year"/>
  </r>
  <r>
    <x v="133"/>
    <n v="9383537"/>
    <n v="33"/>
    <x v="0"/>
    <x v="4"/>
    <x v="0"/>
    <x v="2"/>
    <x v="2"/>
    <x v="4"/>
    <x v="2"/>
    <x v="3"/>
    <n v="3"/>
    <n v="69999"/>
    <n v="8"/>
    <n v="193197.24"/>
    <n v="4.8"/>
    <n v="20"/>
    <n v="37799.46"/>
    <s v="6 Months"/>
  </r>
  <r>
    <x v="134"/>
    <n v="6048785"/>
    <n v="58"/>
    <x v="1"/>
    <x v="4"/>
    <x v="0"/>
    <x v="2"/>
    <x v="1"/>
    <x v="5"/>
    <x v="2"/>
    <x v="3"/>
    <n v="10"/>
    <n v="42999"/>
    <n v="15"/>
    <n v="365491.5"/>
    <n v="4.5999999999999996"/>
    <n v="20"/>
    <n v="77398.2"/>
    <s v="6 Months"/>
  </r>
  <r>
    <x v="135"/>
    <n v="1040945"/>
    <n v="27"/>
    <x v="0"/>
    <x v="4"/>
    <x v="0"/>
    <x v="3"/>
    <x v="0"/>
    <x v="0"/>
    <x v="0"/>
    <x v="4"/>
    <n v="6"/>
    <n v="99999"/>
    <n v="10"/>
    <n v="539994.6"/>
    <n v="4.7"/>
    <n v="20"/>
    <n v="107998.92"/>
    <s v="1 Year"/>
  </r>
  <r>
    <x v="136"/>
    <n v="8224545"/>
    <n v="24"/>
    <x v="0"/>
    <x v="4"/>
    <x v="0"/>
    <x v="3"/>
    <x v="1"/>
    <x v="1"/>
    <x v="1"/>
    <x v="4"/>
    <n v="32"/>
    <n v="4999"/>
    <n v="18"/>
    <n v="131173.76000000001"/>
    <n v="4.4000000000000004"/>
    <n v="20"/>
    <n v="28794.239999999998"/>
    <s v="6 Months"/>
  </r>
  <r>
    <x v="137"/>
    <n v="8391201"/>
    <n v="45"/>
    <x v="0"/>
    <x v="4"/>
    <x v="0"/>
    <x v="3"/>
    <x v="2"/>
    <x v="2"/>
    <x v="1"/>
    <x v="4"/>
    <n v="9"/>
    <n v="24900"/>
    <n v="5"/>
    <n v="212895"/>
    <n v="4.8"/>
    <n v="20"/>
    <n v="40338"/>
    <s v="1 Year"/>
  </r>
  <r>
    <x v="138"/>
    <n v="2036568"/>
    <n v="22"/>
    <x v="0"/>
    <x v="4"/>
    <x v="0"/>
    <x v="2"/>
    <x v="3"/>
    <x v="3"/>
    <x v="0"/>
    <x v="4"/>
    <n v="3"/>
    <n v="84999"/>
    <n v="12"/>
    <n v="224397.36"/>
    <n v="4.5"/>
    <n v="20"/>
    <n v="45899.46"/>
    <s v="6 Months"/>
  </r>
  <r>
    <x v="139"/>
    <n v="131231"/>
    <n v="42"/>
    <x v="0"/>
    <x v="4"/>
    <x v="3"/>
    <x v="5"/>
    <x v="2"/>
    <x v="4"/>
    <x v="2"/>
    <x v="4"/>
    <n v="6"/>
    <n v="69999"/>
    <n v="8"/>
    <n v="386394.48"/>
    <n v="4.8"/>
    <n v="20"/>
    <n v="75598.92"/>
    <s v="1 Year"/>
  </r>
  <r>
    <x v="139"/>
    <n v="131231"/>
    <n v="18"/>
    <x v="2"/>
    <x v="4"/>
    <x v="3"/>
    <x v="2"/>
    <x v="1"/>
    <x v="5"/>
    <x v="2"/>
    <x v="4"/>
    <n v="10"/>
    <n v="42999"/>
    <n v="15"/>
    <n v="365491.5"/>
    <n v="4.5999999999999996"/>
    <n v="20"/>
    <n v="77398.2"/>
    <s v="1 Year"/>
  </r>
  <r>
    <x v="140"/>
    <n v="5387048"/>
    <n v="55"/>
    <x v="1"/>
    <x v="5"/>
    <x v="0"/>
    <x v="5"/>
    <x v="0"/>
    <x v="0"/>
    <x v="0"/>
    <x v="0"/>
    <n v="3"/>
    <n v="99999"/>
    <n v="10"/>
    <n v="269997.3"/>
    <n v="4.7"/>
    <n v="20"/>
    <n v="53999.46"/>
    <s v="1 Year"/>
  </r>
  <r>
    <x v="141"/>
    <n v="4700322"/>
    <n v="25"/>
    <x v="0"/>
    <x v="5"/>
    <x v="3"/>
    <x v="2"/>
    <x v="1"/>
    <x v="1"/>
    <x v="1"/>
    <x v="0"/>
    <n v="39"/>
    <n v="4999"/>
    <n v="18"/>
    <n v="159868.02000000002"/>
    <n v="4.4000000000000004"/>
    <n v="20"/>
    <n v="35092.979999999996"/>
    <s v="6 Months"/>
  </r>
  <r>
    <x v="142"/>
    <n v="4774074"/>
    <n v="30"/>
    <x v="0"/>
    <x v="5"/>
    <x v="0"/>
    <x v="2"/>
    <x v="2"/>
    <x v="2"/>
    <x v="1"/>
    <x v="0"/>
    <n v="12"/>
    <n v="24900"/>
    <n v="5"/>
    <n v="283860"/>
    <n v="4.8"/>
    <n v="20"/>
    <n v="53784"/>
    <s v="1 Year"/>
  </r>
  <r>
    <x v="143"/>
    <n v="4236224"/>
    <n v="46"/>
    <x v="0"/>
    <x v="5"/>
    <x v="0"/>
    <x v="2"/>
    <x v="3"/>
    <x v="3"/>
    <x v="0"/>
    <x v="0"/>
    <n v="4"/>
    <n v="84999"/>
    <n v="12"/>
    <n v="299196.48"/>
    <n v="4.5"/>
    <n v="20"/>
    <n v="61199.28"/>
    <s v="1 Year"/>
  </r>
  <r>
    <x v="144"/>
    <n v="9698056"/>
    <n v="27"/>
    <x v="0"/>
    <x v="5"/>
    <x v="0"/>
    <x v="0"/>
    <x v="2"/>
    <x v="4"/>
    <x v="2"/>
    <x v="0"/>
    <n v="5"/>
    <n v="69999"/>
    <n v="8"/>
    <n v="321995.40000000002"/>
    <n v="4.8"/>
    <n v="20"/>
    <n v="62999.1"/>
    <s v="1 Year"/>
  </r>
  <r>
    <x v="145"/>
    <n v="1092399"/>
    <n v="46"/>
    <x v="0"/>
    <x v="5"/>
    <x v="3"/>
    <x v="2"/>
    <x v="1"/>
    <x v="5"/>
    <x v="2"/>
    <x v="0"/>
    <n v="10"/>
    <n v="42999"/>
    <n v="15"/>
    <n v="365491.5"/>
    <n v="4.5999999999999996"/>
    <n v="20"/>
    <n v="77398.2"/>
    <s v="1 Year"/>
  </r>
  <r>
    <x v="146"/>
    <n v="1867708"/>
    <n v="20"/>
    <x v="0"/>
    <x v="5"/>
    <x v="0"/>
    <x v="2"/>
    <x v="0"/>
    <x v="0"/>
    <x v="0"/>
    <x v="1"/>
    <n v="4"/>
    <n v="99999"/>
    <n v="10"/>
    <n v="359996.4"/>
    <n v="4.7"/>
    <n v="20"/>
    <n v="71999.28"/>
    <s v="6 Months"/>
  </r>
  <r>
    <x v="147"/>
    <n v="7163849"/>
    <n v="26"/>
    <x v="0"/>
    <x v="5"/>
    <x v="3"/>
    <x v="0"/>
    <x v="1"/>
    <x v="1"/>
    <x v="1"/>
    <x v="1"/>
    <n v="62"/>
    <n v="4999"/>
    <n v="18"/>
    <n v="254149.16"/>
    <n v="4.4000000000000004"/>
    <n v="20"/>
    <n v="55788.84"/>
    <s v="1 Year"/>
  </r>
  <r>
    <x v="148"/>
    <n v="7372776"/>
    <n v="49"/>
    <x v="0"/>
    <x v="5"/>
    <x v="0"/>
    <x v="0"/>
    <x v="2"/>
    <x v="2"/>
    <x v="1"/>
    <x v="1"/>
    <n v="15"/>
    <n v="24900"/>
    <n v="5"/>
    <n v="354825"/>
    <n v="4.8"/>
    <n v="20"/>
    <n v="67230"/>
    <s v="1 Year"/>
  </r>
  <r>
    <x v="149"/>
    <n v="7757271"/>
    <n v="32"/>
    <x v="0"/>
    <x v="5"/>
    <x v="0"/>
    <x v="0"/>
    <x v="3"/>
    <x v="3"/>
    <x v="0"/>
    <x v="1"/>
    <n v="5"/>
    <n v="84999"/>
    <n v="12"/>
    <n v="373995.6"/>
    <n v="4.5"/>
    <n v="20"/>
    <n v="76499.099999999991"/>
    <s v="1 Year"/>
  </r>
  <r>
    <x v="150"/>
    <n v="6304030"/>
    <n v="34"/>
    <x v="0"/>
    <x v="5"/>
    <x v="0"/>
    <x v="0"/>
    <x v="2"/>
    <x v="4"/>
    <x v="2"/>
    <x v="1"/>
    <n v="5"/>
    <n v="69999"/>
    <n v="8"/>
    <n v="321995.40000000002"/>
    <n v="4.8"/>
    <n v="20"/>
    <n v="62999.1"/>
    <s v="1 Year"/>
  </r>
  <r>
    <x v="150"/>
    <n v="6304030"/>
    <n v="28"/>
    <x v="0"/>
    <x v="5"/>
    <x v="0"/>
    <x v="3"/>
    <x v="1"/>
    <x v="5"/>
    <x v="2"/>
    <x v="1"/>
    <n v="11"/>
    <n v="42999"/>
    <n v="15"/>
    <n v="402040.65"/>
    <n v="4.5999999999999996"/>
    <n v="20"/>
    <n v="85138.02"/>
    <s v="6 Months"/>
  </r>
  <r>
    <x v="151"/>
    <n v="7790665"/>
    <n v="36"/>
    <x v="0"/>
    <x v="5"/>
    <x v="0"/>
    <x v="1"/>
    <x v="0"/>
    <x v="0"/>
    <x v="0"/>
    <x v="2"/>
    <n v="2"/>
    <n v="99999"/>
    <n v="10"/>
    <n v="179998.2"/>
    <n v="4.7"/>
    <n v="20"/>
    <n v="35999.64"/>
    <s v="6 Months"/>
  </r>
  <r>
    <x v="152"/>
    <n v="5595686"/>
    <n v="73"/>
    <x v="1"/>
    <x v="5"/>
    <x v="0"/>
    <x v="1"/>
    <x v="1"/>
    <x v="1"/>
    <x v="1"/>
    <x v="2"/>
    <n v="35"/>
    <n v="4999"/>
    <n v="18"/>
    <n v="143471.29999999999"/>
    <n v="4.4000000000000004"/>
    <n v="20"/>
    <n v="31493.699999999997"/>
    <s v="1 Year"/>
  </r>
  <r>
    <x v="153"/>
    <n v="8251665"/>
    <n v="56"/>
    <x v="1"/>
    <x v="5"/>
    <x v="0"/>
    <x v="3"/>
    <x v="2"/>
    <x v="2"/>
    <x v="1"/>
    <x v="2"/>
    <n v="5"/>
    <n v="24900"/>
    <n v="5"/>
    <n v="118275"/>
    <n v="4.8"/>
    <n v="20"/>
    <n v="22410"/>
    <s v="1 Year"/>
  </r>
  <r>
    <x v="154"/>
    <n v="7054852"/>
    <n v="73"/>
    <x v="1"/>
    <x v="5"/>
    <x v="0"/>
    <x v="4"/>
    <x v="3"/>
    <x v="3"/>
    <x v="0"/>
    <x v="2"/>
    <n v="2"/>
    <n v="84999"/>
    <n v="12"/>
    <n v="149598.24"/>
    <n v="4.5"/>
    <n v="20"/>
    <n v="30599.64"/>
    <s v="1 Year"/>
  </r>
  <r>
    <x v="155"/>
    <n v="1132538"/>
    <n v="18"/>
    <x v="2"/>
    <x v="5"/>
    <x v="0"/>
    <x v="2"/>
    <x v="2"/>
    <x v="4"/>
    <x v="2"/>
    <x v="2"/>
    <n v="2"/>
    <n v="69999"/>
    <n v="8"/>
    <n v="128798.16"/>
    <n v="4.8"/>
    <n v="20"/>
    <n v="25199.64"/>
    <s v="1 Year"/>
  </r>
  <r>
    <x v="156"/>
    <n v="2642921"/>
    <n v="48"/>
    <x v="0"/>
    <x v="5"/>
    <x v="0"/>
    <x v="1"/>
    <x v="1"/>
    <x v="5"/>
    <x v="2"/>
    <x v="2"/>
    <n v="5"/>
    <n v="42999"/>
    <n v="15"/>
    <n v="182745.75"/>
    <n v="4.5999999999999996"/>
    <n v="20"/>
    <n v="38699.1"/>
    <s v="1 Year"/>
  </r>
  <r>
    <x v="157"/>
    <n v="6293095"/>
    <n v="28"/>
    <x v="0"/>
    <x v="5"/>
    <x v="0"/>
    <x v="2"/>
    <x v="0"/>
    <x v="0"/>
    <x v="0"/>
    <x v="3"/>
    <n v="4"/>
    <n v="99999"/>
    <n v="10"/>
    <n v="359996.4"/>
    <n v="4.7"/>
    <n v="20"/>
    <n v="71999.28"/>
    <s v="1 Year"/>
  </r>
  <r>
    <x v="158"/>
    <n v="2438137"/>
    <n v="74"/>
    <x v="1"/>
    <x v="5"/>
    <x v="0"/>
    <x v="1"/>
    <x v="1"/>
    <x v="1"/>
    <x v="1"/>
    <x v="3"/>
    <n v="55"/>
    <n v="4999"/>
    <n v="18"/>
    <n v="225454.9"/>
    <n v="4.4000000000000004"/>
    <n v="20"/>
    <n v="49490.1"/>
    <s v="6 Months"/>
  </r>
  <r>
    <x v="159"/>
    <n v="6539984"/>
    <n v="40"/>
    <x v="0"/>
    <x v="5"/>
    <x v="0"/>
    <x v="3"/>
    <x v="2"/>
    <x v="2"/>
    <x v="1"/>
    <x v="3"/>
    <n v="14"/>
    <n v="24900"/>
    <n v="5"/>
    <n v="331170"/>
    <n v="4.8"/>
    <n v="20"/>
    <n v="62748"/>
    <s v="1 Year"/>
  </r>
  <r>
    <x v="160"/>
    <n v="4740407"/>
    <n v="71"/>
    <x v="1"/>
    <x v="5"/>
    <x v="0"/>
    <x v="0"/>
    <x v="3"/>
    <x v="3"/>
    <x v="0"/>
    <x v="3"/>
    <n v="6"/>
    <n v="84999"/>
    <n v="12"/>
    <n v="448794.72"/>
    <n v="4.5"/>
    <n v="20"/>
    <n v="91798.92"/>
    <s v="1 Year"/>
  </r>
  <r>
    <x v="161"/>
    <n v="9159866"/>
    <n v="22"/>
    <x v="0"/>
    <x v="5"/>
    <x v="0"/>
    <x v="0"/>
    <x v="2"/>
    <x v="4"/>
    <x v="2"/>
    <x v="3"/>
    <n v="5"/>
    <n v="69999"/>
    <n v="8"/>
    <n v="321995.40000000002"/>
    <n v="4.8"/>
    <n v="20"/>
    <n v="62999.1"/>
    <s v="6 Months"/>
  </r>
  <r>
    <x v="162"/>
    <n v="1619866"/>
    <n v="18"/>
    <x v="2"/>
    <x v="5"/>
    <x v="2"/>
    <x v="0"/>
    <x v="1"/>
    <x v="5"/>
    <x v="2"/>
    <x v="3"/>
    <n v="8"/>
    <n v="42999"/>
    <n v="15"/>
    <n v="292393.2"/>
    <n v="4.5999999999999996"/>
    <n v="20"/>
    <n v="61918.559999999998"/>
    <s v="1 Year"/>
  </r>
  <r>
    <x v="163"/>
    <n v="6502399"/>
    <n v="48"/>
    <x v="0"/>
    <x v="5"/>
    <x v="0"/>
    <x v="0"/>
    <x v="0"/>
    <x v="0"/>
    <x v="0"/>
    <x v="4"/>
    <n v="5"/>
    <n v="99999"/>
    <n v="10"/>
    <n v="449995.5"/>
    <n v="4.7"/>
    <n v="20"/>
    <n v="89999.099999999991"/>
    <s v="6 Months"/>
  </r>
  <r>
    <x v="164"/>
    <n v="7238770"/>
    <n v="24"/>
    <x v="0"/>
    <x v="5"/>
    <x v="0"/>
    <x v="5"/>
    <x v="1"/>
    <x v="1"/>
    <x v="1"/>
    <x v="4"/>
    <n v="31"/>
    <n v="4999"/>
    <n v="18"/>
    <n v="127074.58"/>
    <n v="4.4000000000000004"/>
    <n v="20"/>
    <n v="27894.42"/>
    <s v="1 Year"/>
  </r>
  <r>
    <x v="165"/>
    <n v="1376871"/>
    <n v="41"/>
    <x v="0"/>
    <x v="5"/>
    <x v="0"/>
    <x v="1"/>
    <x v="2"/>
    <x v="2"/>
    <x v="1"/>
    <x v="4"/>
    <n v="8"/>
    <n v="24900"/>
    <n v="5"/>
    <n v="189240"/>
    <n v="4.8"/>
    <n v="20"/>
    <n v="35856"/>
    <s v="1 Year"/>
  </r>
  <r>
    <x v="166"/>
    <n v="8257154"/>
    <n v="53"/>
    <x v="1"/>
    <x v="5"/>
    <x v="0"/>
    <x v="0"/>
    <x v="3"/>
    <x v="3"/>
    <x v="0"/>
    <x v="4"/>
    <n v="2"/>
    <n v="84999"/>
    <n v="12"/>
    <n v="149598.24"/>
    <n v="4.5"/>
    <n v="20"/>
    <n v="30599.64"/>
    <s v="1 Year"/>
  </r>
  <r>
    <x v="167"/>
    <n v="4145340"/>
    <n v="29"/>
    <x v="0"/>
    <x v="5"/>
    <x v="0"/>
    <x v="3"/>
    <x v="2"/>
    <x v="4"/>
    <x v="2"/>
    <x v="4"/>
    <n v="2"/>
    <n v="69999"/>
    <n v="8"/>
    <n v="128798.16"/>
    <n v="4.8"/>
    <n v="20"/>
    <n v="25199.64"/>
    <s v="1 Year"/>
  </r>
  <r>
    <x v="168"/>
    <n v="9073647"/>
    <n v="37"/>
    <x v="0"/>
    <x v="5"/>
    <x v="0"/>
    <x v="2"/>
    <x v="1"/>
    <x v="5"/>
    <x v="2"/>
    <x v="4"/>
    <n v="5"/>
    <n v="42999"/>
    <n v="15"/>
    <n v="182745.75"/>
    <n v="4.5999999999999996"/>
    <n v="20"/>
    <n v="38699.1"/>
    <s v="1 Year"/>
  </r>
  <r>
    <x v="169"/>
    <n v="8882909"/>
    <n v="73"/>
    <x v="1"/>
    <x v="6"/>
    <x v="0"/>
    <x v="0"/>
    <x v="0"/>
    <x v="0"/>
    <x v="0"/>
    <x v="0"/>
    <n v="6"/>
    <n v="99999"/>
    <n v="10"/>
    <n v="539994.6"/>
    <n v="4.7"/>
    <n v="20"/>
    <n v="107998.92"/>
    <s v="1 Year"/>
  </r>
  <r>
    <x v="170"/>
    <n v="9353236"/>
    <n v="42"/>
    <x v="0"/>
    <x v="6"/>
    <x v="0"/>
    <x v="1"/>
    <x v="1"/>
    <x v="1"/>
    <x v="1"/>
    <x v="0"/>
    <n v="37"/>
    <n v="4999"/>
    <n v="18"/>
    <n v="151669.66"/>
    <n v="4.4000000000000004"/>
    <n v="20"/>
    <n v="33293.339999999997"/>
    <s v="6 Months"/>
  </r>
  <r>
    <x v="171"/>
    <n v="8519920"/>
    <n v="33"/>
    <x v="0"/>
    <x v="6"/>
    <x v="0"/>
    <x v="3"/>
    <x v="2"/>
    <x v="2"/>
    <x v="1"/>
    <x v="0"/>
    <n v="12"/>
    <n v="24900"/>
    <n v="5"/>
    <n v="283860"/>
    <n v="4.8"/>
    <n v="20"/>
    <n v="53784"/>
    <s v="1 Year"/>
  </r>
  <r>
    <x v="172"/>
    <n v="9860710"/>
    <n v="29"/>
    <x v="0"/>
    <x v="6"/>
    <x v="0"/>
    <x v="0"/>
    <x v="3"/>
    <x v="3"/>
    <x v="0"/>
    <x v="0"/>
    <n v="4"/>
    <n v="84999"/>
    <n v="12"/>
    <n v="299196.48"/>
    <n v="4.5"/>
    <n v="20"/>
    <n v="61199.28"/>
    <s v="1 Year"/>
  </r>
  <r>
    <x v="173"/>
    <n v="9474390"/>
    <n v="39"/>
    <x v="0"/>
    <x v="6"/>
    <x v="0"/>
    <x v="3"/>
    <x v="2"/>
    <x v="4"/>
    <x v="2"/>
    <x v="0"/>
    <n v="6"/>
    <n v="69999"/>
    <n v="8"/>
    <n v="386394.48"/>
    <n v="4.8"/>
    <n v="20"/>
    <n v="75598.92"/>
    <s v="1 Year"/>
  </r>
  <r>
    <x v="174"/>
    <n v="5085571"/>
    <n v="42"/>
    <x v="0"/>
    <x v="6"/>
    <x v="0"/>
    <x v="0"/>
    <x v="1"/>
    <x v="5"/>
    <x v="2"/>
    <x v="0"/>
    <n v="6"/>
    <n v="42999"/>
    <n v="15"/>
    <n v="219294.9"/>
    <n v="4.5999999999999996"/>
    <n v="20"/>
    <n v="46438.92"/>
    <s v="1 Year"/>
  </r>
  <r>
    <x v="175"/>
    <n v="9457709"/>
    <n v="59"/>
    <x v="1"/>
    <x v="6"/>
    <x v="0"/>
    <x v="0"/>
    <x v="0"/>
    <x v="0"/>
    <x v="0"/>
    <x v="1"/>
    <n v="3"/>
    <n v="99999"/>
    <n v="10"/>
    <n v="269997.3"/>
    <n v="4.7"/>
    <n v="20"/>
    <n v="53999.46"/>
    <s v="6 Months"/>
  </r>
  <r>
    <x v="176"/>
    <n v="2746120"/>
    <n v="46"/>
    <x v="0"/>
    <x v="6"/>
    <x v="0"/>
    <x v="2"/>
    <x v="1"/>
    <x v="1"/>
    <x v="1"/>
    <x v="1"/>
    <n v="70"/>
    <n v="4999"/>
    <n v="18"/>
    <n v="286942.59999999998"/>
    <n v="4.4000000000000004"/>
    <n v="20"/>
    <n v="62987.399999999994"/>
    <s v="1 Year"/>
  </r>
  <r>
    <x v="177"/>
    <n v="1878389"/>
    <n v="48"/>
    <x v="0"/>
    <x v="6"/>
    <x v="0"/>
    <x v="3"/>
    <x v="2"/>
    <x v="2"/>
    <x v="1"/>
    <x v="1"/>
    <n v="15"/>
    <n v="24900"/>
    <n v="5"/>
    <n v="354825"/>
    <n v="4.8"/>
    <n v="20"/>
    <n v="67230"/>
    <s v="1 Year"/>
  </r>
  <r>
    <x v="178"/>
    <n v="476685"/>
    <n v="33"/>
    <x v="0"/>
    <x v="6"/>
    <x v="0"/>
    <x v="1"/>
    <x v="3"/>
    <x v="3"/>
    <x v="0"/>
    <x v="1"/>
    <n v="6"/>
    <n v="84999"/>
    <n v="12"/>
    <n v="448794.72"/>
    <n v="4.5"/>
    <n v="20"/>
    <n v="91798.92"/>
    <s v="1 Year"/>
  </r>
  <r>
    <x v="178"/>
    <n v="476685"/>
    <n v="22"/>
    <x v="0"/>
    <x v="6"/>
    <x v="0"/>
    <x v="2"/>
    <x v="2"/>
    <x v="4"/>
    <x v="2"/>
    <x v="1"/>
    <n v="6"/>
    <n v="69999"/>
    <n v="8"/>
    <n v="386394.48"/>
    <n v="4.8"/>
    <n v="20"/>
    <n v="75598.92"/>
    <s v="6 Months"/>
  </r>
  <r>
    <x v="179"/>
    <n v="1845045"/>
    <n v="23"/>
    <x v="0"/>
    <x v="6"/>
    <x v="0"/>
    <x v="3"/>
    <x v="1"/>
    <x v="5"/>
    <x v="2"/>
    <x v="1"/>
    <n v="10"/>
    <n v="42999"/>
    <n v="15"/>
    <n v="365491.5"/>
    <n v="4.5999999999999996"/>
    <n v="20"/>
    <n v="77398.2"/>
    <s v="1 Year"/>
  </r>
  <r>
    <x v="180"/>
    <n v="9933073"/>
    <n v="42"/>
    <x v="0"/>
    <x v="6"/>
    <x v="0"/>
    <x v="3"/>
    <x v="0"/>
    <x v="0"/>
    <x v="0"/>
    <x v="2"/>
    <n v="2"/>
    <n v="99999"/>
    <n v="10"/>
    <n v="179998.2"/>
    <n v="4.7"/>
    <n v="20"/>
    <n v="35999.64"/>
    <s v="6 Months"/>
  </r>
  <r>
    <x v="181"/>
    <n v="5497347"/>
    <n v="38"/>
    <x v="0"/>
    <x v="6"/>
    <x v="0"/>
    <x v="2"/>
    <x v="1"/>
    <x v="1"/>
    <x v="1"/>
    <x v="2"/>
    <n v="41"/>
    <n v="4999"/>
    <n v="18"/>
    <n v="168066.38"/>
    <n v="4.4000000000000004"/>
    <n v="20"/>
    <n v="36892.619999999995"/>
    <s v="6 Months"/>
  </r>
  <r>
    <x v="182"/>
    <n v="7912532"/>
    <n v="39"/>
    <x v="0"/>
    <x v="6"/>
    <x v="0"/>
    <x v="0"/>
    <x v="2"/>
    <x v="2"/>
    <x v="1"/>
    <x v="2"/>
    <n v="4"/>
    <n v="24900"/>
    <n v="5"/>
    <n v="94620"/>
    <n v="4.8"/>
    <n v="20"/>
    <n v="17928"/>
    <s v="6 Months"/>
  </r>
  <r>
    <x v="183"/>
    <n v="9766258"/>
    <n v="50"/>
    <x v="1"/>
    <x v="6"/>
    <x v="0"/>
    <x v="0"/>
    <x v="3"/>
    <x v="3"/>
    <x v="0"/>
    <x v="2"/>
    <n v="2"/>
    <n v="84999"/>
    <n v="12"/>
    <n v="149598.24"/>
    <n v="4.5"/>
    <n v="20"/>
    <n v="30599.64"/>
    <s v="1 Year"/>
  </r>
  <r>
    <x v="184"/>
    <n v="1473140"/>
    <n v="31"/>
    <x v="0"/>
    <x v="6"/>
    <x v="0"/>
    <x v="3"/>
    <x v="2"/>
    <x v="4"/>
    <x v="2"/>
    <x v="2"/>
    <n v="2"/>
    <n v="69999"/>
    <n v="8"/>
    <n v="128798.16"/>
    <n v="4.8"/>
    <n v="20"/>
    <n v="25199.64"/>
    <s v="6 Months"/>
  </r>
  <r>
    <x v="185"/>
    <n v="524091"/>
    <n v="33"/>
    <x v="0"/>
    <x v="6"/>
    <x v="0"/>
    <x v="1"/>
    <x v="1"/>
    <x v="5"/>
    <x v="2"/>
    <x v="2"/>
    <n v="6"/>
    <n v="42999"/>
    <n v="15"/>
    <n v="219294.9"/>
    <n v="4.5999999999999996"/>
    <n v="20"/>
    <n v="46438.92"/>
    <s v="1 Year"/>
  </r>
  <r>
    <x v="186"/>
    <n v="6280655"/>
    <n v="23"/>
    <x v="0"/>
    <x v="6"/>
    <x v="0"/>
    <x v="0"/>
    <x v="0"/>
    <x v="0"/>
    <x v="0"/>
    <x v="3"/>
    <n v="4"/>
    <n v="99999"/>
    <n v="10"/>
    <n v="359996.4"/>
    <n v="4.7"/>
    <n v="20"/>
    <n v="71999.28"/>
    <s v="1 Year"/>
  </r>
  <r>
    <x v="187"/>
    <n v="1920070"/>
    <n v="57"/>
    <x v="1"/>
    <x v="6"/>
    <x v="0"/>
    <x v="4"/>
    <x v="1"/>
    <x v="1"/>
    <x v="1"/>
    <x v="3"/>
    <n v="49"/>
    <n v="4999"/>
    <n v="18"/>
    <n v="200859.82"/>
    <n v="4.4000000000000004"/>
    <n v="20"/>
    <n v="44091.18"/>
    <s v="1 Year"/>
  </r>
  <r>
    <x v="188"/>
    <n v="2265901"/>
    <n v="35"/>
    <x v="0"/>
    <x v="6"/>
    <x v="0"/>
    <x v="4"/>
    <x v="2"/>
    <x v="2"/>
    <x v="1"/>
    <x v="3"/>
    <n v="13"/>
    <n v="24900"/>
    <n v="5"/>
    <n v="307515"/>
    <n v="4.8"/>
    <n v="20"/>
    <n v="58266"/>
    <s v="1 Year"/>
  </r>
  <r>
    <x v="189"/>
    <n v="476593"/>
    <n v="29"/>
    <x v="0"/>
    <x v="6"/>
    <x v="3"/>
    <x v="0"/>
    <x v="3"/>
    <x v="3"/>
    <x v="0"/>
    <x v="3"/>
    <n v="4"/>
    <n v="84999"/>
    <n v="12"/>
    <n v="299196.48"/>
    <n v="4.5"/>
    <n v="20"/>
    <n v="61199.28"/>
    <s v="6 Months"/>
  </r>
  <r>
    <x v="189"/>
    <n v="476593"/>
    <n v="69"/>
    <x v="1"/>
    <x v="6"/>
    <x v="0"/>
    <x v="3"/>
    <x v="2"/>
    <x v="4"/>
    <x v="2"/>
    <x v="3"/>
    <n v="3"/>
    <n v="69999"/>
    <n v="8"/>
    <n v="193197.24"/>
    <n v="4.8"/>
    <n v="20"/>
    <n v="37799.46"/>
    <s v="1 Year"/>
  </r>
  <r>
    <x v="190"/>
    <n v="8490583"/>
    <n v="49"/>
    <x v="0"/>
    <x v="6"/>
    <x v="0"/>
    <x v="4"/>
    <x v="1"/>
    <x v="5"/>
    <x v="2"/>
    <x v="3"/>
    <n v="6"/>
    <n v="42999"/>
    <n v="15"/>
    <n v="219294.9"/>
    <n v="4.5999999999999996"/>
    <n v="20"/>
    <n v="46438.92"/>
    <s v="6 Months"/>
  </r>
  <r>
    <x v="191"/>
    <n v="5716384"/>
    <n v="31"/>
    <x v="0"/>
    <x v="6"/>
    <x v="0"/>
    <x v="0"/>
    <x v="0"/>
    <x v="0"/>
    <x v="0"/>
    <x v="4"/>
    <n v="6"/>
    <n v="99999"/>
    <n v="10"/>
    <n v="539994.6"/>
    <n v="4.7"/>
    <n v="20"/>
    <n v="107998.92"/>
    <s v="1 Year"/>
  </r>
  <r>
    <x v="192"/>
    <n v="5226206"/>
    <n v="38"/>
    <x v="0"/>
    <x v="6"/>
    <x v="0"/>
    <x v="2"/>
    <x v="1"/>
    <x v="1"/>
    <x v="1"/>
    <x v="4"/>
    <n v="58"/>
    <n v="4999"/>
    <n v="18"/>
    <n v="237752.44"/>
    <n v="4.4000000000000004"/>
    <n v="20"/>
    <n v="52189.56"/>
    <s v="6 Months"/>
  </r>
  <r>
    <x v="193"/>
    <n v="3951365"/>
    <n v="46"/>
    <x v="0"/>
    <x v="6"/>
    <x v="0"/>
    <x v="3"/>
    <x v="2"/>
    <x v="2"/>
    <x v="1"/>
    <x v="4"/>
    <n v="13"/>
    <n v="24900"/>
    <n v="5"/>
    <n v="307515"/>
    <n v="4.8"/>
    <n v="20"/>
    <n v="58266"/>
    <s v="1 Year"/>
  </r>
  <r>
    <x v="194"/>
    <n v="2485702"/>
    <n v="46"/>
    <x v="0"/>
    <x v="6"/>
    <x v="0"/>
    <x v="0"/>
    <x v="3"/>
    <x v="3"/>
    <x v="0"/>
    <x v="4"/>
    <n v="2"/>
    <n v="84999"/>
    <n v="12"/>
    <n v="149598.24"/>
    <n v="4.5"/>
    <n v="20"/>
    <n v="30599.64"/>
    <s v="1 Year"/>
  </r>
  <r>
    <x v="195"/>
    <n v="5716802"/>
    <n v="68"/>
    <x v="1"/>
    <x v="6"/>
    <x v="0"/>
    <x v="0"/>
    <x v="2"/>
    <x v="4"/>
    <x v="2"/>
    <x v="4"/>
    <n v="2"/>
    <n v="69999"/>
    <n v="8"/>
    <n v="128798.16"/>
    <n v="4.8"/>
    <n v="20"/>
    <n v="25199.64"/>
    <s v="1 Year"/>
  </r>
  <r>
    <x v="196"/>
    <n v="8120045"/>
    <n v="20"/>
    <x v="0"/>
    <x v="6"/>
    <x v="0"/>
    <x v="2"/>
    <x v="1"/>
    <x v="5"/>
    <x v="2"/>
    <x v="4"/>
    <n v="11"/>
    <n v="42999"/>
    <n v="15"/>
    <n v="402040.65"/>
    <n v="4.5999999999999996"/>
    <n v="20"/>
    <n v="85138.02"/>
    <s v="1 Year"/>
  </r>
  <r>
    <x v="197"/>
    <n v="7328394"/>
    <n v="57"/>
    <x v="1"/>
    <x v="7"/>
    <x v="0"/>
    <x v="1"/>
    <x v="0"/>
    <x v="0"/>
    <x v="0"/>
    <x v="0"/>
    <n v="4"/>
    <n v="99999"/>
    <n v="10"/>
    <n v="359996.4"/>
    <n v="4.7"/>
    <n v="20"/>
    <n v="71999.28"/>
    <s v="1 Year"/>
  </r>
  <r>
    <x v="198"/>
    <n v="6875530"/>
    <n v="21"/>
    <x v="0"/>
    <x v="7"/>
    <x v="2"/>
    <x v="0"/>
    <x v="1"/>
    <x v="1"/>
    <x v="1"/>
    <x v="0"/>
    <n v="31"/>
    <n v="4999"/>
    <n v="18"/>
    <n v="127074.58"/>
    <n v="4.4000000000000004"/>
    <n v="20"/>
    <n v="27894.42"/>
    <s v="6 Months"/>
  </r>
  <r>
    <x v="199"/>
    <n v="3453298"/>
    <n v="29"/>
    <x v="0"/>
    <x v="7"/>
    <x v="0"/>
    <x v="2"/>
    <x v="2"/>
    <x v="2"/>
    <x v="1"/>
    <x v="0"/>
    <n v="9"/>
    <n v="24900"/>
    <n v="5"/>
    <n v="212895"/>
    <n v="4.8"/>
    <n v="20"/>
    <n v="40338"/>
    <s v="6 Months"/>
  </r>
  <r>
    <x v="200"/>
    <n v="6898340"/>
    <n v="49"/>
    <x v="0"/>
    <x v="7"/>
    <x v="0"/>
    <x v="5"/>
    <x v="3"/>
    <x v="3"/>
    <x v="0"/>
    <x v="0"/>
    <n v="2"/>
    <n v="84999"/>
    <n v="12"/>
    <n v="149598.24"/>
    <n v="4.5"/>
    <n v="20"/>
    <n v="30599.64"/>
    <s v="1 Year"/>
  </r>
  <r>
    <x v="201"/>
    <n v="9867216"/>
    <n v="68"/>
    <x v="1"/>
    <x v="7"/>
    <x v="0"/>
    <x v="1"/>
    <x v="2"/>
    <x v="4"/>
    <x v="2"/>
    <x v="0"/>
    <n v="5"/>
    <n v="69999"/>
    <n v="8"/>
    <n v="321995.40000000002"/>
    <n v="4.8"/>
    <n v="20"/>
    <n v="62999.1"/>
    <s v="1 Year"/>
  </r>
  <r>
    <x v="202"/>
    <n v="5042032"/>
    <n v="31"/>
    <x v="0"/>
    <x v="7"/>
    <x v="0"/>
    <x v="1"/>
    <x v="1"/>
    <x v="5"/>
    <x v="2"/>
    <x v="0"/>
    <n v="9"/>
    <n v="42999"/>
    <n v="15"/>
    <n v="328942.34999999998"/>
    <n v="4.5999999999999996"/>
    <n v="20"/>
    <n v="69658.38"/>
    <s v="1 Year"/>
  </r>
  <r>
    <x v="203"/>
    <n v="63406"/>
    <n v="19"/>
    <x v="2"/>
    <x v="7"/>
    <x v="0"/>
    <x v="0"/>
    <x v="0"/>
    <x v="0"/>
    <x v="0"/>
    <x v="1"/>
    <n v="3"/>
    <n v="99999"/>
    <n v="10"/>
    <n v="269997.3"/>
    <n v="4.7"/>
    <n v="20"/>
    <n v="53999.46"/>
    <s v="6 Months"/>
  </r>
  <r>
    <x v="204"/>
    <n v="8307667"/>
    <n v="30"/>
    <x v="0"/>
    <x v="7"/>
    <x v="0"/>
    <x v="1"/>
    <x v="1"/>
    <x v="1"/>
    <x v="1"/>
    <x v="1"/>
    <n v="56"/>
    <n v="4999"/>
    <n v="18"/>
    <n v="229554.08000000002"/>
    <n v="4.4000000000000004"/>
    <n v="20"/>
    <n v="50389.919999999998"/>
    <s v="1 Year"/>
  </r>
  <r>
    <x v="205"/>
    <n v="7968627"/>
    <n v="26"/>
    <x v="0"/>
    <x v="7"/>
    <x v="0"/>
    <x v="1"/>
    <x v="2"/>
    <x v="2"/>
    <x v="1"/>
    <x v="1"/>
    <n v="15"/>
    <n v="24900"/>
    <n v="5"/>
    <n v="354825"/>
    <n v="4.8"/>
    <n v="20"/>
    <n v="67230"/>
    <s v="1 Year"/>
  </r>
  <r>
    <x v="206"/>
    <n v="5521742"/>
    <n v="29"/>
    <x v="0"/>
    <x v="7"/>
    <x v="3"/>
    <x v="2"/>
    <x v="3"/>
    <x v="3"/>
    <x v="0"/>
    <x v="1"/>
    <n v="4"/>
    <n v="84999"/>
    <n v="12"/>
    <n v="299196.48"/>
    <n v="4.5"/>
    <n v="20"/>
    <n v="61199.28"/>
    <s v="1 Year"/>
  </r>
  <r>
    <x v="207"/>
    <n v="5834744"/>
    <n v="66"/>
    <x v="1"/>
    <x v="7"/>
    <x v="0"/>
    <x v="5"/>
    <x v="2"/>
    <x v="4"/>
    <x v="2"/>
    <x v="1"/>
    <n v="3"/>
    <n v="69999"/>
    <n v="8"/>
    <n v="193197.24"/>
    <n v="4.8"/>
    <n v="20"/>
    <n v="37799.46"/>
    <s v="1 Year"/>
  </r>
  <r>
    <x v="208"/>
    <n v="7465655"/>
    <n v="53"/>
    <x v="1"/>
    <x v="7"/>
    <x v="0"/>
    <x v="2"/>
    <x v="1"/>
    <x v="5"/>
    <x v="2"/>
    <x v="1"/>
    <n v="10"/>
    <n v="42999"/>
    <n v="15"/>
    <n v="365491.5"/>
    <n v="4.5999999999999996"/>
    <n v="20"/>
    <n v="77398.2"/>
    <s v="6 Months"/>
  </r>
  <r>
    <x v="209"/>
    <n v="3665568"/>
    <n v="41"/>
    <x v="0"/>
    <x v="7"/>
    <x v="0"/>
    <x v="1"/>
    <x v="0"/>
    <x v="0"/>
    <x v="0"/>
    <x v="2"/>
    <n v="5"/>
    <n v="99999"/>
    <n v="10"/>
    <n v="449995.5"/>
    <n v="4.7"/>
    <n v="20"/>
    <n v="89999.099999999991"/>
    <s v="1 Year"/>
  </r>
  <r>
    <x v="210"/>
    <n v="7420219"/>
    <n v="39"/>
    <x v="0"/>
    <x v="7"/>
    <x v="0"/>
    <x v="2"/>
    <x v="1"/>
    <x v="1"/>
    <x v="1"/>
    <x v="2"/>
    <n v="34"/>
    <n v="4999"/>
    <n v="18"/>
    <n v="139372.12"/>
    <n v="4.4000000000000004"/>
    <n v="20"/>
    <n v="30593.879999999997"/>
    <s v="6 Months"/>
  </r>
  <r>
    <x v="211"/>
    <n v="5160745"/>
    <n v="36"/>
    <x v="0"/>
    <x v="7"/>
    <x v="0"/>
    <x v="0"/>
    <x v="2"/>
    <x v="2"/>
    <x v="1"/>
    <x v="2"/>
    <n v="10"/>
    <n v="24900"/>
    <n v="5"/>
    <n v="236550"/>
    <n v="4.8"/>
    <n v="20"/>
    <n v="44820"/>
    <s v="6 Months"/>
  </r>
  <r>
    <x v="212"/>
    <n v="8985896"/>
    <n v="29"/>
    <x v="0"/>
    <x v="7"/>
    <x v="0"/>
    <x v="2"/>
    <x v="3"/>
    <x v="3"/>
    <x v="0"/>
    <x v="2"/>
    <n v="1"/>
    <n v="84999"/>
    <n v="12"/>
    <n v="74799.12"/>
    <n v="4.5"/>
    <n v="20"/>
    <n v="15299.82"/>
    <s v="6 Months"/>
  </r>
  <r>
    <x v="213"/>
    <n v="9796800"/>
    <n v="47"/>
    <x v="0"/>
    <x v="7"/>
    <x v="0"/>
    <x v="2"/>
    <x v="2"/>
    <x v="4"/>
    <x v="2"/>
    <x v="2"/>
    <n v="5"/>
    <n v="69999"/>
    <n v="8"/>
    <n v="321995.40000000002"/>
    <n v="4.8"/>
    <n v="20"/>
    <n v="62999.1"/>
    <s v="1 Year"/>
  </r>
  <r>
    <x v="214"/>
    <n v="5617430"/>
    <n v="20"/>
    <x v="0"/>
    <x v="7"/>
    <x v="0"/>
    <x v="2"/>
    <x v="1"/>
    <x v="5"/>
    <x v="2"/>
    <x v="2"/>
    <n v="6"/>
    <n v="42999"/>
    <n v="15"/>
    <n v="219294.9"/>
    <n v="4.5999999999999996"/>
    <n v="20"/>
    <n v="46438.92"/>
    <s v="1 Year"/>
  </r>
  <r>
    <x v="215"/>
    <n v="8714035"/>
    <n v="44"/>
    <x v="0"/>
    <x v="7"/>
    <x v="2"/>
    <x v="2"/>
    <x v="0"/>
    <x v="0"/>
    <x v="0"/>
    <x v="3"/>
    <n v="4"/>
    <n v="99999"/>
    <n v="10"/>
    <n v="359996.4"/>
    <n v="4.7"/>
    <n v="20"/>
    <n v="71999.28"/>
    <s v="1 Year"/>
  </r>
  <r>
    <x v="216"/>
    <n v="1798937"/>
    <n v="38"/>
    <x v="0"/>
    <x v="7"/>
    <x v="0"/>
    <x v="1"/>
    <x v="1"/>
    <x v="1"/>
    <x v="1"/>
    <x v="3"/>
    <n v="49"/>
    <n v="4999"/>
    <n v="18"/>
    <n v="200859.82"/>
    <n v="4.4000000000000004"/>
    <n v="20"/>
    <n v="44091.18"/>
    <s v="1 Year"/>
  </r>
  <r>
    <x v="217"/>
    <n v="2448060"/>
    <n v="28"/>
    <x v="0"/>
    <x v="7"/>
    <x v="0"/>
    <x v="2"/>
    <x v="2"/>
    <x v="2"/>
    <x v="1"/>
    <x v="3"/>
    <n v="10"/>
    <n v="24900"/>
    <n v="5"/>
    <n v="236550"/>
    <n v="4.8"/>
    <n v="20"/>
    <n v="44820"/>
    <s v="1 Year"/>
  </r>
  <r>
    <x v="217"/>
    <n v="2448060"/>
    <n v="35"/>
    <x v="0"/>
    <x v="7"/>
    <x v="0"/>
    <x v="0"/>
    <x v="3"/>
    <x v="3"/>
    <x v="0"/>
    <x v="3"/>
    <n v="6"/>
    <n v="84999"/>
    <n v="12"/>
    <n v="448794.72"/>
    <n v="4.5"/>
    <n v="20"/>
    <n v="91798.92"/>
    <s v="1 Year"/>
  </r>
  <r>
    <x v="217"/>
    <n v="2448060"/>
    <n v="21"/>
    <x v="0"/>
    <x v="7"/>
    <x v="0"/>
    <x v="0"/>
    <x v="2"/>
    <x v="4"/>
    <x v="2"/>
    <x v="3"/>
    <n v="5"/>
    <n v="69999"/>
    <n v="8"/>
    <n v="321995.40000000002"/>
    <n v="4.8"/>
    <n v="20"/>
    <n v="62999.1"/>
    <s v="1 Year"/>
  </r>
  <r>
    <x v="218"/>
    <n v="3863417"/>
    <n v="56"/>
    <x v="1"/>
    <x v="7"/>
    <x v="0"/>
    <x v="1"/>
    <x v="1"/>
    <x v="5"/>
    <x v="2"/>
    <x v="3"/>
    <n v="8"/>
    <n v="42999"/>
    <n v="15"/>
    <n v="292393.2"/>
    <n v="4.5999999999999996"/>
    <n v="20"/>
    <n v="61918.559999999998"/>
    <s v="1 Year"/>
  </r>
  <r>
    <x v="219"/>
    <n v="282991"/>
    <n v="26"/>
    <x v="0"/>
    <x v="7"/>
    <x v="0"/>
    <x v="0"/>
    <x v="0"/>
    <x v="0"/>
    <x v="0"/>
    <x v="4"/>
    <n v="5"/>
    <n v="99999"/>
    <n v="10"/>
    <n v="449995.5"/>
    <n v="4.7"/>
    <n v="20"/>
    <n v="89999.099999999991"/>
    <s v="1 Year"/>
  </r>
  <r>
    <x v="220"/>
    <n v="2276390"/>
    <n v="37"/>
    <x v="0"/>
    <x v="7"/>
    <x v="0"/>
    <x v="2"/>
    <x v="1"/>
    <x v="1"/>
    <x v="1"/>
    <x v="4"/>
    <n v="45"/>
    <n v="4999"/>
    <n v="18"/>
    <n v="184463.1"/>
    <n v="4.4000000000000004"/>
    <n v="20"/>
    <n v="40491.9"/>
    <s v="1 Year"/>
  </r>
  <r>
    <x v="221"/>
    <n v="89951"/>
    <n v="63"/>
    <x v="1"/>
    <x v="7"/>
    <x v="0"/>
    <x v="0"/>
    <x v="2"/>
    <x v="2"/>
    <x v="1"/>
    <x v="4"/>
    <n v="11"/>
    <n v="24900"/>
    <n v="5"/>
    <n v="260205"/>
    <n v="4.8"/>
    <n v="20"/>
    <n v="49302"/>
    <s v="1 Year"/>
  </r>
  <r>
    <x v="222"/>
    <n v="2696952"/>
    <n v="35"/>
    <x v="0"/>
    <x v="7"/>
    <x v="3"/>
    <x v="2"/>
    <x v="3"/>
    <x v="3"/>
    <x v="0"/>
    <x v="4"/>
    <n v="6"/>
    <n v="84999"/>
    <n v="12"/>
    <n v="448794.72"/>
    <n v="4.5"/>
    <n v="20"/>
    <n v="91798.92"/>
    <s v="6 Months"/>
  </r>
  <r>
    <x v="223"/>
    <n v="9622079"/>
    <n v="18"/>
    <x v="2"/>
    <x v="7"/>
    <x v="0"/>
    <x v="2"/>
    <x v="2"/>
    <x v="4"/>
    <x v="2"/>
    <x v="4"/>
    <n v="2"/>
    <n v="69999"/>
    <n v="8"/>
    <n v="128798.16"/>
    <n v="4.8"/>
    <n v="20"/>
    <n v="25199.64"/>
    <s v="6 Months"/>
  </r>
  <r>
    <x v="224"/>
    <n v="8773331"/>
    <n v="33"/>
    <x v="0"/>
    <x v="7"/>
    <x v="0"/>
    <x v="2"/>
    <x v="1"/>
    <x v="5"/>
    <x v="2"/>
    <x v="4"/>
    <n v="7"/>
    <n v="42999"/>
    <n v="15"/>
    <n v="255844.05"/>
    <n v="4.5999999999999996"/>
    <n v="20"/>
    <n v="54178.74"/>
    <s v="1 Year"/>
  </r>
  <r>
    <x v="225"/>
    <n v="1035887"/>
    <n v="55"/>
    <x v="1"/>
    <x v="8"/>
    <x v="0"/>
    <x v="2"/>
    <x v="0"/>
    <x v="0"/>
    <x v="0"/>
    <x v="0"/>
    <n v="3"/>
    <n v="99999"/>
    <n v="10"/>
    <n v="269997.3"/>
    <n v="4.7"/>
    <n v="20"/>
    <n v="53999.46"/>
    <s v="6 Months"/>
  </r>
  <r>
    <x v="226"/>
    <n v="8863009"/>
    <n v="20"/>
    <x v="0"/>
    <x v="8"/>
    <x v="3"/>
    <x v="5"/>
    <x v="1"/>
    <x v="1"/>
    <x v="1"/>
    <x v="0"/>
    <n v="57"/>
    <n v="4999"/>
    <n v="18"/>
    <n v="233653.26"/>
    <n v="4.4000000000000004"/>
    <n v="20"/>
    <n v="51289.74"/>
    <s v="1 Year"/>
  </r>
  <r>
    <x v="226"/>
    <n v="8863009"/>
    <n v="48"/>
    <x v="0"/>
    <x v="8"/>
    <x v="3"/>
    <x v="2"/>
    <x v="2"/>
    <x v="2"/>
    <x v="1"/>
    <x v="0"/>
    <n v="11"/>
    <n v="24900"/>
    <n v="5"/>
    <n v="260205"/>
    <n v="4.8"/>
    <n v="20"/>
    <n v="49302"/>
    <s v="1 Year"/>
  </r>
  <r>
    <x v="226"/>
    <n v="8863009"/>
    <n v="48"/>
    <x v="0"/>
    <x v="8"/>
    <x v="3"/>
    <x v="1"/>
    <x v="3"/>
    <x v="3"/>
    <x v="0"/>
    <x v="0"/>
    <n v="5"/>
    <n v="84999"/>
    <n v="12"/>
    <n v="373995.6"/>
    <n v="4.5"/>
    <n v="20"/>
    <n v="76499.099999999991"/>
    <s v="1 Year"/>
  </r>
  <r>
    <x v="227"/>
    <n v="5771983"/>
    <n v="43"/>
    <x v="0"/>
    <x v="8"/>
    <x v="0"/>
    <x v="3"/>
    <x v="2"/>
    <x v="4"/>
    <x v="2"/>
    <x v="0"/>
    <n v="4"/>
    <n v="69999"/>
    <n v="8"/>
    <n v="257596.32"/>
    <n v="4.8"/>
    <n v="20"/>
    <n v="50399.28"/>
    <s v="1 Year"/>
  </r>
  <r>
    <x v="228"/>
    <n v="442536"/>
    <n v="42"/>
    <x v="0"/>
    <x v="8"/>
    <x v="0"/>
    <x v="3"/>
    <x v="1"/>
    <x v="5"/>
    <x v="2"/>
    <x v="0"/>
    <n v="9"/>
    <n v="42999"/>
    <n v="15"/>
    <n v="328942.34999999998"/>
    <n v="4.5999999999999996"/>
    <n v="20"/>
    <n v="69658.38"/>
    <s v="1 Year"/>
  </r>
  <r>
    <x v="229"/>
    <n v="5850336"/>
    <n v="35"/>
    <x v="0"/>
    <x v="8"/>
    <x v="0"/>
    <x v="2"/>
    <x v="0"/>
    <x v="0"/>
    <x v="0"/>
    <x v="1"/>
    <n v="6"/>
    <n v="99999"/>
    <n v="10"/>
    <n v="539994.6"/>
    <n v="4.7"/>
    <n v="20"/>
    <n v="107998.92"/>
    <s v="6 Months"/>
  </r>
  <r>
    <x v="230"/>
    <n v="7926847"/>
    <n v="32"/>
    <x v="0"/>
    <x v="8"/>
    <x v="0"/>
    <x v="2"/>
    <x v="1"/>
    <x v="1"/>
    <x v="1"/>
    <x v="1"/>
    <n v="71"/>
    <n v="4999"/>
    <n v="18"/>
    <n v="291041.78000000003"/>
    <n v="4.4000000000000004"/>
    <n v="20"/>
    <n v="63887.22"/>
    <s v="6 Months"/>
  </r>
  <r>
    <x v="231"/>
    <n v="1525291"/>
    <n v="75"/>
    <x v="1"/>
    <x v="8"/>
    <x v="0"/>
    <x v="0"/>
    <x v="2"/>
    <x v="2"/>
    <x v="1"/>
    <x v="1"/>
    <n v="16"/>
    <n v="24900"/>
    <n v="5"/>
    <n v="378480"/>
    <n v="4.8"/>
    <n v="20"/>
    <n v="71712"/>
    <s v="6 Months"/>
  </r>
  <r>
    <x v="232"/>
    <n v="4283278"/>
    <n v="28"/>
    <x v="0"/>
    <x v="8"/>
    <x v="0"/>
    <x v="0"/>
    <x v="3"/>
    <x v="3"/>
    <x v="0"/>
    <x v="1"/>
    <n v="4"/>
    <n v="84999"/>
    <n v="12"/>
    <n v="299196.48"/>
    <n v="4.5"/>
    <n v="20"/>
    <n v="61199.28"/>
    <s v="1 Year"/>
  </r>
  <r>
    <x v="233"/>
    <n v="4667355"/>
    <n v="64"/>
    <x v="1"/>
    <x v="8"/>
    <x v="0"/>
    <x v="1"/>
    <x v="2"/>
    <x v="4"/>
    <x v="2"/>
    <x v="1"/>
    <n v="2"/>
    <n v="69999"/>
    <n v="8"/>
    <n v="128798.16"/>
    <n v="4.8"/>
    <n v="20"/>
    <n v="25199.64"/>
    <s v="6 Months"/>
  </r>
  <r>
    <x v="234"/>
    <n v="85101"/>
    <n v="29"/>
    <x v="0"/>
    <x v="8"/>
    <x v="0"/>
    <x v="2"/>
    <x v="1"/>
    <x v="5"/>
    <x v="2"/>
    <x v="1"/>
    <n v="6"/>
    <n v="42999"/>
    <n v="15"/>
    <n v="219294.9"/>
    <n v="4.5999999999999996"/>
    <n v="20"/>
    <n v="46438.92"/>
    <s v="6 Months"/>
  </r>
  <r>
    <x v="235"/>
    <n v="4215381"/>
    <n v="41"/>
    <x v="0"/>
    <x v="8"/>
    <x v="0"/>
    <x v="0"/>
    <x v="0"/>
    <x v="0"/>
    <x v="0"/>
    <x v="2"/>
    <n v="3"/>
    <n v="99999"/>
    <n v="10"/>
    <n v="269997.3"/>
    <n v="4.7"/>
    <n v="20"/>
    <n v="53999.46"/>
    <s v="1 Year"/>
  </r>
  <r>
    <x v="236"/>
    <n v="8558087"/>
    <n v="40"/>
    <x v="0"/>
    <x v="8"/>
    <x v="0"/>
    <x v="2"/>
    <x v="1"/>
    <x v="1"/>
    <x v="1"/>
    <x v="2"/>
    <n v="35"/>
    <n v="4999"/>
    <n v="18"/>
    <n v="143471.29999999999"/>
    <n v="4.4000000000000004"/>
    <n v="20"/>
    <n v="31493.699999999997"/>
    <s v="1 Year"/>
  </r>
  <r>
    <x v="237"/>
    <n v="5827792"/>
    <n v="18"/>
    <x v="2"/>
    <x v="8"/>
    <x v="0"/>
    <x v="3"/>
    <x v="2"/>
    <x v="2"/>
    <x v="1"/>
    <x v="2"/>
    <n v="5"/>
    <n v="24900"/>
    <n v="5"/>
    <n v="118275"/>
    <n v="4.8"/>
    <n v="20"/>
    <n v="22410"/>
    <s v="1 Year"/>
  </r>
  <r>
    <x v="238"/>
    <n v="6723060"/>
    <n v="31"/>
    <x v="0"/>
    <x v="8"/>
    <x v="0"/>
    <x v="0"/>
    <x v="3"/>
    <x v="3"/>
    <x v="0"/>
    <x v="2"/>
    <n v="1"/>
    <n v="84999"/>
    <n v="12"/>
    <n v="74799.12"/>
    <n v="4.5"/>
    <n v="20"/>
    <n v="15299.82"/>
    <s v="1 Year"/>
  </r>
  <r>
    <x v="239"/>
    <n v="2944135"/>
    <n v="44"/>
    <x v="0"/>
    <x v="8"/>
    <x v="0"/>
    <x v="0"/>
    <x v="2"/>
    <x v="4"/>
    <x v="2"/>
    <x v="2"/>
    <n v="2"/>
    <n v="69999"/>
    <n v="8"/>
    <n v="128798.16"/>
    <n v="4.8"/>
    <n v="20"/>
    <n v="25199.64"/>
    <s v="6 Months"/>
  </r>
  <r>
    <x v="240"/>
    <n v="5156440"/>
    <n v="32"/>
    <x v="0"/>
    <x v="8"/>
    <x v="0"/>
    <x v="2"/>
    <x v="1"/>
    <x v="5"/>
    <x v="2"/>
    <x v="2"/>
    <n v="5"/>
    <n v="42999"/>
    <n v="15"/>
    <n v="182745.75"/>
    <n v="4.5999999999999996"/>
    <n v="20"/>
    <n v="38699.1"/>
    <s v="1 Year"/>
  </r>
  <r>
    <x v="241"/>
    <n v="228693"/>
    <n v="41"/>
    <x v="0"/>
    <x v="8"/>
    <x v="0"/>
    <x v="1"/>
    <x v="0"/>
    <x v="0"/>
    <x v="0"/>
    <x v="3"/>
    <n v="3"/>
    <n v="99999"/>
    <n v="10"/>
    <n v="269997.3"/>
    <n v="4.7"/>
    <n v="20"/>
    <n v="53999.46"/>
    <s v="6 Months"/>
  </r>
  <r>
    <x v="242"/>
    <n v="2147583"/>
    <n v="21"/>
    <x v="0"/>
    <x v="8"/>
    <x v="0"/>
    <x v="2"/>
    <x v="1"/>
    <x v="1"/>
    <x v="1"/>
    <x v="3"/>
    <n v="33"/>
    <n v="4999"/>
    <n v="18"/>
    <n v="135272.94"/>
    <n v="4.4000000000000004"/>
    <n v="20"/>
    <n v="29694.059999999998"/>
    <s v="6 Months"/>
  </r>
  <r>
    <x v="243"/>
    <n v="6048700"/>
    <n v="36"/>
    <x v="0"/>
    <x v="8"/>
    <x v="0"/>
    <x v="3"/>
    <x v="2"/>
    <x v="2"/>
    <x v="1"/>
    <x v="3"/>
    <n v="15"/>
    <n v="24900"/>
    <n v="5"/>
    <n v="354825"/>
    <n v="4.8"/>
    <n v="20"/>
    <n v="67230"/>
    <s v="6 Months"/>
  </r>
  <r>
    <x v="244"/>
    <n v="6722174"/>
    <n v="48"/>
    <x v="0"/>
    <x v="8"/>
    <x v="2"/>
    <x v="3"/>
    <x v="3"/>
    <x v="3"/>
    <x v="0"/>
    <x v="3"/>
    <n v="5"/>
    <n v="84999"/>
    <n v="12"/>
    <n v="373995.6"/>
    <n v="4.5"/>
    <n v="20"/>
    <n v="76499.099999999991"/>
    <s v="6 Months"/>
  </r>
  <r>
    <x v="245"/>
    <n v="9624470"/>
    <n v="48"/>
    <x v="0"/>
    <x v="8"/>
    <x v="2"/>
    <x v="1"/>
    <x v="2"/>
    <x v="4"/>
    <x v="2"/>
    <x v="3"/>
    <n v="4"/>
    <n v="69999"/>
    <n v="8"/>
    <n v="257596.32"/>
    <n v="4.8"/>
    <n v="20"/>
    <n v="50399.28"/>
    <s v="1 Year"/>
  </r>
  <r>
    <x v="246"/>
    <n v="8164407"/>
    <n v="21"/>
    <x v="0"/>
    <x v="8"/>
    <x v="0"/>
    <x v="0"/>
    <x v="1"/>
    <x v="5"/>
    <x v="2"/>
    <x v="3"/>
    <n v="10"/>
    <n v="42999"/>
    <n v="15"/>
    <n v="365491.5"/>
    <n v="4.5999999999999996"/>
    <n v="20"/>
    <n v="77398.2"/>
    <s v="6 Months"/>
  </r>
  <r>
    <x v="247"/>
    <n v="9640916"/>
    <n v="46"/>
    <x v="0"/>
    <x v="8"/>
    <x v="0"/>
    <x v="0"/>
    <x v="0"/>
    <x v="0"/>
    <x v="0"/>
    <x v="4"/>
    <n v="4"/>
    <n v="99999"/>
    <n v="10"/>
    <n v="359996.4"/>
    <n v="4.7"/>
    <n v="20"/>
    <n v="71999.28"/>
    <s v="1 Year"/>
  </r>
  <r>
    <x v="248"/>
    <n v="915050"/>
    <n v="40"/>
    <x v="0"/>
    <x v="8"/>
    <x v="3"/>
    <x v="3"/>
    <x v="1"/>
    <x v="1"/>
    <x v="1"/>
    <x v="4"/>
    <n v="40"/>
    <n v="4999"/>
    <n v="18"/>
    <n v="163967.20000000001"/>
    <n v="4.4000000000000004"/>
    <n v="20"/>
    <n v="35992.799999999996"/>
    <s v="1 Year"/>
  </r>
  <r>
    <x v="249"/>
    <n v="9285338"/>
    <n v="23"/>
    <x v="0"/>
    <x v="8"/>
    <x v="0"/>
    <x v="2"/>
    <x v="2"/>
    <x v="2"/>
    <x v="1"/>
    <x v="4"/>
    <n v="15"/>
    <n v="24900"/>
    <n v="5"/>
    <n v="354825"/>
    <n v="4.8"/>
    <n v="20"/>
    <n v="67230"/>
    <s v="1 Year"/>
  </r>
  <r>
    <x v="250"/>
    <n v="644445"/>
    <n v="43"/>
    <x v="0"/>
    <x v="8"/>
    <x v="0"/>
    <x v="2"/>
    <x v="3"/>
    <x v="3"/>
    <x v="0"/>
    <x v="4"/>
    <n v="2"/>
    <n v="84999"/>
    <n v="12"/>
    <n v="149598.24"/>
    <n v="4.5"/>
    <n v="20"/>
    <n v="30599.64"/>
    <s v="1 Year"/>
  </r>
  <r>
    <x v="251"/>
    <n v="4997330"/>
    <n v="23"/>
    <x v="0"/>
    <x v="8"/>
    <x v="0"/>
    <x v="4"/>
    <x v="2"/>
    <x v="4"/>
    <x v="2"/>
    <x v="4"/>
    <n v="4"/>
    <n v="69999"/>
    <n v="8"/>
    <n v="257596.32"/>
    <n v="4.8"/>
    <n v="20"/>
    <n v="50399.28"/>
    <s v="1 Year"/>
  </r>
  <r>
    <x v="252"/>
    <n v="3048145"/>
    <n v="72"/>
    <x v="1"/>
    <x v="8"/>
    <x v="0"/>
    <x v="2"/>
    <x v="1"/>
    <x v="5"/>
    <x v="2"/>
    <x v="4"/>
    <n v="9"/>
    <n v="42999"/>
    <n v="15"/>
    <n v="328942.34999999998"/>
    <n v="4.5999999999999996"/>
    <n v="20"/>
    <n v="69658.38"/>
    <s v="6 Months"/>
  </r>
  <r>
    <x v="253"/>
    <n v="7168499"/>
    <n v="35"/>
    <x v="0"/>
    <x v="9"/>
    <x v="0"/>
    <x v="0"/>
    <x v="0"/>
    <x v="0"/>
    <x v="0"/>
    <x v="0"/>
    <n v="6"/>
    <n v="99999"/>
    <n v="10"/>
    <n v="539994.6"/>
    <n v="4.7"/>
    <n v="20"/>
    <n v="107998.92"/>
    <s v="1 Year"/>
  </r>
  <r>
    <x v="254"/>
    <n v="3180908"/>
    <n v="28"/>
    <x v="0"/>
    <x v="9"/>
    <x v="0"/>
    <x v="2"/>
    <x v="1"/>
    <x v="1"/>
    <x v="1"/>
    <x v="0"/>
    <n v="60"/>
    <n v="4999"/>
    <n v="18"/>
    <n v="245950.8"/>
    <n v="4.4000000000000004"/>
    <n v="20"/>
    <n v="53989.2"/>
    <s v="6 Months"/>
  </r>
  <r>
    <x v="255"/>
    <n v="2286700"/>
    <n v="65"/>
    <x v="1"/>
    <x v="9"/>
    <x v="0"/>
    <x v="5"/>
    <x v="2"/>
    <x v="2"/>
    <x v="1"/>
    <x v="0"/>
    <n v="12"/>
    <n v="24900"/>
    <n v="5"/>
    <n v="283860"/>
    <n v="4.8"/>
    <n v="20"/>
    <n v="53784"/>
    <s v="1 Year"/>
  </r>
  <r>
    <x v="256"/>
    <n v="3305763"/>
    <n v="36"/>
    <x v="0"/>
    <x v="9"/>
    <x v="0"/>
    <x v="0"/>
    <x v="3"/>
    <x v="3"/>
    <x v="0"/>
    <x v="0"/>
    <n v="4"/>
    <n v="84999"/>
    <n v="12"/>
    <n v="299196.48"/>
    <n v="4.5"/>
    <n v="20"/>
    <n v="61199.28"/>
    <s v="6 Months"/>
  </r>
  <r>
    <x v="257"/>
    <n v="5676727"/>
    <n v="70"/>
    <x v="1"/>
    <x v="9"/>
    <x v="0"/>
    <x v="4"/>
    <x v="2"/>
    <x v="4"/>
    <x v="2"/>
    <x v="0"/>
    <n v="2"/>
    <n v="69999"/>
    <n v="8"/>
    <n v="128798.16"/>
    <n v="4.8"/>
    <n v="20"/>
    <n v="25199.64"/>
    <s v="1 Year"/>
  </r>
  <r>
    <x v="258"/>
    <n v="8302065"/>
    <n v="41"/>
    <x v="0"/>
    <x v="9"/>
    <x v="0"/>
    <x v="2"/>
    <x v="1"/>
    <x v="5"/>
    <x v="2"/>
    <x v="0"/>
    <n v="7"/>
    <n v="42999"/>
    <n v="15"/>
    <n v="255844.05"/>
    <n v="4.5999999999999996"/>
    <n v="20"/>
    <n v="54178.74"/>
    <s v="1 Year"/>
  </r>
  <r>
    <x v="259"/>
    <n v="7098912"/>
    <n v="23"/>
    <x v="0"/>
    <x v="9"/>
    <x v="0"/>
    <x v="1"/>
    <x v="0"/>
    <x v="0"/>
    <x v="0"/>
    <x v="1"/>
    <n v="6"/>
    <n v="99999"/>
    <n v="10"/>
    <n v="539994.6"/>
    <n v="4.7"/>
    <n v="20"/>
    <n v="107998.92"/>
    <s v="1 Year"/>
  </r>
  <r>
    <x v="260"/>
    <n v="3848348"/>
    <n v="23"/>
    <x v="0"/>
    <x v="9"/>
    <x v="0"/>
    <x v="2"/>
    <x v="1"/>
    <x v="1"/>
    <x v="1"/>
    <x v="1"/>
    <n v="55"/>
    <n v="4999"/>
    <n v="18"/>
    <n v="225454.9"/>
    <n v="4.4000000000000004"/>
    <n v="20"/>
    <n v="49490.1"/>
    <s v="1 Year"/>
  </r>
  <r>
    <x v="261"/>
    <n v="9613429"/>
    <n v="48"/>
    <x v="0"/>
    <x v="9"/>
    <x v="0"/>
    <x v="1"/>
    <x v="2"/>
    <x v="2"/>
    <x v="1"/>
    <x v="1"/>
    <n v="9"/>
    <n v="24900"/>
    <n v="5"/>
    <n v="212895"/>
    <n v="4.8"/>
    <n v="20"/>
    <n v="40338"/>
    <s v="1 Year"/>
  </r>
  <r>
    <x v="261"/>
    <n v="9613429"/>
    <n v="22"/>
    <x v="0"/>
    <x v="9"/>
    <x v="0"/>
    <x v="2"/>
    <x v="3"/>
    <x v="3"/>
    <x v="0"/>
    <x v="1"/>
    <n v="6"/>
    <n v="84999"/>
    <n v="12"/>
    <n v="448794.72"/>
    <n v="4.5"/>
    <n v="20"/>
    <n v="91798.92"/>
    <s v="6 Months"/>
  </r>
  <r>
    <x v="262"/>
    <n v="2921633"/>
    <n v="22"/>
    <x v="0"/>
    <x v="9"/>
    <x v="0"/>
    <x v="3"/>
    <x v="2"/>
    <x v="4"/>
    <x v="2"/>
    <x v="1"/>
    <n v="5"/>
    <n v="69999"/>
    <n v="8"/>
    <n v="321995.40000000002"/>
    <n v="4.8"/>
    <n v="20"/>
    <n v="62999.1"/>
    <s v="1 Year"/>
  </r>
  <r>
    <x v="263"/>
    <n v="1713822"/>
    <n v="36"/>
    <x v="0"/>
    <x v="9"/>
    <x v="0"/>
    <x v="0"/>
    <x v="1"/>
    <x v="5"/>
    <x v="2"/>
    <x v="1"/>
    <n v="7"/>
    <n v="42999"/>
    <n v="15"/>
    <n v="255844.05"/>
    <n v="4.5999999999999996"/>
    <n v="20"/>
    <n v="54178.74"/>
    <s v="6 Months"/>
  </r>
  <r>
    <x v="264"/>
    <n v="9822747"/>
    <n v="50"/>
    <x v="1"/>
    <x v="9"/>
    <x v="3"/>
    <x v="2"/>
    <x v="0"/>
    <x v="0"/>
    <x v="0"/>
    <x v="2"/>
    <n v="1"/>
    <n v="99999"/>
    <n v="10"/>
    <n v="89999.1"/>
    <n v="4.7"/>
    <n v="20"/>
    <n v="17999.82"/>
    <s v="6 Months"/>
  </r>
  <r>
    <x v="265"/>
    <n v="6548679"/>
    <n v="40"/>
    <x v="0"/>
    <x v="9"/>
    <x v="0"/>
    <x v="3"/>
    <x v="1"/>
    <x v="1"/>
    <x v="1"/>
    <x v="2"/>
    <n v="25"/>
    <n v="4999"/>
    <n v="18"/>
    <n v="102479.5"/>
    <n v="4.4000000000000004"/>
    <n v="20"/>
    <n v="22495.5"/>
    <s v="6 Months"/>
  </r>
  <r>
    <x v="266"/>
    <n v="2406097"/>
    <n v="22"/>
    <x v="0"/>
    <x v="9"/>
    <x v="0"/>
    <x v="0"/>
    <x v="2"/>
    <x v="2"/>
    <x v="1"/>
    <x v="2"/>
    <n v="5"/>
    <n v="24900"/>
    <n v="5"/>
    <n v="118275"/>
    <n v="4.8"/>
    <n v="20"/>
    <n v="22410"/>
    <s v="1 Year"/>
  </r>
  <r>
    <x v="266"/>
    <n v="2406097"/>
    <n v="48"/>
    <x v="0"/>
    <x v="9"/>
    <x v="0"/>
    <x v="3"/>
    <x v="3"/>
    <x v="3"/>
    <x v="0"/>
    <x v="2"/>
    <n v="2"/>
    <n v="84999"/>
    <n v="12"/>
    <n v="149598.24"/>
    <n v="4.5"/>
    <n v="20"/>
    <n v="30599.64"/>
    <s v="1 Year"/>
  </r>
  <r>
    <x v="267"/>
    <n v="9919199"/>
    <n v="48"/>
    <x v="0"/>
    <x v="9"/>
    <x v="0"/>
    <x v="2"/>
    <x v="2"/>
    <x v="4"/>
    <x v="2"/>
    <x v="2"/>
    <n v="1"/>
    <n v="69999"/>
    <n v="8"/>
    <n v="64399.08"/>
    <n v="4.8"/>
    <n v="20"/>
    <n v="12599.82"/>
    <s v="1 Year"/>
  </r>
  <r>
    <x v="268"/>
    <n v="8024399"/>
    <n v="39"/>
    <x v="0"/>
    <x v="9"/>
    <x v="0"/>
    <x v="0"/>
    <x v="1"/>
    <x v="5"/>
    <x v="2"/>
    <x v="2"/>
    <n v="6"/>
    <n v="42999"/>
    <n v="15"/>
    <n v="219294.9"/>
    <n v="4.5999999999999996"/>
    <n v="20"/>
    <n v="46438.92"/>
    <s v="1 Year"/>
  </r>
  <r>
    <x v="269"/>
    <n v="7721497"/>
    <n v="44"/>
    <x v="0"/>
    <x v="9"/>
    <x v="0"/>
    <x v="2"/>
    <x v="0"/>
    <x v="0"/>
    <x v="0"/>
    <x v="3"/>
    <n v="5"/>
    <n v="99999"/>
    <n v="10"/>
    <n v="449995.5"/>
    <n v="4.7"/>
    <n v="20"/>
    <n v="89999.099999999991"/>
    <s v="6 Months"/>
  </r>
  <r>
    <x v="270"/>
    <n v="5590210"/>
    <n v="66"/>
    <x v="1"/>
    <x v="9"/>
    <x v="1"/>
    <x v="3"/>
    <x v="1"/>
    <x v="1"/>
    <x v="1"/>
    <x v="3"/>
    <n v="38"/>
    <n v="4999"/>
    <n v="18"/>
    <n v="155768.84"/>
    <n v="4.4000000000000004"/>
    <n v="20"/>
    <n v="34193.159999999996"/>
    <s v="1 Year"/>
  </r>
  <r>
    <x v="271"/>
    <n v="5326871"/>
    <n v="27"/>
    <x v="0"/>
    <x v="9"/>
    <x v="0"/>
    <x v="1"/>
    <x v="2"/>
    <x v="2"/>
    <x v="1"/>
    <x v="3"/>
    <n v="9"/>
    <n v="24900"/>
    <n v="5"/>
    <n v="212895"/>
    <n v="4.8"/>
    <n v="20"/>
    <n v="40338"/>
    <s v="1 Year"/>
  </r>
  <r>
    <x v="272"/>
    <n v="490720"/>
    <n v="23"/>
    <x v="0"/>
    <x v="9"/>
    <x v="0"/>
    <x v="1"/>
    <x v="3"/>
    <x v="3"/>
    <x v="0"/>
    <x v="3"/>
    <n v="4"/>
    <n v="84999"/>
    <n v="12"/>
    <n v="299196.48"/>
    <n v="4.5"/>
    <n v="20"/>
    <n v="61199.28"/>
    <s v="1 Year"/>
  </r>
  <r>
    <x v="273"/>
    <n v="391103"/>
    <n v="45"/>
    <x v="0"/>
    <x v="9"/>
    <x v="0"/>
    <x v="3"/>
    <x v="2"/>
    <x v="4"/>
    <x v="2"/>
    <x v="3"/>
    <n v="5"/>
    <n v="69999"/>
    <n v="8"/>
    <n v="321995.40000000002"/>
    <n v="4.8"/>
    <n v="20"/>
    <n v="62999.1"/>
    <s v="1 Year"/>
  </r>
  <r>
    <x v="274"/>
    <n v="8905689"/>
    <n v="38"/>
    <x v="0"/>
    <x v="9"/>
    <x v="0"/>
    <x v="2"/>
    <x v="1"/>
    <x v="5"/>
    <x v="2"/>
    <x v="3"/>
    <n v="6"/>
    <n v="42999"/>
    <n v="15"/>
    <n v="219294.9"/>
    <n v="4.5999999999999996"/>
    <n v="20"/>
    <n v="46438.92"/>
    <s v="1 Year"/>
  </r>
  <r>
    <x v="275"/>
    <n v="4720373"/>
    <n v="31"/>
    <x v="0"/>
    <x v="9"/>
    <x v="0"/>
    <x v="2"/>
    <x v="0"/>
    <x v="0"/>
    <x v="0"/>
    <x v="4"/>
    <n v="4"/>
    <n v="99999"/>
    <n v="10"/>
    <n v="359996.4"/>
    <n v="4.7"/>
    <n v="20"/>
    <n v="71999.28"/>
    <s v="1 Year"/>
  </r>
  <r>
    <x v="276"/>
    <n v="767351"/>
    <n v="35"/>
    <x v="0"/>
    <x v="9"/>
    <x v="0"/>
    <x v="0"/>
    <x v="1"/>
    <x v="1"/>
    <x v="1"/>
    <x v="4"/>
    <n v="48"/>
    <n v="4999"/>
    <n v="18"/>
    <n v="196760.64"/>
    <n v="4.4000000000000004"/>
    <n v="20"/>
    <n v="43191.360000000001"/>
    <s v="1 Year"/>
  </r>
  <r>
    <x v="277"/>
    <n v="8967945"/>
    <n v="38"/>
    <x v="0"/>
    <x v="9"/>
    <x v="0"/>
    <x v="3"/>
    <x v="2"/>
    <x v="2"/>
    <x v="1"/>
    <x v="4"/>
    <n v="8"/>
    <n v="24900"/>
    <n v="5"/>
    <n v="189240"/>
    <n v="4.8"/>
    <n v="20"/>
    <n v="35856"/>
    <s v="1 Year"/>
  </r>
  <r>
    <x v="278"/>
    <n v="5675757"/>
    <n v="19"/>
    <x v="2"/>
    <x v="9"/>
    <x v="0"/>
    <x v="3"/>
    <x v="3"/>
    <x v="3"/>
    <x v="0"/>
    <x v="4"/>
    <n v="3"/>
    <n v="84999"/>
    <n v="12"/>
    <n v="224397.36"/>
    <n v="4.5"/>
    <n v="20"/>
    <n v="45899.46"/>
    <s v="6 Months"/>
  </r>
  <r>
    <x v="279"/>
    <n v="8218066"/>
    <n v="30"/>
    <x v="0"/>
    <x v="9"/>
    <x v="0"/>
    <x v="1"/>
    <x v="2"/>
    <x v="4"/>
    <x v="2"/>
    <x v="4"/>
    <n v="4"/>
    <n v="69999"/>
    <n v="8"/>
    <n v="257596.32"/>
    <n v="4.8"/>
    <n v="20"/>
    <n v="50399.28"/>
    <s v="6 Months"/>
  </r>
  <r>
    <x v="280"/>
    <n v="529992"/>
    <n v="39"/>
    <x v="0"/>
    <x v="9"/>
    <x v="0"/>
    <x v="3"/>
    <x v="1"/>
    <x v="5"/>
    <x v="2"/>
    <x v="4"/>
    <n v="5"/>
    <n v="42999"/>
    <n v="15"/>
    <n v="182745.75"/>
    <n v="4.5999999999999996"/>
    <n v="20"/>
    <n v="38699.1"/>
    <s v="1 Year"/>
  </r>
  <r>
    <x v="281"/>
    <n v="6630432"/>
    <n v="66"/>
    <x v="1"/>
    <x v="10"/>
    <x v="0"/>
    <x v="1"/>
    <x v="0"/>
    <x v="0"/>
    <x v="0"/>
    <x v="0"/>
    <n v="3"/>
    <n v="99999"/>
    <n v="10"/>
    <n v="269997.3"/>
    <n v="4.7"/>
    <n v="20"/>
    <n v="53999.46"/>
    <s v="6 Months"/>
  </r>
  <r>
    <x v="282"/>
    <n v="2194113"/>
    <n v="42"/>
    <x v="0"/>
    <x v="10"/>
    <x v="0"/>
    <x v="2"/>
    <x v="1"/>
    <x v="1"/>
    <x v="1"/>
    <x v="0"/>
    <n v="47"/>
    <n v="4999"/>
    <n v="18"/>
    <n v="192661.46"/>
    <n v="4.4000000000000004"/>
    <n v="20"/>
    <n v="42291.54"/>
    <s v="1 Year"/>
  </r>
  <r>
    <x v="283"/>
    <n v="7856161"/>
    <n v="57"/>
    <x v="1"/>
    <x v="10"/>
    <x v="0"/>
    <x v="2"/>
    <x v="2"/>
    <x v="2"/>
    <x v="1"/>
    <x v="0"/>
    <n v="15"/>
    <n v="24900"/>
    <n v="5"/>
    <n v="354825"/>
    <n v="4.8"/>
    <n v="20"/>
    <n v="67230"/>
    <s v="1 Year"/>
  </r>
  <r>
    <x v="284"/>
    <n v="781206"/>
    <n v="26"/>
    <x v="0"/>
    <x v="10"/>
    <x v="0"/>
    <x v="4"/>
    <x v="3"/>
    <x v="3"/>
    <x v="0"/>
    <x v="0"/>
    <n v="3"/>
    <n v="84999"/>
    <n v="12"/>
    <n v="224397.36"/>
    <n v="4.5"/>
    <n v="20"/>
    <n v="45899.46"/>
    <s v="6 Months"/>
  </r>
  <r>
    <x v="285"/>
    <n v="7780555"/>
    <n v="36"/>
    <x v="0"/>
    <x v="10"/>
    <x v="1"/>
    <x v="2"/>
    <x v="2"/>
    <x v="4"/>
    <x v="2"/>
    <x v="0"/>
    <n v="5"/>
    <n v="69999"/>
    <n v="8"/>
    <n v="321995.40000000002"/>
    <n v="4.8"/>
    <n v="20"/>
    <n v="62999.1"/>
    <s v="1 Year"/>
  </r>
  <r>
    <x v="286"/>
    <n v="6047509"/>
    <n v="27"/>
    <x v="0"/>
    <x v="10"/>
    <x v="0"/>
    <x v="3"/>
    <x v="1"/>
    <x v="5"/>
    <x v="2"/>
    <x v="0"/>
    <n v="6"/>
    <n v="42999"/>
    <n v="15"/>
    <n v="219294.9"/>
    <n v="4.5999999999999996"/>
    <n v="20"/>
    <n v="46438.92"/>
    <s v="6 Months"/>
  </r>
  <r>
    <x v="287"/>
    <n v="6615959"/>
    <n v="18"/>
    <x v="2"/>
    <x v="10"/>
    <x v="0"/>
    <x v="3"/>
    <x v="0"/>
    <x v="0"/>
    <x v="0"/>
    <x v="1"/>
    <n v="4"/>
    <n v="99999"/>
    <n v="10"/>
    <n v="359996.4"/>
    <n v="4.7"/>
    <n v="20"/>
    <n v="71999.28"/>
    <s v="6 Months"/>
  </r>
  <r>
    <x v="287"/>
    <n v="6615959"/>
    <n v="24"/>
    <x v="0"/>
    <x v="10"/>
    <x v="0"/>
    <x v="3"/>
    <x v="1"/>
    <x v="1"/>
    <x v="1"/>
    <x v="1"/>
    <n v="66"/>
    <n v="4999"/>
    <n v="18"/>
    <n v="270545.88"/>
    <n v="4.4000000000000004"/>
    <n v="20"/>
    <n v="59388.119999999995"/>
    <s v="1 Year"/>
  </r>
  <r>
    <x v="288"/>
    <n v="4084518"/>
    <n v="31"/>
    <x v="0"/>
    <x v="10"/>
    <x v="0"/>
    <x v="2"/>
    <x v="2"/>
    <x v="2"/>
    <x v="1"/>
    <x v="1"/>
    <n v="10"/>
    <n v="24900"/>
    <n v="5"/>
    <n v="236550"/>
    <n v="4.8"/>
    <n v="20"/>
    <n v="44820"/>
    <s v="1 Year"/>
  </r>
  <r>
    <x v="289"/>
    <n v="2902438"/>
    <n v="33"/>
    <x v="0"/>
    <x v="10"/>
    <x v="0"/>
    <x v="2"/>
    <x v="3"/>
    <x v="3"/>
    <x v="0"/>
    <x v="1"/>
    <n v="2"/>
    <n v="84999"/>
    <n v="12"/>
    <n v="149598.24"/>
    <n v="4.5"/>
    <n v="20"/>
    <n v="30599.64"/>
    <s v="6 Months"/>
  </r>
  <r>
    <x v="290"/>
    <n v="6082959"/>
    <n v="40"/>
    <x v="0"/>
    <x v="10"/>
    <x v="0"/>
    <x v="0"/>
    <x v="2"/>
    <x v="4"/>
    <x v="2"/>
    <x v="1"/>
    <n v="6"/>
    <n v="69999"/>
    <n v="8"/>
    <n v="386394.48"/>
    <n v="4.8"/>
    <n v="20"/>
    <n v="75598.92"/>
    <s v="6 Months"/>
  </r>
  <r>
    <x v="291"/>
    <n v="608880"/>
    <n v="48"/>
    <x v="0"/>
    <x v="10"/>
    <x v="0"/>
    <x v="0"/>
    <x v="1"/>
    <x v="5"/>
    <x v="2"/>
    <x v="1"/>
    <n v="8"/>
    <n v="42999"/>
    <n v="15"/>
    <n v="292393.2"/>
    <n v="4.5999999999999996"/>
    <n v="20"/>
    <n v="61918.559999999998"/>
    <s v="1 Year"/>
  </r>
  <r>
    <x v="292"/>
    <n v="5815426"/>
    <n v="28"/>
    <x v="0"/>
    <x v="10"/>
    <x v="0"/>
    <x v="0"/>
    <x v="0"/>
    <x v="0"/>
    <x v="0"/>
    <x v="2"/>
    <n v="4"/>
    <n v="99999"/>
    <n v="10"/>
    <n v="359996.4"/>
    <n v="4.7"/>
    <n v="20"/>
    <n v="71999.28"/>
    <s v="1 Year"/>
  </r>
  <r>
    <x v="293"/>
    <n v="4983896"/>
    <n v="41"/>
    <x v="0"/>
    <x v="10"/>
    <x v="0"/>
    <x v="1"/>
    <x v="1"/>
    <x v="1"/>
    <x v="1"/>
    <x v="2"/>
    <n v="25"/>
    <n v="4999"/>
    <n v="18"/>
    <n v="102479.5"/>
    <n v="4.4000000000000004"/>
    <n v="20"/>
    <n v="22495.5"/>
    <s v="1 Year"/>
  </r>
  <r>
    <x v="294"/>
    <n v="249073"/>
    <n v="35"/>
    <x v="0"/>
    <x v="10"/>
    <x v="0"/>
    <x v="2"/>
    <x v="2"/>
    <x v="2"/>
    <x v="1"/>
    <x v="2"/>
    <n v="4"/>
    <n v="24900"/>
    <n v="5"/>
    <n v="94620"/>
    <n v="4.8"/>
    <n v="20"/>
    <n v="17928"/>
    <s v="1 Year"/>
  </r>
  <r>
    <x v="295"/>
    <n v="296282"/>
    <n v="27"/>
    <x v="0"/>
    <x v="10"/>
    <x v="0"/>
    <x v="3"/>
    <x v="3"/>
    <x v="3"/>
    <x v="0"/>
    <x v="2"/>
    <n v="4"/>
    <n v="84999"/>
    <n v="12"/>
    <n v="299196.48"/>
    <n v="4.5"/>
    <n v="20"/>
    <n v="61199.28"/>
    <s v="6 Months"/>
  </r>
  <r>
    <x v="296"/>
    <n v="1853947"/>
    <n v="74"/>
    <x v="1"/>
    <x v="10"/>
    <x v="0"/>
    <x v="0"/>
    <x v="2"/>
    <x v="4"/>
    <x v="2"/>
    <x v="2"/>
    <n v="1"/>
    <n v="69999"/>
    <n v="8"/>
    <n v="64399.08"/>
    <n v="4.8"/>
    <n v="20"/>
    <n v="12599.82"/>
    <s v="1 Year"/>
  </r>
  <r>
    <x v="297"/>
    <n v="4651921"/>
    <n v="65"/>
    <x v="1"/>
    <x v="10"/>
    <x v="0"/>
    <x v="3"/>
    <x v="1"/>
    <x v="5"/>
    <x v="2"/>
    <x v="2"/>
    <n v="5"/>
    <n v="42999"/>
    <n v="15"/>
    <n v="182745.75"/>
    <n v="4.5999999999999996"/>
    <n v="20"/>
    <n v="38699.1"/>
    <s v="6 Months"/>
  </r>
  <r>
    <x v="298"/>
    <n v="6987211"/>
    <n v="53"/>
    <x v="1"/>
    <x v="10"/>
    <x v="0"/>
    <x v="3"/>
    <x v="0"/>
    <x v="0"/>
    <x v="0"/>
    <x v="3"/>
    <n v="5"/>
    <n v="99999"/>
    <n v="10"/>
    <n v="449995.5"/>
    <n v="4.7"/>
    <n v="20"/>
    <n v="89999.099999999991"/>
    <s v="6 Months"/>
  </r>
  <r>
    <x v="299"/>
    <n v="4835989"/>
    <n v="48"/>
    <x v="0"/>
    <x v="10"/>
    <x v="0"/>
    <x v="1"/>
    <x v="1"/>
    <x v="1"/>
    <x v="1"/>
    <x v="3"/>
    <n v="41"/>
    <n v="4999"/>
    <n v="18"/>
    <n v="168066.38"/>
    <n v="4.4000000000000004"/>
    <n v="20"/>
    <n v="36892.619999999995"/>
    <s v="1 Year"/>
  </r>
  <r>
    <x v="299"/>
    <n v="4835989"/>
    <n v="24"/>
    <x v="0"/>
    <x v="10"/>
    <x v="0"/>
    <x v="3"/>
    <x v="2"/>
    <x v="2"/>
    <x v="1"/>
    <x v="3"/>
    <n v="9"/>
    <n v="24900"/>
    <n v="5"/>
    <n v="212895"/>
    <n v="4.8"/>
    <n v="20"/>
    <n v="40338"/>
    <s v="6 Months"/>
  </r>
  <r>
    <x v="300"/>
    <n v="9124078"/>
    <n v="64"/>
    <x v="1"/>
    <x v="10"/>
    <x v="3"/>
    <x v="2"/>
    <x v="3"/>
    <x v="3"/>
    <x v="0"/>
    <x v="3"/>
    <n v="4"/>
    <n v="84999"/>
    <n v="12"/>
    <n v="299196.48"/>
    <n v="4.5"/>
    <n v="20"/>
    <n v="61199.28"/>
    <s v="1 Year"/>
  </r>
  <r>
    <x v="301"/>
    <n v="1781950"/>
    <n v="30"/>
    <x v="0"/>
    <x v="10"/>
    <x v="0"/>
    <x v="3"/>
    <x v="2"/>
    <x v="4"/>
    <x v="2"/>
    <x v="3"/>
    <n v="6"/>
    <n v="69999"/>
    <n v="8"/>
    <n v="386394.48"/>
    <n v="4.8"/>
    <n v="20"/>
    <n v="75598.92"/>
    <s v="1 Year"/>
  </r>
  <r>
    <x v="302"/>
    <n v="3695347"/>
    <n v="22"/>
    <x v="0"/>
    <x v="10"/>
    <x v="0"/>
    <x v="2"/>
    <x v="1"/>
    <x v="5"/>
    <x v="2"/>
    <x v="3"/>
    <n v="11"/>
    <n v="42999"/>
    <n v="15"/>
    <n v="402040.65"/>
    <n v="4.5999999999999996"/>
    <n v="20"/>
    <n v="85138.02"/>
    <s v="1 Year"/>
  </r>
  <r>
    <x v="303"/>
    <n v="2332327"/>
    <n v="23"/>
    <x v="0"/>
    <x v="10"/>
    <x v="0"/>
    <x v="2"/>
    <x v="0"/>
    <x v="0"/>
    <x v="0"/>
    <x v="4"/>
    <n v="4"/>
    <n v="99999"/>
    <n v="10"/>
    <n v="359996.4"/>
    <n v="4.7"/>
    <n v="20"/>
    <n v="71999.28"/>
    <s v="1 Year"/>
  </r>
  <r>
    <x v="304"/>
    <n v="6393323"/>
    <n v="35"/>
    <x v="0"/>
    <x v="10"/>
    <x v="0"/>
    <x v="2"/>
    <x v="1"/>
    <x v="1"/>
    <x v="1"/>
    <x v="4"/>
    <n v="56"/>
    <n v="4999"/>
    <n v="18"/>
    <n v="229554.08000000002"/>
    <n v="4.4000000000000004"/>
    <n v="20"/>
    <n v="50389.919999999998"/>
    <s v="1 Year"/>
  </r>
  <r>
    <x v="305"/>
    <n v="1741029"/>
    <n v="20"/>
    <x v="0"/>
    <x v="10"/>
    <x v="0"/>
    <x v="2"/>
    <x v="2"/>
    <x v="2"/>
    <x v="1"/>
    <x v="4"/>
    <n v="10"/>
    <n v="24900"/>
    <n v="5"/>
    <n v="236550"/>
    <n v="4.8"/>
    <n v="20"/>
    <n v="44820"/>
    <s v="1 Year"/>
  </r>
  <r>
    <x v="306"/>
    <n v="9462001"/>
    <n v="43"/>
    <x v="0"/>
    <x v="10"/>
    <x v="0"/>
    <x v="1"/>
    <x v="3"/>
    <x v="3"/>
    <x v="0"/>
    <x v="4"/>
    <n v="6"/>
    <n v="84999"/>
    <n v="12"/>
    <n v="448794.72"/>
    <n v="4.5"/>
    <n v="20"/>
    <n v="91798.92"/>
    <s v="1 Year"/>
  </r>
  <r>
    <x v="307"/>
    <n v="6561746"/>
    <n v="49"/>
    <x v="0"/>
    <x v="10"/>
    <x v="0"/>
    <x v="5"/>
    <x v="2"/>
    <x v="4"/>
    <x v="2"/>
    <x v="4"/>
    <n v="5"/>
    <n v="69999"/>
    <n v="8"/>
    <n v="321995.40000000002"/>
    <n v="4.8"/>
    <n v="20"/>
    <n v="62999.1"/>
    <s v="1 Year"/>
  </r>
  <r>
    <x v="308"/>
    <n v="8231592"/>
    <n v="47"/>
    <x v="0"/>
    <x v="10"/>
    <x v="0"/>
    <x v="2"/>
    <x v="1"/>
    <x v="5"/>
    <x v="2"/>
    <x v="4"/>
    <n v="8"/>
    <n v="42999"/>
    <n v="15"/>
    <n v="292393.2"/>
    <n v="4.5999999999999996"/>
    <n v="20"/>
    <n v="61918.559999999998"/>
    <s v="1 Year"/>
  </r>
  <r>
    <x v="309"/>
    <n v="1813868"/>
    <n v="41"/>
    <x v="0"/>
    <x v="11"/>
    <x v="0"/>
    <x v="2"/>
    <x v="0"/>
    <x v="0"/>
    <x v="0"/>
    <x v="0"/>
    <n v="6"/>
    <n v="99999"/>
    <n v="10"/>
    <n v="539994.6"/>
    <n v="4.7"/>
    <n v="20"/>
    <n v="107998.92"/>
    <s v="1 Year"/>
  </r>
  <r>
    <x v="310"/>
    <n v="5627675"/>
    <n v="40"/>
    <x v="0"/>
    <x v="11"/>
    <x v="3"/>
    <x v="1"/>
    <x v="1"/>
    <x v="1"/>
    <x v="1"/>
    <x v="0"/>
    <n v="59"/>
    <n v="4999"/>
    <n v="18"/>
    <n v="241851.62"/>
    <n v="4.4000000000000004"/>
    <n v="20"/>
    <n v="53089.38"/>
    <s v="1 Year"/>
  </r>
  <r>
    <x v="311"/>
    <n v="2239856"/>
    <n v="42"/>
    <x v="0"/>
    <x v="11"/>
    <x v="2"/>
    <x v="2"/>
    <x v="2"/>
    <x v="2"/>
    <x v="1"/>
    <x v="0"/>
    <n v="12"/>
    <n v="24900"/>
    <n v="5"/>
    <n v="283860"/>
    <n v="4.8"/>
    <n v="20"/>
    <n v="53784"/>
    <s v="6 Months"/>
  </r>
  <r>
    <x v="312"/>
    <n v="7546685"/>
    <n v="42"/>
    <x v="0"/>
    <x v="11"/>
    <x v="0"/>
    <x v="0"/>
    <x v="3"/>
    <x v="3"/>
    <x v="0"/>
    <x v="0"/>
    <n v="5"/>
    <n v="84999"/>
    <n v="12"/>
    <n v="373995.6"/>
    <n v="4.5"/>
    <n v="20"/>
    <n v="76499.099999999991"/>
    <s v="1 Year"/>
  </r>
  <r>
    <x v="313"/>
    <n v="3017458"/>
    <n v="28"/>
    <x v="0"/>
    <x v="11"/>
    <x v="0"/>
    <x v="2"/>
    <x v="2"/>
    <x v="4"/>
    <x v="2"/>
    <x v="0"/>
    <n v="3"/>
    <n v="69999"/>
    <n v="8"/>
    <n v="193197.24"/>
    <n v="4.8"/>
    <n v="20"/>
    <n v="37799.46"/>
    <s v="6 Months"/>
  </r>
  <r>
    <x v="314"/>
    <n v="5708054"/>
    <n v="38"/>
    <x v="0"/>
    <x v="11"/>
    <x v="0"/>
    <x v="2"/>
    <x v="1"/>
    <x v="5"/>
    <x v="2"/>
    <x v="0"/>
    <n v="7"/>
    <n v="42999"/>
    <n v="15"/>
    <n v="255844.05"/>
    <n v="4.5999999999999996"/>
    <n v="20"/>
    <n v="54178.74"/>
    <s v="1 Year"/>
  </r>
  <r>
    <x v="315"/>
    <n v="9342662"/>
    <n v="39"/>
    <x v="0"/>
    <x v="11"/>
    <x v="0"/>
    <x v="4"/>
    <x v="0"/>
    <x v="0"/>
    <x v="0"/>
    <x v="1"/>
    <n v="3"/>
    <n v="99999"/>
    <n v="10"/>
    <n v="269997.3"/>
    <n v="4.7"/>
    <n v="20"/>
    <n v="53999.46"/>
    <s v="1 Year"/>
  </r>
  <r>
    <x v="316"/>
    <n v="9584565"/>
    <n v="67"/>
    <x v="1"/>
    <x v="11"/>
    <x v="0"/>
    <x v="3"/>
    <x v="1"/>
    <x v="1"/>
    <x v="1"/>
    <x v="1"/>
    <n v="35"/>
    <n v="4999"/>
    <n v="18"/>
    <n v="143471.29999999999"/>
    <n v="4.4000000000000004"/>
    <n v="20"/>
    <n v="31493.699999999997"/>
    <s v="6 Months"/>
  </r>
  <r>
    <x v="317"/>
    <n v="229964"/>
    <n v="65"/>
    <x v="1"/>
    <x v="11"/>
    <x v="0"/>
    <x v="0"/>
    <x v="2"/>
    <x v="2"/>
    <x v="1"/>
    <x v="1"/>
    <n v="12"/>
    <n v="24900"/>
    <n v="5"/>
    <n v="283860"/>
    <n v="4.8"/>
    <n v="20"/>
    <n v="53784"/>
    <s v="1 Year"/>
  </r>
  <r>
    <x v="318"/>
    <n v="2567899"/>
    <n v="67"/>
    <x v="1"/>
    <x v="11"/>
    <x v="0"/>
    <x v="3"/>
    <x v="3"/>
    <x v="3"/>
    <x v="0"/>
    <x v="1"/>
    <n v="3"/>
    <n v="84999"/>
    <n v="12"/>
    <n v="224397.36"/>
    <n v="4.5"/>
    <n v="20"/>
    <n v="45899.46"/>
    <s v="1 Year"/>
  </r>
  <r>
    <x v="319"/>
    <n v="3120227"/>
    <n v="77"/>
    <x v="1"/>
    <x v="11"/>
    <x v="0"/>
    <x v="3"/>
    <x v="2"/>
    <x v="4"/>
    <x v="2"/>
    <x v="1"/>
    <n v="5"/>
    <n v="69999"/>
    <n v="8"/>
    <n v="321995.40000000002"/>
    <n v="4.8"/>
    <n v="20"/>
    <n v="62999.1"/>
    <s v="6 Months"/>
  </r>
  <r>
    <x v="320"/>
    <n v="1162355"/>
    <n v="36"/>
    <x v="0"/>
    <x v="11"/>
    <x v="0"/>
    <x v="3"/>
    <x v="1"/>
    <x v="5"/>
    <x v="2"/>
    <x v="1"/>
    <n v="5"/>
    <n v="42999"/>
    <n v="15"/>
    <n v="182745.75"/>
    <n v="4.5999999999999996"/>
    <n v="20"/>
    <n v="38699.1"/>
    <s v="1 Year"/>
  </r>
  <r>
    <x v="321"/>
    <n v="2844001"/>
    <n v="53"/>
    <x v="1"/>
    <x v="11"/>
    <x v="0"/>
    <x v="0"/>
    <x v="0"/>
    <x v="0"/>
    <x v="0"/>
    <x v="2"/>
    <n v="2"/>
    <n v="99999"/>
    <n v="10"/>
    <n v="179998.2"/>
    <n v="4.7"/>
    <n v="20"/>
    <n v="35999.64"/>
    <s v="1 Year"/>
  </r>
  <r>
    <x v="322"/>
    <n v="1796640"/>
    <n v="26"/>
    <x v="0"/>
    <x v="11"/>
    <x v="0"/>
    <x v="3"/>
    <x v="1"/>
    <x v="1"/>
    <x v="1"/>
    <x v="2"/>
    <n v="25"/>
    <n v="4999"/>
    <n v="18"/>
    <n v="102479.5"/>
    <n v="4.4000000000000004"/>
    <n v="20"/>
    <n v="22495.5"/>
    <s v="6 Months"/>
  </r>
  <r>
    <x v="323"/>
    <n v="223976"/>
    <n v="43"/>
    <x v="0"/>
    <x v="11"/>
    <x v="2"/>
    <x v="5"/>
    <x v="2"/>
    <x v="2"/>
    <x v="1"/>
    <x v="2"/>
    <n v="9"/>
    <n v="24900"/>
    <n v="5"/>
    <n v="212895"/>
    <n v="4.8"/>
    <n v="20"/>
    <n v="40338"/>
    <s v="6 Months"/>
  </r>
  <r>
    <x v="324"/>
    <n v="8085873"/>
    <n v="59"/>
    <x v="1"/>
    <x v="11"/>
    <x v="0"/>
    <x v="2"/>
    <x v="3"/>
    <x v="3"/>
    <x v="0"/>
    <x v="2"/>
    <n v="2"/>
    <n v="84999"/>
    <n v="12"/>
    <n v="149598.24"/>
    <n v="4.5"/>
    <n v="20"/>
    <n v="30599.64"/>
    <s v="1 Year"/>
  </r>
  <r>
    <x v="325"/>
    <n v="7767130"/>
    <n v="29"/>
    <x v="0"/>
    <x v="11"/>
    <x v="0"/>
    <x v="0"/>
    <x v="2"/>
    <x v="4"/>
    <x v="2"/>
    <x v="2"/>
    <n v="6"/>
    <n v="69999"/>
    <n v="8"/>
    <n v="386394.48"/>
    <n v="4.8"/>
    <n v="20"/>
    <n v="75598.92"/>
    <s v="6 Months"/>
  </r>
  <r>
    <x v="326"/>
    <n v="2118526"/>
    <n v="34"/>
    <x v="0"/>
    <x v="11"/>
    <x v="0"/>
    <x v="0"/>
    <x v="1"/>
    <x v="5"/>
    <x v="2"/>
    <x v="2"/>
    <n v="9"/>
    <n v="42999"/>
    <n v="15"/>
    <n v="328942.34999999998"/>
    <n v="4.5999999999999996"/>
    <n v="20"/>
    <n v="69658.38"/>
    <s v="1 Year"/>
  </r>
  <r>
    <x v="327"/>
    <n v="7688970"/>
    <n v="57"/>
    <x v="1"/>
    <x v="11"/>
    <x v="0"/>
    <x v="3"/>
    <x v="0"/>
    <x v="0"/>
    <x v="0"/>
    <x v="3"/>
    <n v="4"/>
    <n v="99999"/>
    <n v="10"/>
    <n v="359996.4"/>
    <n v="4.7"/>
    <n v="20"/>
    <n v="71999.28"/>
    <s v="6 Months"/>
  </r>
  <r>
    <x v="328"/>
    <n v="3678042"/>
    <n v="30"/>
    <x v="0"/>
    <x v="11"/>
    <x v="0"/>
    <x v="2"/>
    <x v="1"/>
    <x v="1"/>
    <x v="1"/>
    <x v="3"/>
    <n v="44"/>
    <n v="4999"/>
    <n v="18"/>
    <n v="180363.91999999998"/>
    <n v="4.4000000000000004"/>
    <n v="20"/>
    <n v="39592.080000000002"/>
    <s v="1 Year"/>
  </r>
  <r>
    <x v="329"/>
    <n v="4725061"/>
    <n v="26"/>
    <x v="0"/>
    <x v="11"/>
    <x v="0"/>
    <x v="0"/>
    <x v="2"/>
    <x v="2"/>
    <x v="1"/>
    <x v="3"/>
    <n v="6"/>
    <n v="24900"/>
    <n v="5"/>
    <n v="141930"/>
    <n v="4.8"/>
    <n v="20"/>
    <n v="26892"/>
    <s v="1 Year"/>
  </r>
  <r>
    <x v="330"/>
    <n v="8125364"/>
    <n v="32"/>
    <x v="0"/>
    <x v="11"/>
    <x v="0"/>
    <x v="3"/>
    <x v="3"/>
    <x v="3"/>
    <x v="0"/>
    <x v="3"/>
    <n v="5"/>
    <n v="84999"/>
    <n v="12"/>
    <n v="373995.6"/>
    <n v="4.5"/>
    <n v="20"/>
    <n v="76499.099999999991"/>
    <s v="1 Year"/>
  </r>
  <r>
    <x v="331"/>
    <n v="7787158"/>
    <n v="60"/>
    <x v="1"/>
    <x v="11"/>
    <x v="0"/>
    <x v="0"/>
    <x v="2"/>
    <x v="4"/>
    <x v="2"/>
    <x v="3"/>
    <n v="3"/>
    <n v="69999"/>
    <n v="8"/>
    <n v="193197.24"/>
    <n v="4.8"/>
    <n v="20"/>
    <n v="37799.46"/>
    <s v="6 Months"/>
  </r>
  <r>
    <x v="332"/>
    <n v="1559586"/>
    <n v="37"/>
    <x v="0"/>
    <x v="11"/>
    <x v="0"/>
    <x v="1"/>
    <x v="1"/>
    <x v="5"/>
    <x v="2"/>
    <x v="3"/>
    <n v="8"/>
    <n v="42999"/>
    <n v="15"/>
    <n v="292393.2"/>
    <n v="4.5999999999999996"/>
    <n v="20"/>
    <n v="61918.559999999998"/>
    <s v="1 Year"/>
  </r>
  <r>
    <x v="333"/>
    <n v="4277775"/>
    <n v="49"/>
    <x v="0"/>
    <x v="11"/>
    <x v="0"/>
    <x v="1"/>
    <x v="0"/>
    <x v="0"/>
    <x v="0"/>
    <x v="4"/>
    <n v="4"/>
    <n v="99999"/>
    <n v="10"/>
    <n v="359996.4"/>
    <n v="4.7"/>
    <n v="20"/>
    <n v="71999.28"/>
    <s v="1 Year"/>
  </r>
  <r>
    <x v="334"/>
    <n v="8238226"/>
    <n v="62"/>
    <x v="1"/>
    <x v="11"/>
    <x v="0"/>
    <x v="2"/>
    <x v="1"/>
    <x v="1"/>
    <x v="1"/>
    <x v="4"/>
    <n v="51"/>
    <n v="4999"/>
    <n v="18"/>
    <n v="209058.18"/>
    <n v="4.4000000000000004"/>
    <n v="20"/>
    <n v="45890.82"/>
    <s v="1 Year"/>
  </r>
  <r>
    <x v="335"/>
    <n v="3874867"/>
    <n v="39"/>
    <x v="0"/>
    <x v="11"/>
    <x v="0"/>
    <x v="0"/>
    <x v="2"/>
    <x v="2"/>
    <x v="1"/>
    <x v="4"/>
    <n v="10"/>
    <n v="24900"/>
    <n v="5"/>
    <n v="236550"/>
    <n v="4.8"/>
    <n v="20"/>
    <n v="44820"/>
    <s v="1 Year"/>
  </r>
  <r>
    <x v="336"/>
    <n v="9065362"/>
    <n v="42"/>
    <x v="0"/>
    <x v="11"/>
    <x v="3"/>
    <x v="3"/>
    <x v="3"/>
    <x v="3"/>
    <x v="0"/>
    <x v="4"/>
    <n v="4"/>
    <n v="84999"/>
    <n v="12"/>
    <n v="299196.48"/>
    <n v="4.5"/>
    <n v="20"/>
    <n v="61199.28"/>
    <s v="6 Months"/>
  </r>
  <r>
    <x v="337"/>
    <n v="4405714"/>
    <n v="38"/>
    <x v="0"/>
    <x v="11"/>
    <x v="0"/>
    <x v="3"/>
    <x v="2"/>
    <x v="4"/>
    <x v="2"/>
    <x v="4"/>
    <n v="5"/>
    <n v="69999"/>
    <n v="8"/>
    <n v="321995.40000000002"/>
    <n v="4.8"/>
    <n v="20"/>
    <n v="62999.1"/>
    <s v="1 Year"/>
  </r>
  <r>
    <x v="338"/>
    <n v="1957132"/>
    <n v="32"/>
    <x v="0"/>
    <x v="11"/>
    <x v="0"/>
    <x v="3"/>
    <x v="1"/>
    <x v="5"/>
    <x v="2"/>
    <x v="4"/>
    <n v="9"/>
    <n v="42999"/>
    <n v="15"/>
    <n v="328942.34999999998"/>
    <n v="4.5999999999999996"/>
    <n v="20"/>
    <n v="69658.38"/>
    <s v="1 Year"/>
  </r>
  <r>
    <x v="339"/>
    <n v="8630007"/>
    <n v="37"/>
    <x v="0"/>
    <x v="12"/>
    <x v="0"/>
    <x v="0"/>
    <x v="0"/>
    <x v="0"/>
    <x v="0"/>
    <x v="0"/>
    <n v="6"/>
    <n v="99999"/>
    <n v="10"/>
    <n v="539994.6"/>
    <n v="4.7"/>
    <n v="20"/>
    <n v="107998.92"/>
    <s v="1 Year"/>
  </r>
  <r>
    <x v="340"/>
    <n v="2849866"/>
    <n v="20"/>
    <x v="0"/>
    <x v="12"/>
    <x v="0"/>
    <x v="2"/>
    <x v="1"/>
    <x v="1"/>
    <x v="1"/>
    <x v="0"/>
    <n v="50"/>
    <n v="4999"/>
    <n v="18"/>
    <n v="204959"/>
    <n v="4.4000000000000004"/>
    <n v="20"/>
    <n v="44991"/>
    <s v="1 Year"/>
  </r>
  <r>
    <x v="341"/>
    <n v="8910046"/>
    <n v="33"/>
    <x v="0"/>
    <x v="12"/>
    <x v="0"/>
    <x v="3"/>
    <x v="2"/>
    <x v="2"/>
    <x v="1"/>
    <x v="0"/>
    <n v="6"/>
    <n v="24900"/>
    <n v="5"/>
    <n v="141930"/>
    <n v="4.8"/>
    <n v="20"/>
    <n v="26892"/>
    <s v="6 Months"/>
  </r>
  <r>
    <x v="342"/>
    <n v="3946363"/>
    <n v="38"/>
    <x v="0"/>
    <x v="12"/>
    <x v="0"/>
    <x v="2"/>
    <x v="3"/>
    <x v="3"/>
    <x v="0"/>
    <x v="0"/>
    <n v="5"/>
    <n v="84999"/>
    <n v="12"/>
    <n v="373995.6"/>
    <n v="4.5"/>
    <n v="20"/>
    <n v="76499.099999999991"/>
    <s v="6 Months"/>
  </r>
  <r>
    <x v="343"/>
    <n v="8490644"/>
    <n v="24"/>
    <x v="0"/>
    <x v="12"/>
    <x v="2"/>
    <x v="2"/>
    <x v="2"/>
    <x v="4"/>
    <x v="2"/>
    <x v="0"/>
    <n v="4"/>
    <n v="69999"/>
    <n v="8"/>
    <n v="257596.32"/>
    <n v="4.8"/>
    <n v="20"/>
    <n v="50399.28"/>
    <s v="1 Year"/>
  </r>
  <r>
    <x v="344"/>
    <n v="17510"/>
    <n v="21"/>
    <x v="0"/>
    <x v="12"/>
    <x v="0"/>
    <x v="2"/>
    <x v="1"/>
    <x v="5"/>
    <x v="2"/>
    <x v="0"/>
    <n v="8"/>
    <n v="42999"/>
    <n v="15"/>
    <n v="292393.2"/>
    <n v="4.5999999999999996"/>
    <n v="20"/>
    <n v="61918.559999999998"/>
    <s v="1 Year"/>
  </r>
  <r>
    <x v="345"/>
    <n v="1607946"/>
    <n v="31"/>
    <x v="0"/>
    <x v="12"/>
    <x v="0"/>
    <x v="1"/>
    <x v="0"/>
    <x v="0"/>
    <x v="0"/>
    <x v="1"/>
    <n v="6"/>
    <n v="99999"/>
    <n v="10"/>
    <n v="539994.6"/>
    <n v="4.7"/>
    <n v="20"/>
    <n v="107998.92"/>
    <s v="1 Year"/>
  </r>
  <r>
    <x v="346"/>
    <n v="4402120"/>
    <n v="78"/>
    <x v="1"/>
    <x v="12"/>
    <x v="0"/>
    <x v="2"/>
    <x v="1"/>
    <x v="1"/>
    <x v="1"/>
    <x v="1"/>
    <n v="45"/>
    <n v="4999"/>
    <n v="18"/>
    <n v="184463.1"/>
    <n v="4.4000000000000004"/>
    <n v="20"/>
    <n v="40491.9"/>
    <s v="1 Year"/>
  </r>
  <r>
    <x v="347"/>
    <n v="6741005"/>
    <n v="30"/>
    <x v="0"/>
    <x v="12"/>
    <x v="0"/>
    <x v="2"/>
    <x v="2"/>
    <x v="2"/>
    <x v="1"/>
    <x v="1"/>
    <n v="15"/>
    <n v="24900"/>
    <n v="5"/>
    <n v="354825"/>
    <n v="4.8"/>
    <n v="20"/>
    <n v="67230"/>
    <s v="1 Year"/>
  </r>
  <r>
    <x v="348"/>
    <n v="7396160"/>
    <n v="46"/>
    <x v="0"/>
    <x v="12"/>
    <x v="0"/>
    <x v="2"/>
    <x v="3"/>
    <x v="3"/>
    <x v="0"/>
    <x v="1"/>
    <n v="6"/>
    <n v="84999"/>
    <n v="12"/>
    <n v="448794.72"/>
    <n v="4.5"/>
    <n v="20"/>
    <n v="91798.92"/>
    <s v="1 Year"/>
  </r>
  <r>
    <x v="349"/>
    <n v="9872468"/>
    <n v="20"/>
    <x v="0"/>
    <x v="12"/>
    <x v="0"/>
    <x v="3"/>
    <x v="2"/>
    <x v="4"/>
    <x v="2"/>
    <x v="1"/>
    <n v="2"/>
    <n v="69999"/>
    <n v="8"/>
    <n v="128798.16"/>
    <n v="4.8"/>
    <n v="20"/>
    <n v="25199.64"/>
    <s v="6 Months"/>
  </r>
  <r>
    <x v="350"/>
    <n v="6685775"/>
    <n v="22"/>
    <x v="0"/>
    <x v="12"/>
    <x v="0"/>
    <x v="4"/>
    <x v="1"/>
    <x v="5"/>
    <x v="2"/>
    <x v="1"/>
    <n v="10"/>
    <n v="42999"/>
    <n v="15"/>
    <n v="365491.5"/>
    <n v="4.5999999999999996"/>
    <n v="20"/>
    <n v="77398.2"/>
    <s v="1 Year"/>
  </r>
  <r>
    <x v="351"/>
    <n v="2742059"/>
    <n v="18"/>
    <x v="2"/>
    <x v="12"/>
    <x v="0"/>
    <x v="3"/>
    <x v="0"/>
    <x v="0"/>
    <x v="0"/>
    <x v="2"/>
    <n v="6"/>
    <n v="99999"/>
    <n v="10"/>
    <n v="539994.6"/>
    <n v="4.7"/>
    <n v="20"/>
    <n v="107998.92"/>
    <s v="1 Year"/>
  </r>
  <r>
    <x v="352"/>
    <n v="431359"/>
    <n v="24"/>
    <x v="0"/>
    <x v="12"/>
    <x v="1"/>
    <x v="3"/>
    <x v="1"/>
    <x v="1"/>
    <x v="1"/>
    <x v="2"/>
    <n v="43"/>
    <n v="4999"/>
    <n v="18"/>
    <n v="176264.74"/>
    <n v="4.4000000000000004"/>
    <n v="20"/>
    <n v="38692.26"/>
    <s v="6 Months"/>
  </r>
  <r>
    <x v="353"/>
    <n v="2254374"/>
    <n v="39"/>
    <x v="0"/>
    <x v="12"/>
    <x v="0"/>
    <x v="3"/>
    <x v="2"/>
    <x v="2"/>
    <x v="1"/>
    <x v="2"/>
    <n v="6"/>
    <n v="24900"/>
    <n v="5"/>
    <n v="141930"/>
    <n v="4.8"/>
    <n v="20"/>
    <n v="26892"/>
    <s v="1 Year"/>
  </r>
  <r>
    <x v="354"/>
    <n v="2506744"/>
    <n v="22"/>
    <x v="0"/>
    <x v="12"/>
    <x v="0"/>
    <x v="2"/>
    <x v="3"/>
    <x v="3"/>
    <x v="0"/>
    <x v="2"/>
    <n v="3"/>
    <n v="84999"/>
    <n v="12"/>
    <n v="224397.36"/>
    <n v="4.5"/>
    <n v="20"/>
    <n v="45899.46"/>
    <s v="6 Months"/>
  </r>
  <r>
    <x v="355"/>
    <n v="225967"/>
    <n v="46"/>
    <x v="0"/>
    <x v="12"/>
    <x v="0"/>
    <x v="2"/>
    <x v="2"/>
    <x v="4"/>
    <x v="2"/>
    <x v="2"/>
    <n v="3"/>
    <n v="69999"/>
    <n v="8"/>
    <n v="193197.24"/>
    <n v="4.8"/>
    <n v="20"/>
    <n v="37799.46"/>
    <s v="1 Year"/>
  </r>
  <r>
    <x v="356"/>
    <n v="9746730"/>
    <n v="45"/>
    <x v="0"/>
    <x v="12"/>
    <x v="0"/>
    <x v="0"/>
    <x v="1"/>
    <x v="5"/>
    <x v="2"/>
    <x v="2"/>
    <n v="8"/>
    <n v="42999"/>
    <n v="15"/>
    <n v="292393.2"/>
    <n v="4.5999999999999996"/>
    <n v="20"/>
    <n v="61918.559999999998"/>
    <s v="1 Year"/>
  </r>
  <r>
    <x v="357"/>
    <n v="2994704"/>
    <n v="22"/>
    <x v="0"/>
    <x v="12"/>
    <x v="0"/>
    <x v="0"/>
    <x v="0"/>
    <x v="0"/>
    <x v="0"/>
    <x v="3"/>
    <n v="3"/>
    <n v="99999"/>
    <n v="10"/>
    <n v="269997.3"/>
    <n v="4.7"/>
    <n v="20"/>
    <n v="53999.46"/>
    <s v="1 Year"/>
  </r>
  <r>
    <x v="358"/>
    <n v="4768183"/>
    <n v="49"/>
    <x v="0"/>
    <x v="12"/>
    <x v="0"/>
    <x v="0"/>
    <x v="1"/>
    <x v="1"/>
    <x v="1"/>
    <x v="3"/>
    <n v="38"/>
    <n v="4999"/>
    <n v="18"/>
    <n v="155768.84"/>
    <n v="4.4000000000000004"/>
    <n v="20"/>
    <n v="34193.159999999996"/>
    <s v="1 Year"/>
  </r>
  <r>
    <x v="359"/>
    <n v="5358164"/>
    <n v="23"/>
    <x v="0"/>
    <x v="12"/>
    <x v="0"/>
    <x v="1"/>
    <x v="2"/>
    <x v="2"/>
    <x v="1"/>
    <x v="3"/>
    <n v="12"/>
    <n v="24900"/>
    <n v="5"/>
    <n v="283860"/>
    <n v="4.8"/>
    <n v="20"/>
    <n v="53784"/>
    <s v="1 Year"/>
  </r>
  <r>
    <x v="360"/>
    <n v="8201125"/>
    <n v="31"/>
    <x v="0"/>
    <x v="12"/>
    <x v="0"/>
    <x v="3"/>
    <x v="3"/>
    <x v="3"/>
    <x v="0"/>
    <x v="3"/>
    <n v="2"/>
    <n v="84999"/>
    <n v="12"/>
    <n v="149598.24"/>
    <n v="4.5"/>
    <n v="20"/>
    <n v="30599.64"/>
    <s v="1 Year"/>
  </r>
  <r>
    <x v="361"/>
    <n v="6455153"/>
    <n v="28"/>
    <x v="0"/>
    <x v="12"/>
    <x v="0"/>
    <x v="0"/>
    <x v="2"/>
    <x v="4"/>
    <x v="2"/>
    <x v="3"/>
    <n v="6"/>
    <n v="69999"/>
    <n v="8"/>
    <n v="386394.48"/>
    <n v="4.8"/>
    <n v="20"/>
    <n v="75598.92"/>
    <s v="6 Months"/>
  </r>
  <r>
    <x v="361"/>
    <n v="6455153"/>
    <n v="61"/>
    <x v="1"/>
    <x v="12"/>
    <x v="2"/>
    <x v="0"/>
    <x v="1"/>
    <x v="5"/>
    <x v="2"/>
    <x v="3"/>
    <n v="8"/>
    <n v="42999"/>
    <n v="15"/>
    <n v="292393.2"/>
    <n v="4.5999999999999996"/>
    <n v="20"/>
    <n v="61918.559999999998"/>
    <s v="1 Year"/>
  </r>
  <r>
    <x v="362"/>
    <n v="6936302"/>
    <n v="50"/>
    <x v="1"/>
    <x v="12"/>
    <x v="0"/>
    <x v="2"/>
    <x v="0"/>
    <x v="0"/>
    <x v="0"/>
    <x v="4"/>
    <n v="6"/>
    <n v="99999"/>
    <n v="10"/>
    <n v="539994.6"/>
    <n v="4.7"/>
    <n v="20"/>
    <n v="107998.92"/>
    <s v="1 Year"/>
  </r>
  <r>
    <x v="363"/>
    <n v="9117771"/>
    <n v="32"/>
    <x v="0"/>
    <x v="12"/>
    <x v="0"/>
    <x v="3"/>
    <x v="1"/>
    <x v="1"/>
    <x v="1"/>
    <x v="4"/>
    <n v="55"/>
    <n v="4999"/>
    <n v="18"/>
    <n v="225454.9"/>
    <n v="4.4000000000000004"/>
    <n v="20"/>
    <n v="49490.1"/>
    <s v="1 Year"/>
  </r>
  <r>
    <x v="364"/>
    <n v="3176719"/>
    <n v="78"/>
    <x v="1"/>
    <x v="12"/>
    <x v="0"/>
    <x v="3"/>
    <x v="2"/>
    <x v="2"/>
    <x v="1"/>
    <x v="4"/>
    <n v="13"/>
    <n v="24900"/>
    <n v="5"/>
    <n v="307515"/>
    <n v="4.8"/>
    <n v="20"/>
    <n v="58266"/>
    <s v="1 Year"/>
  </r>
  <r>
    <x v="365"/>
    <n v="5627495"/>
    <n v="32"/>
    <x v="0"/>
    <x v="12"/>
    <x v="0"/>
    <x v="0"/>
    <x v="3"/>
    <x v="3"/>
    <x v="0"/>
    <x v="4"/>
    <n v="4"/>
    <n v="84999"/>
    <n v="12"/>
    <n v="299196.48"/>
    <n v="4.5"/>
    <n v="20"/>
    <n v="61199.28"/>
    <s v="6 Months"/>
  </r>
  <r>
    <x v="366"/>
    <n v="8666099"/>
    <n v="54"/>
    <x v="1"/>
    <x v="12"/>
    <x v="0"/>
    <x v="2"/>
    <x v="2"/>
    <x v="4"/>
    <x v="2"/>
    <x v="4"/>
    <n v="2"/>
    <n v="69999"/>
    <n v="8"/>
    <n v="128798.16"/>
    <n v="4.8"/>
    <n v="20"/>
    <n v="25199.64"/>
    <s v="1 Year"/>
  </r>
  <r>
    <x v="367"/>
    <n v="2950631"/>
    <n v="43"/>
    <x v="0"/>
    <x v="12"/>
    <x v="0"/>
    <x v="3"/>
    <x v="1"/>
    <x v="5"/>
    <x v="2"/>
    <x v="4"/>
    <n v="7"/>
    <n v="42999"/>
    <n v="15"/>
    <n v="255844.05"/>
    <n v="4.5999999999999996"/>
    <n v="20"/>
    <n v="54178.74"/>
    <s v="1 Year"/>
  </r>
  <r>
    <x v="368"/>
    <n v="2273061"/>
    <n v="38"/>
    <x v="0"/>
    <x v="13"/>
    <x v="0"/>
    <x v="2"/>
    <x v="0"/>
    <x v="0"/>
    <x v="0"/>
    <x v="0"/>
    <n v="5"/>
    <n v="99999"/>
    <n v="10"/>
    <n v="449995.5"/>
    <n v="4.7"/>
    <n v="20"/>
    <n v="89999.099999999991"/>
    <s v="1 Year"/>
  </r>
  <r>
    <x v="369"/>
    <n v="5272502"/>
    <n v="45"/>
    <x v="0"/>
    <x v="13"/>
    <x v="0"/>
    <x v="3"/>
    <x v="1"/>
    <x v="1"/>
    <x v="1"/>
    <x v="0"/>
    <n v="42"/>
    <n v="4999"/>
    <n v="18"/>
    <n v="172165.56"/>
    <n v="4.4000000000000004"/>
    <n v="20"/>
    <n v="37792.439999999995"/>
    <s v="6 Months"/>
  </r>
  <r>
    <x v="370"/>
    <n v="3639245"/>
    <n v="39"/>
    <x v="0"/>
    <x v="13"/>
    <x v="2"/>
    <x v="1"/>
    <x v="2"/>
    <x v="2"/>
    <x v="1"/>
    <x v="0"/>
    <n v="9"/>
    <n v="24900"/>
    <n v="5"/>
    <n v="212895"/>
    <n v="4.8"/>
    <n v="20"/>
    <n v="40338"/>
    <s v="1 Year"/>
  </r>
  <r>
    <x v="371"/>
    <n v="5199868"/>
    <n v="51"/>
    <x v="1"/>
    <x v="13"/>
    <x v="0"/>
    <x v="2"/>
    <x v="3"/>
    <x v="3"/>
    <x v="0"/>
    <x v="0"/>
    <n v="6"/>
    <n v="84999"/>
    <n v="12"/>
    <n v="448794.72"/>
    <n v="4.5"/>
    <n v="20"/>
    <n v="91798.92"/>
    <s v="6 Months"/>
  </r>
  <r>
    <x v="372"/>
    <n v="2633521"/>
    <n v="30"/>
    <x v="0"/>
    <x v="13"/>
    <x v="3"/>
    <x v="3"/>
    <x v="2"/>
    <x v="4"/>
    <x v="2"/>
    <x v="0"/>
    <n v="2"/>
    <n v="69999"/>
    <n v="8"/>
    <n v="128798.16"/>
    <n v="4.8"/>
    <n v="20"/>
    <n v="25199.64"/>
    <s v="6 Months"/>
  </r>
  <r>
    <x v="373"/>
    <n v="3204932"/>
    <n v="21"/>
    <x v="0"/>
    <x v="13"/>
    <x v="0"/>
    <x v="0"/>
    <x v="1"/>
    <x v="5"/>
    <x v="2"/>
    <x v="0"/>
    <n v="9"/>
    <n v="42999"/>
    <n v="15"/>
    <n v="328942.34999999998"/>
    <n v="4.5999999999999996"/>
    <n v="20"/>
    <n v="69658.38"/>
    <s v="6 Months"/>
  </r>
  <r>
    <x v="374"/>
    <n v="8846329"/>
    <n v="44"/>
    <x v="0"/>
    <x v="13"/>
    <x v="0"/>
    <x v="3"/>
    <x v="0"/>
    <x v="0"/>
    <x v="0"/>
    <x v="1"/>
    <n v="5"/>
    <n v="99999"/>
    <n v="10"/>
    <n v="449995.5"/>
    <n v="4.7"/>
    <n v="20"/>
    <n v="89999.099999999991"/>
    <s v="1 Year"/>
  </r>
  <r>
    <x v="375"/>
    <n v="5669660"/>
    <n v="20"/>
    <x v="0"/>
    <x v="13"/>
    <x v="0"/>
    <x v="2"/>
    <x v="1"/>
    <x v="1"/>
    <x v="1"/>
    <x v="1"/>
    <n v="66"/>
    <n v="4999"/>
    <n v="18"/>
    <n v="270545.88"/>
    <n v="4.4000000000000004"/>
    <n v="20"/>
    <n v="59388.119999999995"/>
    <s v="6 Months"/>
  </r>
  <r>
    <x v="376"/>
    <n v="3743867"/>
    <n v="35"/>
    <x v="0"/>
    <x v="13"/>
    <x v="0"/>
    <x v="2"/>
    <x v="2"/>
    <x v="2"/>
    <x v="1"/>
    <x v="1"/>
    <n v="15"/>
    <n v="24900"/>
    <n v="5"/>
    <n v="354825"/>
    <n v="4.8"/>
    <n v="20"/>
    <n v="67230"/>
    <s v="1 Year"/>
  </r>
  <r>
    <x v="377"/>
    <n v="8790622"/>
    <n v="18"/>
    <x v="2"/>
    <x v="13"/>
    <x v="0"/>
    <x v="2"/>
    <x v="3"/>
    <x v="3"/>
    <x v="0"/>
    <x v="1"/>
    <n v="3"/>
    <n v="84999"/>
    <n v="12"/>
    <n v="224397.36"/>
    <n v="4.5"/>
    <n v="20"/>
    <n v="45899.46"/>
    <s v="1 Year"/>
  </r>
  <r>
    <x v="378"/>
    <n v="6016873"/>
    <n v="49"/>
    <x v="0"/>
    <x v="13"/>
    <x v="0"/>
    <x v="2"/>
    <x v="2"/>
    <x v="4"/>
    <x v="2"/>
    <x v="1"/>
    <n v="6"/>
    <n v="69999"/>
    <n v="8"/>
    <n v="386394.48"/>
    <n v="4.8"/>
    <n v="20"/>
    <n v="75598.92"/>
    <s v="1 Year"/>
  </r>
  <r>
    <x v="379"/>
    <n v="4515678"/>
    <n v="46"/>
    <x v="0"/>
    <x v="13"/>
    <x v="0"/>
    <x v="0"/>
    <x v="1"/>
    <x v="5"/>
    <x v="2"/>
    <x v="1"/>
    <n v="9"/>
    <n v="42999"/>
    <n v="15"/>
    <n v="328942.34999999998"/>
    <n v="4.5999999999999996"/>
    <n v="20"/>
    <n v="69658.38"/>
    <s v="1 Year"/>
  </r>
  <r>
    <x v="380"/>
    <n v="206214"/>
    <n v="42"/>
    <x v="0"/>
    <x v="13"/>
    <x v="0"/>
    <x v="1"/>
    <x v="0"/>
    <x v="0"/>
    <x v="0"/>
    <x v="2"/>
    <n v="5"/>
    <n v="99999"/>
    <n v="10"/>
    <n v="449995.5"/>
    <n v="4.7"/>
    <n v="20"/>
    <n v="89999.099999999991"/>
    <s v="6 Months"/>
  </r>
  <r>
    <x v="381"/>
    <n v="9158142"/>
    <n v="23"/>
    <x v="0"/>
    <x v="13"/>
    <x v="0"/>
    <x v="3"/>
    <x v="1"/>
    <x v="1"/>
    <x v="1"/>
    <x v="2"/>
    <n v="44"/>
    <n v="4999"/>
    <n v="18"/>
    <n v="180363.91999999998"/>
    <n v="4.4000000000000004"/>
    <n v="20"/>
    <n v="39592.080000000002"/>
    <s v="1 Year"/>
  </r>
  <r>
    <x v="382"/>
    <n v="6580211"/>
    <n v="36"/>
    <x v="0"/>
    <x v="13"/>
    <x v="0"/>
    <x v="3"/>
    <x v="2"/>
    <x v="2"/>
    <x v="1"/>
    <x v="2"/>
    <n v="6"/>
    <n v="24900"/>
    <n v="5"/>
    <n v="141930"/>
    <n v="4.8"/>
    <n v="20"/>
    <n v="26892"/>
    <s v="6 Months"/>
  </r>
  <r>
    <x v="383"/>
    <n v="8484605"/>
    <n v="67"/>
    <x v="1"/>
    <x v="13"/>
    <x v="0"/>
    <x v="1"/>
    <x v="3"/>
    <x v="3"/>
    <x v="0"/>
    <x v="2"/>
    <n v="4"/>
    <n v="84999"/>
    <n v="12"/>
    <n v="299196.48"/>
    <n v="4.5"/>
    <n v="20"/>
    <n v="61199.28"/>
    <s v="1 Year"/>
  </r>
  <r>
    <x v="384"/>
    <n v="7905996"/>
    <n v="76"/>
    <x v="1"/>
    <x v="13"/>
    <x v="0"/>
    <x v="4"/>
    <x v="2"/>
    <x v="4"/>
    <x v="2"/>
    <x v="2"/>
    <n v="2"/>
    <n v="69999"/>
    <n v="8"/>
    <n v="128798.16"/>
    <n v="4.8"/>
    <n v="20"/>
    <n v="25199.64"/>
    <s v="6 Months"/>
  </r>
  <r>
    <x v="385"/>
    <n v="3907505"/>
    <n v="21"/>
    <x v="0"/>
    <x v="13"/>
    <x v="0"/>
    <x v="0"/>
    <x v="1"/>
    <x v="5"/>
    <x v="2"/>
    <x v="2"/>
    <n v="6"/>
    <n v="42999"/>
    <n v="15"/>
    <n v="219294.9"/>
    <n v="4.5999999999999996"/>
    <n v="20"/>
    <n v="46438.92"/>
    <s v="1 Year"/>
  </r>
  <r>
    <x v="385"/>
    <n v="3907505"/>
    <n v="76"/>
    <x v="1"/>
    <x v="13"/>
    <x v="0"/>
    <x v="0"/>
    <x v="0"/>
    <x v="0"/>
    <x v="0"/>
    <x v="3"/>
    <n v="3"/>
    <n v="99999"/>
    <n v="10"/>
    <n v="269997.3"/>
    <n v="4.7"/>
    <n v="20"/>
    <n v="53999.46"/>
    <s v="1 Year"/>
  </r>
  <r>
    <x v="386"/>
    <n v="2722190"/>
    <n v="31"/>
    <x v="0"/>
    <x v="13"/>
    <x v="0"/>
    <x v="3"/>
    <x v="1"/>
    <x v="1"/>
    <x v="1"/>
    <x v="3"/>
    <n v="45"/>
    <n v="4999"/>
    <n v="18"/>
    <n v="184463.1"/>
    <n v="4.4000000000000004"/>
    <n v="20"/>
    <n v="40491.9"/>
    <s v="1 Year"/>
  </r>
  <r>
    <x v="387"/>
    <n v="418007"/>
    <n v="27"/>
    <x v="0"/>
    <x v="13"/>
    <x v="0"/>
    <x v="0"/>
    <x v="2"/>
    <x v="2"/>
    <x v="1"/>
    <x v="3"/>
    <n v="6"/>
    <n v="24900"/>
    <n v="5"/>
    <n v="141930"/>
    <n v="4.8"/>
    <n v="20"/>
    <n v="26892"/>
    <s v="1 Year"/>
  </r>
  <r>
    <x v="388"/>
    <n v="5462211"/>
    <n v="19"/>
    <x v="2"/>
    <x v="13"/>
    <x v="3"/>
    <x v="1"/>
    <x v="3"/>
    <x v="3"/>
    <x v="0"/>
    <x v="3"/>
    <n v="6"/>
    <n v="84999"/>
    <n v="12"/>
    <n v="448794.72"/>
    <n v="4.5"/>
    <n v="20"/>
    <n v="91798.92"/>
    <s v="1 Year"/>
  </r>
  <r>
    <x v="389"/>
    <n v="2928531"/>
    <n v="43"/>
    <x v="0"/>
    <x v="13"/>
    <x v="0"/>
    <x v="3"/>
    <x v="2"/>
    <x v="4"/>
    <x v="2"/>
    <x v="3"/>
    <n v="2"/>
    <n v="69999"/>
    <n v="8"/>
    <n v="128798.16"/>
    <n v="4.8"/>
    <n v="20"/>
    <n v="25199.64"/>
    <s v="6 Months"/>
  </r>
  <r>
    <x v="390"/>
    <n v="7292810"/>
    <n v="36"/>
    <x v="0"/>
    <x v="13"/>
    <x v="0"/>
    <x v="0"/>
    <x v="1"/>
    <x v="5"/>
    <x v="2"/>
    <x v="3"/>
    <n v="6"/>
    <n v="42999"/>
    <n v="15"/>
    <n v="219294.9"/>
    <n v="4.5999999999999996"/>
    <n v="20"/>
    <n v="46438.92"/>
    <s v="6 Months"/>
  </r>
  <r>
    <x v="391"/>
    <n v="9326035"/>
    <n v="42"/>
    <x v="0"/>
    <x v="13"/>
    <x v="3"/>
    <x v="1"/>
    <x v="0"/>
    <x v="0"/>
    <x v="0"/>
    <x v="4"/>
    <n v="4"/>
    <n v="99999"/>
    <n v="10"/>
    <n v="359996.4"/>
    <n v="4.7"/>
    <n v="20"/>
    <n v="71999.28"/>
    <s v="1 Year"/>
  </r>
  <r>
    <x v="392"/>
    <n v="6812698"/>
    <n v="32"/>
    <x v="0"/>
    <x v="13"/>
    <x v="0"/>
    <x v="2"/>
    <x v="1"/>
    <x v="1"/>
    <x v="1"/>
    <x v="4"/>
    <n v="37"/>
    <n v="4999"/>
    <n v="18"/>
    <n v="151669.66"/>
    <n v="4.4000000000000004"/>
    <n v="20"/>
    <n v="33293.339999999997"/>
    <s v="1 Year"/>
  </r>
  <r>
    <x v="393"/>
    <n v="7886687"/>
    <n v="36"/>
    <x v="0"/>
    <x v="13"/>
    <x v="0"/>
    <x v="1"/>
    <x v="2"/>
    <x v="2"/>
    <x v="1"/>
    <x v="4"/>
    <n v="8"/>
    <n v="24900"/>
    <n v="5"/>
    <n v="189240"/>
    <n v="4.8"/>
    <n v="20"/>
    <n v="35856"/>
    <s v="1 Year"/>
  </r>
  <r>
    <x v="393"/>
    <n v="7886687"/>
    <n v="31"/>
    <x v="0"/>
    <x v="13"/>
    <x v="0"/>
    <x v="3"/>
    <x v="3"/>
    <x v="3"/>
    <x v="0"/>
    <x v="4"/>
    <n v="5"/>
    <n v="84999"/>
    <n v="12"/>
    <n v="373995.6"/>
    <n v="4.5"/>
    <n v="20"/>
    <n v="76499.099999999991"/>
    <s v="6 Months"/>
  </r>
  <r>
    <x v="393"/>
    <n v="7886687"/>
    <n v="26"/>
    <x v="0"/>
    <x v="13"/>
    <x v="0"/>
    <x v="1"/>
    <x v="2"/>
    <x v="4"/>
    <x v="2"/>
    <x v="4"/>
    <n v="2"/>
    <n v="69999"/>
    <n v="8"/>
    <n v="128798.16"/>
    <n v="4.8"/>
    <n v="20"/>
    <n v="25199.64"/>
    <s v="1 Year"/>
  </r>
  <r>
    <x v="394"/>
    <n v="3456962"/>
    <n v="22"/>
    <x v="0"/>
    <x v="13"/>
    <x v="0"/>
    <x v="4"/>
    <x v="1"/>
    <x v="5"/>
    <x v="2"/>
    <x v="4"/>
    <n v="8"/>
    <n v="42999"/>
    <n v="15"/>
    <n v="292393.2"/>
    <n v="4.5999999999999996"/>
    <n v="20"/>
    <n v="61918.559999999998"/>
    <s v="1 Year"/>
  </r>
  <r>
    <x v="395"/>
    <n v="411709"/>
    <n v="34"/>
    <x v="0"/>
    <x v="14"/>
    <x v="0"/>
    <x v="0"/>
    <x v="0"/>
    <x v="0"/>
    <x v="0"/>
    <x v="0"/>
    <n v="3"/>
    <n v="99999"/>
    <n v="10"/>
    <n v="269997.3"/>
    <n v="4.7"/>
    <n v="20"/>
    <n v="53999.46"/>
    <s v="1 Year"/>
  </r>
  <r>
    <x v="396"/>
    <n v="1344787"/>
    <n v="51"/>
    <x v="1"/>
    <x v="14"/>
    <x v="0"/>
    <x v="2"/>
    <x v="1"/>
    <x v="1"/>
    <x v="1"/>
    <x v="0"/>
    <n v="48"/>
    <n v="4999"/>
    <n v="18"/>
    <n v="196760.64"/>
    <n v="4.4000000000000004"/>
    <n v="20"/>
    <n v="43191.360000000001"/>
    <s v="1 Year"/>
  </r>
  <r>
    <x v="397"/>
    <n v="2659259"/>
    <n v="58"/>
    <x v="1"/>
    <x v="14"/>
    <x v="0"/>
    <x v="5"/>
    <x v="2"/>
    <x v="2"/>
    <x v="1"/>
    <x v="0"/>
    <n v="5"/>
    <n v="24900"/>
    <n v="5"/>
    <n v="118275"/>
    <n v="4.8"/>
    <n v="20"/>
    <n v="22410"/>
    <s v="6 Months"/>
  </r>
  <r>
    <x v="397"/>
    <n v="2659259"/>
    <n v="21"/>
    <x v="0"/>
    <x v="14"/>
    <x v="0"/>
    <x v="0"/>
    <x v="3"/>
    <x v="3"/>
    <x v="0"/>
    <x v="0"/>
    <n v="2"/>
    <n v="84999"/>
    <n v="12"/>
    <n v="149598.24"/>
    <n v="4.5"/>
    <n v="20"/>
    <n v="30599.64"/>
    <s v="1 Year"/>
  </r>
  <r>
    <x v="398"/>
    <n v="305106"/>
    <n v="43"/>
    <x v="0"/>
    <x v="14"/>
    <x v="0"/>
    <x v="0"/>
    <x v="2"/>
    <x v="4"/>
    <x v="2"/>
    <x v="0"/>
    <n v="3"/>
    <n v="69999"/>
    <n v="8"/>
    <n v="193197.24"/>
    <n v="4.8"/>
    <n v="20"/>
    <n v="37799.46"/>
    <s v="6 Months"/>
  </r>
  <r>
    <x v="399"/>
    <n v="5678500"/>
    <n v="42"/>
    <x v="0"/>
    <x v="14"/>
    <x v="0"/>
    <x v="1"/>
    <x v="1"/>
    <x v="5"/>
    <x v="2"/>
    <x v="0"/>
    <n v="8"/>
    <n v="42999"/>
    <n v="15"/>
    <n v="292393.2"/>
    <n v="4.5999999999999996"/>
    <n v="20"/>
    <n v="61918.559999999998"/>
    <s v="6 Months"/>
  </r>
  <r>
    <x v="400"/>
    <n v="3697381"/>
    <n v="43"/>
    <x v="0"/>
    <x v="14"/>
    <x v="3"/>
    <x v="0"/>
    <x v="0"/>
    <x v="0"/>
    <x v="0"/>
    <x v="1"/>
    <n v="5"/>
    <n v="99999"/>
    <n v="10"/>
    <n v="449995.5"/>
    <n v="4.7"/>
    <n v="20"/>
    <n v="89999.099999999991"/>
    <s v="6 Months"/>
  </r>
  <r>
    <x v="401"/>
    <n v="8129717"/>
    <n v="48"/>
    <x v="0"/>
    <x v="14"/>
    <x v="0"/>
    <x v="3"/>
    <x v="1"/>
    <x v="1"/>
    <x v="1"/>
    <x v="1"/>
    <n v="33"/>
    <n v="4999"/>
    <n v="18"/>
    <n v="135272.94"/>
    <n v="4.4000000000000004"/>
    <n v="20"/>
    <n v="29694.059999999998"/>
    <s v="1 Year"/>
  </r>
  <r>
    <x v="402"/>
    <n v="3833087"/>
    <n v="60"/>
    <x v="1"/>
    <x v="14"/>
    <x v="0"/>
    <x v="2"/>
    <x v="2"/>
    <x v="2"/>
    <x v="1"/>
    <x v="1"/>
    <n v="12"/>
    <n v="24900"/>
    <n v="5"/>
    <n v="283860"/>
    <n v="4.8"/>
    <n v="20"/>
    <n v="53784"/>
    <s v="1 Year"/>
  </r>
  <r>
    <x v="403"/>
    <n v="1274138"/>
    <n v="74"/>
    <x v="1"/>
    <x v="14"/>
    <x v="0"/>
    <x v="0"/>
    <x v="3"/>
    <x v="3"/>
    <x v="0"/>
    <x v="1"/>
    <n v="2"/>
    <n v="84999"/>
    <n v="12"/>
    <n v="149598.24"/>
    <n v="4.5"/>
    <n v="20"/>
    <n v="30599.64"/>
    <s v="1 Year"/>
  </r>
  <r>
    <x v="404"/>
    <n v="9198525"/>
    <n v="26"/>
    <x v="0"/>
    <x v="14"/>
    <x v="0"/>
    <x v="3"/>
    <x v="2"/>
    <x v="4"/>
    <x v="2"/>
    <x v="1"/>
    <n v="6"/>
    <n v="69999"/>
    <n v="8"/>
    <n v="386394.48"/>
    <n v="4.8"/>
    <n v="20"/>
    <n v="75598.92"/>
    <s v="1 Year"/>
  </r>
  <r>
    <x v="405"/>
    <n v="7457952"/>
    <n v="39"/>
    <x v="0"/>
    <x v="14"/>
    <x v="0"/>
    <x v="2"/>
    <x v="1"/>
    <x v="5"/>
    <x v="2"/>
    <x v="1"/>
    <n v="6"/>
    <n v="42999"/>
    <n v="15"/>
    <n v="219294.9"/>
    <n v="4.5999999999999996"/>
    <n v="20"/>
    <n v="46438.92"/>
    <s v="1 Year"/>
  </r>
  <r>
    <x v="406"/>
    <n v="7699990"/>
    <n v="41"/>
    <x v="0"/>
    <x v="14"/>
    <x v="0"/>
    <x v="2"/>
    <x v="0"/>
    <x v="0"/>
    <x v="0"/>
    <x v="2"/>
    <n v="3"/>
    <n v="99999"/>
    <n v="10"/>
    <n v="269997.3"/>
    <n v="4.7"/>
    <n v="20"/>
    <n v="53999.46"/>
    <s v="1 Year"/>
  </r>
  <r>
    <x v="407"/>
    <n v="6424721"/>
    <n v="77"/>
    <x v="1"/>
    <x v="14"/>
    <x v="0"/>
    <x v="0"/>
    <x v="1"/>
    <x v="1"/>
    <x v="1"/>
    <x v="2"/>
    <n v="60"/>
    <n v="4999"/>
    <n v="18"/>
    <n v="245950.8"/>
    <n v="4.4000000000000004"/>
    <n v="20"/>
    <n v="53989.2"/>
    <s v="1 Year"/>
  </r>
  <r>
    <x v="408"/>
    <n v="2944289"/>
    <n v="19"/>
    <x v="2"/>
    <x v="14"/>
    <x v="0"/>
    <x v="3"/>
    <x v="2"/>
    <x v="2"/>
    <x v="1"/>
    <x v="2"/>
    <n v="9"/>
    <n v="24900"/>
    <n v="5"/>
    <n v="212895"/>
    <n v="4.8"/>
    <n v="20"/>
    <n v="40338"/>
    <s v="1 Year"/>
  </r>
  <r>
    <x v="409"/>
    <n v="2792923"/>
    <n v="24"/>
    <x v="0"/>
    <x v="14"/>
    <x v="0"/>
    <x v="0"/>
    <x v="3"/>
    <x v="3"/>
    <x v="0"/>
    <x v="2"/>
    <n v="6"/>
    <n v="84999"/>
    <n v="12"/>
    <n v="448794.72"/>
    <n v="4.5"/>
    <n v="20"/>
    <n v="91798.92"/>
    <s v="1 Year"/>
  </r>
  <r>
    <x v="410"/>
    <n v="3320475"/>
    <n v="39"/>
    <x v="0"/>
    <x v="14"/>
    <x v="0"/>
    <x v="2"/>
    <x v="2"/>
    <x v="4"/>
    <x v="2"/>
    <x v="2"/>
    <n v="3"/>
    <n v="69999"/>
    <n v="8"/>
    <n v="193197.24"/>
    <n v="4.8"/>
    <n v="20"/>
    <n v="37799.46"/>
    <s v="1 Year"/>
  </r>
  <r>
    <x v="411"/>
    <n v="8953982"/>
    <n v="31"/>
    <x v="0"/>
    <x v="14"/>
    <x v="0"/>
    <x v="1"/>
    <x v="1"/>
    <x v="5"/>
    <x v="2"/>
    <x v="2"/>
    <n v="8"/>
    <n v="42999"/>
    <n v="15"/>
    <n v="292393.2"/>
    <n v="4.5999999999999996"/>
    <n v="20"/>
    <n v="61918.559999999998"/>
    <s v="1 Year"/>
  </r>
  <r>
    <x v="412"/>
    <n v="6114234"/>
    <n v="61"/>
    <x v="1"/>
    <x v="14"/>
    <x v="0"/>
    <x v="0"/>
    <x v="0"/>
    <x v="0"/>
    <x v="0"/>
    <x v="3"/>
    <n v="3"/>
    <n v="99999"/>
    <n v="10"/>
    <n v="269997.3"/>
    <n v="4.7"/>
    <n v="20"/>
    <n v="53999.46"/>
    <s v="6 Months"/>
  </r>
  <r>
    <x v="413"/>
    <n v="5161481"/>
    <n v="57"/>
    <x v="1"/>
    <x v="14"/>
    <x v="0"/>
    <x v="2"/>
    <x v="1"/>
    <x v="1"/>
    <x v="1"/>
    <x v="3"/>
    <n v="49"/>
    <n v="4999"/>
    <n v="18"/>
    <n v="200859.82"/>
    <n v="4.4000000000000004"/>
    <n v="20"/>
    <n v="44091.18"/>
    <s v="6 Months"/>
  </r>
  <r>
    <x v="414"/>
    <n v="3592356"/>
    <n v="18"/>
    <x v="2"/>
    <x v="14"/>
    <x v="0"/>
    <x v="3"/>
    <x v="2"/>
    <x v="2"/>
    <x v="1"/>
    <x v="3"/>
    <n v="14"/>
    <n v="24900"/>
    <n v="5"/>
    <n v="331170"/>
    <n v="4.8"/>
    <n v="20"/>
    <n v="62748"/>
    <s v="1 Year"/>
  </r>
  <r>
    <x v="415"/>
    <n v="2156012"/>
    <n v="37"/>
    <x v="0"/>
    <x v="14"/>
    <x v="0"/>
    <x v="1"/>
    <x v="3"/>
    <x v="3"/>
    <x v="0"/>
    <x v="3"/>
    <n v="2"/>
    <n v="84999"/>
    <n v="12"/>
    <n v="149598.24"/>
    <n v="4.5"/>
    <n v="20"/>
    <n v="30599.64"/>
    <s v="6 Months"/>
  </r>
  <r>
    <x v="416"/>
    <n v="7763289"/>
    <n v="19"/>
    <x v="2"/>
    <x v="14"/>
    <x v="0"/>
    <x v="0"/>
    <x v="2"/>
    <x v="4"/>
    <x v="2"/>
    <x v="3"/>
    <n v="3"/>
    <n v="69999"/>
    <n v="8"/>
    <n v="193197.24"/>
    <n v="4.8"/>
    <n v="20"/>
    <n v="37799.46"/>
    <s v="1 Year"/>
  </r>
  <r>
    <x v="417"/>
    <n v="4103369"/>
    <n v="38"/>
    <x v="0"/>
    <x v="14"/>
    <x v="0"/>
    <x v="2"/>
    <x v="1"/>
    <x v="5"/>
    <x v="2"/>
    <x v="3"/>
    <n v="10"/>
    <n v="42999"/>
    <n v="15"/>
    <n v="365491.5"/>
    <n v="4.5999999999999996"/>
    <n v="20"/>
    <n v="77398.2"/>
    <s v="1 Year"/>
  </r>
  <r>
    <x v="418"/>
    <n v="443362"/>
    <n v="26"/>
    <x v="0"/>
    <x v="14"/>
    <x v="1"/>
    <x v="5"/>
    <x v="0"/>
    <x v="0"/>
    <x v="0"/>
    <x v="4"/>
    <n v="6"/>
    <n v="99999"/>
    <n v="10"/>
    <n v="539994.6"/>
    <n v="4.7"/>
    <n v="20"/>
    <n v="107998.92"/>
    <s v="1 Year"/>
  </r>
  <r>
    <x v="419"/>
    <n v="6267284"/>
    <n v="41"/>
    <x v="0"/>
    <x v="14"/>
    <x v="0"/>
    <x v="2"/>
    <x v="1"/>
    <x v="1"/>
    <x v="1"/>
    <x v="4"/>
    <n v="57"/>
    <n v="4999"/>
    <n v="18"/>
    <n v="233653.26"/>
    <n v="4.4000000000000004"/>
    <n v="20"/>
    <n v="51289.74"/>
    <s v="1 Year"/>
  </r>
  <r>
    <x v="420"/>
    <n v="4684341"/>
    <n v="54"/>
    <x v="1"/>
    <x v="14"/>
    <x v="0"/>
    <x v="2"/>
    <x v="2"/>
    <x v="2"/>
    <x v="1"/>
    <x v="4"/>
    <n v="12"/>
    <n v="24900"/>
    <n v="5"/>
    <n v="283860"/>
    <n v="4.8"/>
    <n v="20"/>
    <n v="53784"/>
    <s v="1 Year"/>
  </r>
  <r>
    <x v="421"/>
    <n v="6359794"/>
    <n v="25"/>
    <x v="0"/>
    <x v="14"/>
    <x v="0"/>
    <x v="3"/>
    <x v="3"/>
    <x v="3"/>
    <x v="0"/>
    <x v="4"/>
    <n v="5"/>
    <n v="84999"/>
    <n v="12"/>
    <n v="373995.6"/>
    <n v="4.5"/>
    <n v="20"/>
    <n v="76499.099999999991"/>
    <s v="6 Months"/>
  </r>
  <r>
    <x v="422"/>
    <n v="585668"/>
    <n v="46"/>
    <x v="0"/>
    <x v="14"/>
    <x v="0"/>
    <x v="1"/>
    <x v="2"/>
    <x v="4"/>
    <x v="2"/>
    <x v="4"/>
    <n v="5"/>
    <n v="69999"/>
    <n v="8"/>
    <n v="321995.40000000002"/>
    <n v="4.8"/>
    <n v="20"/>
    <n v="62999.1"/>
    <s v="6 Months"/>
  </r>
  <r>
    <x v="423"/>
    <n v="5140252"/>
    <n v="34"/>
    <x v="0"/>
    <x v="14"/>
    <x v="2"/>
    <x v="2"/>
    <x v="1"/>
    <x v="5"/>
    <x v="2"/>
    <x v="4"/>
    <n v="11"/>
    <n v="42999"/>
    <n v="15"/>
    <n v="402040.65"/>
    <n v="4.5999999999999996"/>
    <n v="20"/>
    <n v="85138.02"/>
    <s v="6 Months"/>
  </r>
  <r>
    <x v="424"/>
    <n v="5694760"/>
    <n v="27"/>
    <x v="0"/>
    <x v="15"/>
    <x v="0"/>
    <x v="3"/>
    <x v="0"/>
    <x v="0"/>
    <x v="0"/>
    <x v="0"/>
    <n v="4"/>
    <n v="99999"/>
    <n v="10"/>
    <n v="359996.4"/>
    <n v="4.7"/>
    <n v="20"/>
    <n v="71999.28"/>
    <s v="1 Year"/>
  </r>
  <r>
    <x v="425"/>
    <n v="823948"/>
    <n v="40"/>
    <x v="0"/>
    <x v="15"/>
    <x v="0"/>
    <x v="2"/>
    <x v="1"/>
    <x v="1"/>
    <x v="1"/>
    <x v="0"/>
    <n v="46"/>
    <n v="4999"/>
    <n v="18"/>
    <n v="188562.28"/>
    <n v="4.4000000000000004"/>
    <n v="20"/>
    <n v="41391.72"/>
    <s v="6 Months"/>
  </r>
  <r>
    <x v="426"/>
    <n v="8869312"/>
    <n v="18"/>
    <x v="2"/>
    <x v="15"/>
    <x v="0"/>
    <x v="0"/>
    <x v="2"/>
    <x v="2"/>
    <x v="1"/>
    <x v="0"/>
    <n v="12"/>
    <n v="24900"/>
    <n v="5"/>
    <n v="283860"/>
    <n v="4.8"/>
    <n v="20"/>
    <n v="53784"/>
    <s v="6 Months"/>
  </r>
  <r>
    <x v="427"/>
    <n v="395605"/>
    <n v="29"/>
    <x v="0"/>
    <x v="15"/>
    <x v="0"/>
    <x v="3"/>
    <x v="3"/>
    <x v="3"/>
    <x v="0"/>
    <x v="0"/>
    <n v="2"/>
    <n v="84999"/>
    <n v="12"/>
    <n v="149598.24"/>
    <n v="4.5"/>
    <n v="20"/>
    <n v="30599.64"/>
    <s v="1 Year"/>
  </r>
  <r>
    <x v="428"/>
    <n v="6399089"/>
    <n v="25"/>
    <x v="0"/>
    <x v="15"/>
    <x v="0"/>
    <x v="0"/>
    <x v="2"/>
    <x v="4"/>
    <x v="2"/>
    <x v="0"/>
    <n v="3"/>
    <n v="69999"/>
    <n v="8"/>
    <n v="193197.24"/>
    <n v="4.8"/>
    <n v="20"/>
    <n v="37799.46"/>
    <s v="1 Year"/>
  </r>
  <r>
    <x v="429"/>
    <n v="3884074"/>
    <n v="73"/>
    <x v="1"/>
    <x v="15"/>
    <x v="0"/>
    <x v="3"/>
    <x v="1"/>
    <x v="5"/>
    <x v="2"/>
    <x v="0"/>
    <n v="7"/>
    <n v="42999"/>
    <n v="15"/>
    <n v="255844.05"/>
    <n v="4.5999999999999996"/>
    <n v="20"/>
    <n v="54178.74"/>
    <s v="1 Year"/>
  </r>
  <r>
    <x v="430"/>
    <n v="7035656"/>
    <n v="18"/>
    <x v="2"/>
    <x v="15"/>
    <x v="0"/>
    <x v="3"/>
    <x v="0"/>
    <x v="0"/>
    <x v="0"/>
    <x v="1"/>
    <n v="3"/>
    <n v="99999"/>
    <n v="10"/>
    <n v="269997.3"/>
    <n v="4.7"/>
    <n v="20"/>
    <n v="53999.46"/>
    <s v="1 Year"/>
  </r>
  <r>
    <x v="431"/>
    <n v="1229439"/>
    <n v="33"/>
    <x v="0"/>
    <x v="15"/>
    <x v="0"/>
    <x v="4"/>
    <x v="1"/>
    <x v="1"/>
    <x v="1"/>
    <x v="1"/>
    <n v="47"/>
    <n v="4999"/>
    <n v="18"/>
    <n v="192661.46"/>
    <n v="4.4000000000000004"/>
    <n v="20"/>
    <n v="42291.54"/>
    <s v="6 Months"/>
  </r>
  <r>
    <x v="432"/>
    <n v="4947593"/>
    <n v="29"/>
    <x v="0"/>
    <x v="15"/>
    <x v="0"/>
    <x v="2"/>
    <x v="2"/>
    <x v="2"/>
    <x v="1"/>
    <x v="1"/>
    <n v="8"/>
    <n v="24900"/>
    <n v="5"/>
    <n v="189240"/>
    <n v="4.8"/>
    <n v="20"/>
    <n v="35856"/>
    <s v="1 Year"/>
  </r>
  <r>
    <x v="433"/>
    <n v="4491188"/>
    <n v="63"/>
    <x v="1"/>
    <x v="15"/>
    <x v="0"/>
    <x v="2"/>
    <x v="3"/>
    <x v="3"/>
    <x v="0"/>
    <x v="1"/>
    <n v="3"/>
    <n v="84999"/>
    <n v="12"/>
    <n v="224397.36"/>
    <n v="4.5"/>
    <n v="20"/>
    <n v="45899.46"/>
    <s v="6 Months"/>
  </r>
  <r>
    <x v="433"/>
    <n v="4491188"/>
    <n v="64"/>
    <x v="1"/>
    <x v="15"/>
    <x v="2"/>
    <x v="0"/>
    <x v="2"/>
    <x v="4"/>
    <x v="2"/>
    <x v="1"/>
    <n v="5"/>
    <n v="69999"/>
    <n v="8"/>
    <n v="321995.40000000002"/>
    <n v="4.8"/>
    <n v="20"/>
    <n v="62999.1"/>
    <s v="6 Months"/>
  </r>
  <r>
    <x v="434"/>
    <n v="1775998"/>
    <n v="35"/>
    <x v="0"/>
    <x v="15"/>
    <x v="0"/>
    <x v="2"/>
    <x v="1"/>
    <x v="5"/>
    <x v="2"/>
    <x v="1"/>
    <n v="9"/>
    <n v="42999"/>
    <n v="15"/>
    <n v="328942.34999999998"/>
    <n v="4.5999999999999996"/>
    <n v="20"/>
    <n v="69658.38"/>
    <s v="6 Months"/>
  </r>
  <r>
    <x v="435"/>
    <n v="8876998"/>
    <n v="23"/>
    <x v="0"/>
    <x v="15"/>
    <x v="0"/>
    <x v="3"/>
    <x v="0"/>
    <x v="0"/>
    <x v="0"/>
    <x v="2"/>
    <n v="6"/>
    <n v="99999"/>
    <n v="10"/>
    <n v="539994.6"/>
    <n v="4.7"/>
    <n v="20"/>
    <n v="107998.92"/>
    <s v="6 Months"/>
  </r>
  <r>
    <x v="436"/>
    <n v="216823"/>
    <n v="33"/>
    <x v="0"/>
    <x v="15"/>
    <x v="0"/>
    <x v="2"/>
    <x v="1"/>
    <x v="1"/>
    <x v="1"/>
    <x v="2"/>
    <n v="38"/>
    <n v="4999"/>
    <n v="18"/>
    <n v="155768.84"/>
    <n v="4.4000000000000004"/>
    <n v="20"/>
    <n v="34193.159999999996"/>
    <s v="1 Year"/>
  </r>
  <r>
    <x v="437"/>
    <n v="1863792"/>
    <n v="49"/>
    <x v="0"/>
    <x v="15"/>
    <x v="0"/>
    <x v="5"/>
    <x v="2"/>
    <x v="2"/>
    <x v="1"/>
    <x v="2"/>
    <n v="10"/>
    <n v="24900"/>
    <n v="5"/>
    <n v="236550"/>
    <n v="4.8"/>
    <n v="20"/>
    <n v="44820"/>
    <s v="6 Months"/>
  </r>
  <r>
    <x v="438"/>
    <n v="1002340"/>
    <n v="52"/>
    <x v="1"/>
    <x v="15"/>
    <x v="0"/>
    <x v="3"/>
    <x v="3"/>
    <x v="3"/>
    <x v="0"/>
    <x v="2"/>
    <n v="4"/>
    <n v="84999"/>
    <n v="12"/>
    <n v="299196.48"/>
    <n v="4.5"/>
    <n v="20"/>
    <n v="61199.28"/>
    <s v="1 Year"/>
  </r>
  <r>
    <x v="439"/>
    <n v="2216196"/>
    <n v="29"/>
    <x v="0"/>
    <x v="15"/>
    <x v="0"/>
    <x v="1"/>
    <x v="2"/>
    <x v="4"/>
    <x v="2"/>
    <x v="2"/>
    <n v="6"/>
    <n v="69999"/>
    <n v="8"/>
    <n v="386394.48"/>
    <n v="4.8"/>
    <n v="20"/>
    <n v="75598.92"/>
    <s v="1 Year"/>
  </r>
  <r>
    <x v="440"/>
    <n v="4300165"/>
    <n v="38"/>
    <x v="0"/>
    <x v="15"/>
    <x v="0"/>
    <x v="4"/>
    <x v="1"/>
    <x v="5"/>
    <x v="2"/>
    <x v="2"/>
    <n v="7"/>
    <n v="42999"/>
    <n v="15"/>
    <n v="255844.05"/>
    <n v="4.5999999999999996"/>
    <n v="20"/>
    <n v="54178.74"/>
    <s v="1 Year"/>
  </r>
  <r>
    <x v="441"/>
    <n v="8400190"/>
    <n v="18"/>
    <x v="2"/>
    <x v="15"/>
    <x v="0"/>
    <x v="4"/>
    <x v="0"/>
    <x v="0"/>
    <x v="0"/>
    <x v="3"/>
    <n v="5"/>
    <n v="99999"/>
    <n v="10"/>
    <n v="449995.5"/>
    <n v="4.7"/>
    <n v="20"/>
    <n v="89999.099999999991"/>
    <s v="1 Year"/>
  </r>
  <r>
    <x v="442"/>
    <n v="9113248"/>
    <n v="18"/>
    <x v="2"/>
    <x v="15"/>
    <x v="0"/>
    <x v="3"/>
    <x v="1"/>
    <x v="1"/>
    <x v="1"/>
    <x v="3"/>
    <n v="54"/>
    <n v="4999"/>
    <n v="18"/>
    <n v="221355.72"/>
    <n v="4.4000000000000004"/>
    <n v="20"/>
    <n v="48590.28"/>
    <s v="1 Year"/>
  </r>
  <r>
    <x v="443"/>
    <n v="5520338"/>
    <n v="33"/>
    <x v="0"/>
    <x v="15"/>
    <x v="0"/>
    <x v="4"/>
    <x v="2"/>
    <x v="2"/>
    <x v="1"/>
    <x v="3"/>
    <n v="8"/>
    <n v="24900"/>
    <n v="5"/>
    <n v="189240"/>
    <n v="4.8"/>
    <n v="20"/>
    <n v="35856"/>
    <s v="6 Months"/>
  </r>
  <r>
    <x v="444"/>
    <n v="5510344"/>
    <n v="59"/>
    <x v="1"/>
    <x v="15"/>
    <x v="0"/>
    <x v="3"/>
    <x v="3"/>
    <x v="3"/>
    <x v="0"/>
    <x v="3"/>
    <n v="3"/>
    <n v="84999"/>
    <n v="12"/>
    <n v="224397.36"/>
    <n v="4.5"/>
    <n v="20"/>
    <n v="45899.46"/>
    <s v="1 Year"/>
  </r>
  <r>
    <x v="445"/>
    <n v="648743"/>
    <n v="57"/>
    <x v="1"/>
    <x v="15"/>
    <x v="0"/>
    <x v="2"/>
    <x v="2"/>
    <x v="4"/>
    <x v="2"/>
    <x v="3"/>
    <n v="2"/>
    <n v="69999"/>
    <n v="8"/>
    <n v="128798.16"/>
    <n v="4.8"/>
    <n v="20"/>
    <n v="25199.64"/>
    <s v="6 Months"/>
  </r>
  <r>
    <x v="446"/>
    <n v="4525940"/>
    <n v="62"/>
    <x v="1"/>
    <x v="15"/>
    <x v="0"/>
    <x v="1"/>
    <x v="1"/>
    <x v="5"/>
    <x v="2"/>
    <x v="3"/>
    <n v="6"/>
    <n v="42999"/>
    <n v="15"/>
    <n v="219294.9"/>
    <n v="4.5999999999999996"/>
    <n v="20"/>
    <n v="46438.92"/>
    <s v="1 Year"/>
  </r>
  <r>
    <x v="446"/>
    <n v="4525940"/>
    <n v="36"/>
    <x v="0"/>
    <x v="15"/>
    <x v="0"/>
    <x v="5"/>
    <x v="0"/>
    <x v="0"/>
    <x v="0"/>
    <x v="4"/>
    <n v="5"/>
    <n v="99999"/>
    <n v="10"/>
    <n v="449995.5"/>
    <n v="4.7"/>
    <n v="20"/>
    <n v="89999.099999999991"/>
    <s v="6 Months"/>
  </r>
  <r>
    <x v="447"/>
    <n v="5487299"/>
    <n v="30"/>
    <x v="0"/>
    <x v="15"/>
    <x v="0"/>
    <x v="5"/>
    <x v="1"/>
    <x v="1"/>
    <x v="1"/>
    <x v="4"/>
    <n v="50"/>
    <n v="4999"/>
    <n v="18"/>
    <n v="204959"/>
    <n v="4.4000000000000004"/>
    <n v="20"/>
    <n v="44991"/>
    <s v="1 Year"/>
  </r>
  <r>
    <x v="448"/>
    <n v="3760677"/>
    <n v="40"/>
    <x v="0"/>
    <x v="15"/>
    <x v="0"/>
    <x v="3"/>
    <x v="2"/>
    <x v="2"/>
    <x v="1"/>
    <x v="4"/>
    <n v="11"/>
    <n v="24900"/>
    <n v="5"/>
    <n v="260205"/>
    <n v="4.8"/>
    <n v="20"/>
    <n v="49302"/>
    <s v="1 Year"/>
  </r>
  <r>
    <x v="449"/>
    <n v="3086922"/>
    <n v="23"/>
    <x v="0"/>
    <x v="15"/>
    <x v="2"/>
    <x v="2"/>
    <x v="3"/>
    <x v="3"/>
    <x v="0"/>
    <x v="4"/>
    <n v="3"/>
    <n v="84999"/>
    <n v="12"/>
    <n v="224397.36"/>
    <n v="4.5"/>
    <n v="20"/>
    <n v="45899.46"/>
    <s v="1 Year"/>
  </r>
  <r>
    <x v="450"/>
    <n v="4283216"/>
    <n v="39"/>
    <x v="0"/>
    <x v="15"/>
    <x v="0"/>
    <x v="2"/>
    <x v="2"/>
    <x v="4"/>
    <x v="2"/>
    <x v="4"/>
    <n v="5"/>
    <n v="69999"/>
    <n v="8"/>
    <n v="321995.40000000002"/>
    <n v="4.8"/>
    <n v="20"/>
    <n v="62999.1"/>
    <s v="1 Year"/>
  </r>
  <r>
    <x v="450"/>
    <n v="4283216"/>
    <n v="53"/>
    <x v="1"/>
    <x v="15"/>
    <x v="0"/>
    <x v="3"/>
    <x v="1"/>
    <x v="5"/>
    <x v="2"/>
    <x v="4"/>
    <n v="7"/>
    <n v="42999"/>
    <n v="15"/>
    <n v="255844.05"/>
    <n v="4.5999999999999996"/>
    <n v="20"/>
    <n v="54178.74"/>
    <s v="1 Year"/>
  </r>
  <r>
    <x v="451"/>
    <n v="263159"/>
    <n v="47"/>
    <x v="0"/>
    <x v="16"/>
    <x v="3"/>
    <x v="0"/>
    <x v="0"/>
    <x v="0"/>
    <x v="0"/>
    <x v="0"/>
    <n v="5"/>
    <n v="99999"/>
    <n v="10"/>
    <n v="449995.5"/>
    <n v="4.7"/>
    <n v="20"/>
    <n v="89999.099999999991"/>
    <s v="6 Months"/>
  </r>
  <r>
    <x v="452"/>
    <n v="2735063"/>
    <n v="32"/>
    <x v="0"/>
    <x v="16"/>
    <x v="0"/>
    <x v="2"/>
    <x v="1"/>
    <x v="1"/>
    <x v="1"/>
    <x v="0"/>
    <n v="52"/>
    <n v="4999"/>
    <n v="18"/>
    <n v="213157.36"/>
    <n v="4.4000000000000004"/>
    <n v="20"/>
    <n v="46790.64"/>
    <s v="1 Year"/>
  </r>
  <r>
    <x v="453"/>
    <n v="1908556"/>
    <n v="31"/>
    <x v="0"/>
    <x v="16"/>
    <x v="0"/>
    <x v="2"/>
    <x v="2"/>
    <x v="2"/>
    <x v="1"/>
    <x v="0"/>
    <n v="11"/>
    <n v="24900"/>
    <n v="5"/>
    <n v="260205"/>
    <n v="4.8"/>
    <n v="20"/>
    <n v="49302"/>
    <s v="6 Months"/>
  </r>
  <r>
    <x v="454"/>
    <n v="263726"/>
    <n v="57"/>
    <x v="1"/>
    <x v="16"/>
    <x v="0"/>
    <x v="0"/>
    <x v="3"/>
    <x v="3"/>
    <x v="0"/>
    <x v="0"/>
    <n v="6"/>
    <n v="84999"/>
    <n v="12"/>
    <n v="448794.72"/>
    <n v="4.5"/>
    <n v="20"/>
    <n v="91798.92"/>
    <s v="6 Months"/>
  </r>
  <r>
    <x v="455"/>
    <n v="828016"/>
    <n v="34"/>
    <x v="0"/>
    <x v="16"/>
    <x v="0"/>
    <x v="0"/>
    <x v="2"/>
    <x v="4"/>
    <x v="2"/>
    <x v="0"/>
    <n v="3"/>
    <n v="69999"/>
    <n v="8"/>
    <n v="193197.24"/>
    <n v="4.8"/>
    <n v="20"/>
    <n v="37799.46"/>
    <s v="6 Months"/>
  </r>
  <r>
    <x v="456"/>
    <n v="3510246"/>
    <n v="18"/>
    <x v="2"/>
    <x v="16"/>
    <x v="0"/>
    <x v="2"/>
    <x v="1"/>
    <x v="5"/>
    <x v="2"/>
    <x v="0"/>
    <n v="11"/>
    <n v="42999"/>
    <n v="15"/>
    <n v="402040.65"/>
    <n v="4.5999999999999996"/>
    <n v="20"/>
    <n v="85138.02"/>
    <s v="1 Year"/>
  </r>
  <r>
    <x v="457"/>
    <n v="1562996"/>
    <n v="23"/>
    <x v="0"/>
    <x v="16"/>
    <x v="0"/>
    <x v="0"/>
    <x v="0"/>
    <x v="0"/>
    <x v="0"/>
    <x v="1"/>
    <n v="4"/>
    <n v="99999"/>
    <n v="10"/>
    <n v="359996.4"/>
    <n v="4.7"/>
    <n v="20"/>
    <n v="71999.28"/>
    <s v="1 Year"/>
  </r>
  <r>
    <x v="457"/>
    <n v="1562996"/>
    <n v="69"/>
    <x v="1"/>
    <x v="16"/>
    <x v="0"/>
    <x v="1"/>
    <x v="1"/>
    <x v="1"/>
    <x v="1"/>
    <x v="1"/>
    <n v="33"/>
    <n v="4999"/>
    <n v="18"/>
    <n v="135272.94"/>
    <n v="4.4000000000000004"/>
    <n v="20"/>
    <n v="29694.059999999998"/>
    <s v="1 Year"/>
  </r>
  <r>
    <x v="458"/>
    <n v="1412370"/>
    <n v="32"/>
    <x v="0"/>
    <x v="16"/>
    <x v="0"/>
    <x v="2"/>
    <x v="2"/>
    <x v="2"/>
    <x v="1"/>
    <x v="1"/>
    <n v="7"/>
    <n v="24900"/>
    <n v="5"/>
    <n v="165585"/>
    <n v="4.8"/>
    <n v="20"/>
    <n v="31374"/>
    <s v="1 Year"/>
  </r>
  <r>
    <x v="459"/>
    <n v="195090"/>
    <n v="31"/>
    <x v="0"/>
    <x v="16"/>
    <x v="3"/>
    <x v="3"/>
    <x v="3"/>
    <x v="3"/>
    <x v="0"/>
    <x v="1"/>
    <n v="3"/>
    <n v="84999"/>
    <n v="12"/>
    <n v="224397.36"/>
    <n v="4.5"/>
    <n v="20"/>
    <n v="45899.46"/>
    <s v="6 Months"/>
  </r>
  <r>
    <x v="460"/>
    <n v="4805720"/>
    <n v="48"/>
    <x v="0"/>
    <x v="16"/>
    <x v="2"/>
    <x v="3"/>
    <x v="2"/>
    <x v="4"/>
    <x v="2"/>
    <x v="1"/>
    <n v="6"/>
    <n v="69999"/>
    <n v="8"/>
    <n v="386394.48"/>
    <n v="4.8"/>
    <n v="20"/>
    <n v="75598.92"/>
    <s v="1 Year"/>
  </r>
  <r>
    <x v="461"/>
    <n v="1482595"/>
    <n v="55"/>
    <x v="1"/>
    <x v="16"/>
    <x v="0"/>
    <x v="5"/>
    <x v="1"/>
    <x v="5"/>
    <x v="2"/>
    <x v="1"/>
    <n v="7"/>
    <n v="42999"/>
    <n v="15"/>
    <n v="255844.05"/>
    <n v="4.5999999999999996"/>
    <n v="20"/>
    <n v="54178.74"/>
    <s v="1 Year"/>
  </r>
  <r>
    <x v="462"/>
    <n v="561569"/>
    <n v="74"/>
    <x v="1"/>
    <x v="16"/>
    <x v="0"/>
    <x v="2"/>
    <x v="0"/>
    <x v="0"/>
    <x v="0"/>
    <x v="2"/>
    <n v="6"/>
    <n v="99999"/>
    <n v="10"/>
    <n v="539994.6"/>
    <n v="4.7"/>
    <n v="20"/>
    <n v="107998.92"/>
    <s v="1 Year"/>
  </r>
  <r>
    <x v="463"/>
    <n v="9913700"/>
    <n v="28"/>
    <x v="0"/>
    <x v="16"/>
    <x v="0"/>
    <x v="3"/>
    <x v="1"/>
    <x v="1"/>
    <x v="1"/>
    <x v="2"/>
    <n v="41"/>
    <n v="4999"/>
    <n v="18"/>
    <n v="168066.38"/>
    <n v="4.4000000000000004"/>
    <n v="20"/>
    <n v="36892.619999999995"/>
    <s v="1 Year"/>
  </r>
  <r>
    <x v="464"/>
    <n v="6038553"/>
    <n v="21"/>
    <x v="0"/>
    <x v="16"/>
    <x v="0"/>
    <x v="1"/>
    <x v="2"/>
    <x v="2"/>
    <x v="1"/>
    <x v="2"/>
    <n v="13"/>
    <n v="24900"/>
    <n v="5"/>
    <n v="307515"/>
    <n v="4.8"/>
    <n v="20"/>
    <n v="58266"/>
    <s v="1 Year"/>
  </r>
  <r>
    <x v="465"/>
    <n v="3491457"/>
    <n v="32"/>
    <x v="0"/>
    <x v="16"/>
    <x v="0"/>
    <x v="1"/>
    <x v="3"/>
    <x v="3"/>
    <x v="0"/>
    <x v="2"/>
    <n v="6"/>
    <n v="84999"/>
    <n v="12"/>
    <n v="448794.72"/>
    <n v="4.5"/>
    <n v="20"/>
    <n v="91798.92"/>
    <s v="1 Year"/>
  </r>
  <r>
    <x v="466"/>
    <n v="9395757"/>
    <n v="47"/>
    <x v="0"/>
    <x v="16"/>
    <x v="0"/>
    <x v="2"/>
    <x v="2"/>
    <x v="4"/>
    <x v="2"/>
    <x v="2"/>
    <n v="3"/>
    <n v="69999"/>
    <n v="8"/>
    <n v="193197.24"/>
    <n v="4.8"/>
    <n v="20"/>
    <n v="37799.46"/>
    <s v="1 Year"/>
  </r>
  <r>
    <x v="467"/>
    <n v="5763184"/>
    <n v="30"/>
    <x v="0"/>
    <x v="16"/>
    <x v="0"/>
    <x v="3"/>
    <x v="1"/>
    <x v="5"/>
    <x v="2"/>
    <x v="2"/>
    <n v="10"/>
    <n v="42999"/>
    <n v="15"/>
    <n v="365491.5"/>
    <n v="4.5999999999999996"/>
    <n v="20"/>
    <n v="77398.2"/>
    <s v="1 Year"/>
  </r>
  <r>
    <x v="468"/>
    <n v="3307096"/>
    <n v="38"/>
    <x v="0"/>
    <x v="16"/>
    <x v="0"/>
    <x v="2"/>
    <x v="0"/>
    <x v="0"/>
    <x v="0"/>
    <x v="3"/>
    <n v="4"/>
    <n v="99999"/>
    <n v="10"/>
    <n v="359996.4"/>
    <n v="4.7"/>
    <n v="20"/>
    <n v="71999.28"/>
    <s v="6 Months"/>
  </r>
  <r>
    <x v="469"/>
    <n v="1646848"/>
    <n v="56"/>
    <x v="1"/>
    <x v="16"/>
    <x v="0"/>
    <x v="0"/>
    <x v="1"/>
    <x v="1"/>
    <x v="1"/>
    <x v="3"/>
    <n v="47"/>
    <n v="4999"/>
    <n v="18"/>
    <n v="192661.46"/>
    <n v="4.4000000000000004"/>
    <n v="20"/>
    <n v="42291.54"/>
    <s v="6 Months"/>
  </r>
  <r>
    <x v="470"/>
    <n v="6918550"/>
    <n v="35"/>
    <x v="0"/>
    <x v="16"/>
    <x v="0"/>
    <x v="1"/>
    <x v="2"/>
    <x v="2"/>
    <x v="1"/>
    <x v="3"/>
    <n v="5"/>
    <n v="24900"/>
    <n v="5"/>
    <n v="118275"/>
    <n v="4.8"/>
    <n v="20"/>
    <n v="22410"/>
    <s v="1 Year"/>
  </r>
  <r>
    <x v="471"/>
    <n v="470788"/>
    <n v="44"/>
    <x v="0"/>
    <x v="16"/>
    <x v="0"/>
    <x v="0"/>
    <x v="3"/>
    <x v="3"/>
    <x v="0"/>
    <x v="3"/>
    <n v="5"/>
    <n v="84999"/>
    <n v="12"/>
    <n v="373995.6"/>
    <n v="4.5"/>
    <n v="20"/>
    <n v="76499.099999999991"/>
    <s v="6 Months"/>
  </r>
  <r>
    <x v="472"/>
    <n v="4125863"/>
    <n v="31"/>
    <x v="0"/>
    <x v="16"/>
    <x v="0"/>
    <x v="2"/>
    <x v="2"/>
    <x v="4"/>
    <x v="2"/>
    <x v="3"/>
    <n v="4"/>
    <n v="69999"/>
    <n v="8"/>
    <n v="257596.32"/>
    <n v="4.8"/>
    <n v="20"/>
    <n v="50399.28"/>
    <s v="1 Year"/>
  </r>
  <r>
    <x v="473"/>
    <n v="1619093"/>
    <n v="44"/>
    <x v="0"/>
    <x v="16"/>
    <x v="0"/>
    <x v="0"/>
    <x v="1"/>
    <x v="5"/>
    <x v="2"/>
    <x v="3"/>
    <n v="10"/>
    <n v="42999"/>
    <n v="15"/>
    <n v="365491.5"/>
    <n v="4.5999999999999996"/>
    <n v="20"/>
    <n v="77398.2"/>
    <s v="1 Year"/>
  </r>
  <r>
    <x v="473"/>
    <n v="1619093"/>
    <n v="22"/>
    <x v="0"/>
    <x v="16"/>
    <x v="0"/>
    <x v="0"/>
    <x v="0"/>
    <x v="0"/>
    <x v="0"/>
    <x v="4"/>
    <n v="6"/>
    <n v="99999"/>
    <n v="10"/>
    <n v="539994.6"/>
    <n v="4.7"/>
    <n v="20"/>
    <n v="107998.92"/>
    <s v="6 Months"/>
  </r>
  <r>
    <x v="474"/>
    <n v="3714219"/>
    <n v="53"/>
    <x v="1"/>
    <x v="16"/>
    <x v="3"/>
    <x v="2"/>
    <x v="1"/>
    <x v="1"/>
    <x v="1"/>
    <x v="4"/>
    <n v="50"/>
    <n v="4999"/>
    <n v="18"/>
    <n v="204959"/>
    <n v="4.4000000000000004"/>
    <n v="20"/>
    <n v="44991"/>
    <s v="1 Year"/>
  </r>
  <r>
    <x v="475"/>
    <n v="8275680"/>
    <n v="47"/>
    <x v="0"/>
    <x v="16"/>
    <x v="0"/>
    <x v="5"/>
    <x v="2"/>
    <x v="2"/>
    <x v="1"/>
    <x v="4"/>
    <n v="11"/>
    <n v="24900"/>
    <n v="5"/>
    <n v="260205"/>
    <n v="4.8"/>
    <n v="20"/>
    <n v="49302"/>
    <s v="6 Months"/>
  </r>
  <r>
    <x v="476"/>
    <n v="6032671"/>
    <n v="34"/>
    <x v="0"/>
    <x v="16"/>
    <x v="0"/>
    <x v="2"/>
    <x v="3"/>
    <x v="3"/>
    <x v="0"/>
    <x v="4"/>
    <n v="2"/>
    <n v="84999"/>
    <n v="12"/>
    <n v="149598.24"/>
    <n v="4.5"/>
    <n v="20"/>
    <n v="30599.64"/>
    <s v="6 Months"/>
  </r>
  <r>
    <x v="477"/>
    <n v="6130966"/>
    <n v="18"/>
    <x v="2"/>
    <x v="16"/>
    <x v="3"/>
    <x v="0"/>
    <x v="2"/>
    <x v="4"/>
    <x v="2"/>
    <x v="4"/>
    <n v="2"/>
    <n v="69999"/>
    <n v="8"/>
    <n v="128798.16"/>
    <n v="4.8"/>
    <n v="20"/>
    <n v="25199.64"/>
    <s v="1 Year"/>
  </r>
  <r>
    <x v="478"/>
    <n v="193925"/>
    <n v="68"/>
    <x v="1"/>
    <x v="16"/>
    <x v="0"/>
    <x v="2"/>
    <x v="1"/>
    <x v="5"/>
    <x v="2"/>
    <x v="4"/>
    <n v="6"/>
    <n v="42999"/>
    <n v="15"/>
    <n v="219294.9"/>
    <n v="4.5999999999999996"/>
    <n v="20"/>
    <n v="46438.92"/>
    <s v="1 Year"/>
  </r>
  <r>
    <x v="479"/>
    <n v="5373067"/>
    <n v="61"/>
    <x v="1"/>
    <x v="17"/>
    <x v="0"/>
    <x v="5"/>
    <x v="0"/>
    <x v="0"/>
    <x v="0"/>
    <x v="0"/>
    <n v="3"/>
    <n v="99999"/>
    <n v="10"/>
    <n v="269997.3"/>
    <n v="4.7"/>
    <n v="20"/>
    <n v="53999.46"/>
    <s v="6 Months"/>
  </r>
  <r>
    <x v="480"/>
    <n v="8119281"/>
    <n v="34"/>
    <x v="0"/>
    <x v="17"/>
    <x v="0"/>
    <x v="0"/>
    <x v="1"/>
    <x v="1"/>
    <x v="1"/>
    <x v="0"/>
    <n v="54"/>
    <n v="4999"/>
    <n v="18"/>
    <n v="221355.72"/>
    <n v="4.4000000000000004"/>
    <n v="20"/>
    <n v="48590.28"/>
    <s v="6 Months"/>
  </r>
  <r>
    <x v="481"/>
    <n v="1994630"/>
    <n v="22"/>
    <x v="0"/>
    <x v="17"/>
    <x v="0"/>
    <x v="5"/>
    <x v="2"/>
    <x v="2"/>
    <x v="1"/>
    <x v="0"/>
    <n v="9"/>
    <n v="24900"/>
    <n v="5"/>
    <n v="212895"/>
    <n v="4.8"/>
    <n v="20"/>
    <n v="40338"/>
    <s v="1 Year"/>
  </r>
  <r>
    <x v="482"/>
    <n v="4549965"/>
    <n v="40"/>
    <x v="0"/>
    <x v="17"/>
    <x v="0"/>
    <x v="1"/>
    <x v="3"/>
    <x v="3"/>
    <x v="0"/>
    <x v="0"/>
    <n v="4"/>
    <n v="84999"/>
    <n v="12"/>
    <n v="299196.48"/>
    <n v="4.5"/>
    <n v="20"/>
    <n v="61199.28"/>
    <s v="1 Year"/>
  </r>
  <r>
    <x v="483"/>
    <n v="8673"/>
    <n v="39"/>
    <x v="0"/>
    <x v="17"/>
    <x v="0"/>
    <x v="2"/>
    <x v="2"/>
    <x v="4"/>
    <x v="2"/>
    <x v="0"/>
    <n v="2"/>
    <n v="69999"/>
    <n v="8"/>
    <n v="128798.16"/>
    <n v="4.8"/>
    <n v="20"/>
    <n v="25199.64"/>
    <s v="1 Year"/>
  </r>
  <r>
    <x v="484"/>
    <n v="4166762"/>
    <n v="59"/>
    <x v="1"/>
    <x v="17"/>
    <x v="0"/>
    <x v="2"/>
    <x v="1"/>
    <x v="5"/>
    <x v="2"/>
    <x v="0"/>
    <n v="6"/>
    <n v="42999"/>
    <n v="15"/>
    <n v="219294.9"/>
    <n v="4.5999999999999996"/>
    <n v="20"/>
    <n v="46438.92"/>
    <s v="1 Year"/>
  </r>
  <r>
    <x v="485"/>
    <n v="8960622"/>
    <n v="46"/>
    <x v="0"/>
    <x v="17"/>
    <x v="0"/>
    <x v="3"/>
    <x v="0"/>
    <x v="0"/>
    <x v="0"/>
    <x v="1"/>
    <n v="3"/>
    <n v="99999"/>
    <n v="10"/>
    <n v="269997.3"/>
    <n v="4.7"/>
    <n v="20"/>
    <n v="53999.46"/>
    <s v="6 Months"/>
  </r>
  <r>
    <x v="486"/>
    <n v="634942"/>
    <n v="66"/>
    <x v="1"/>
    <x v="17"/>
    <x v="0"/>
    <x v="2"/>
    <x v="1"/>
    <x v="1"/>
    <x v="1"/>
    <x v="1"/>
    <n v="35"/>
    <n v="4999"/>
    <n v="18"/>
    <n v="143471.29999999999"/>
    <n v="4.4000000000000004"/>
    <n v="20"/>
    <n v="31493.699999999997"/>
    <s v="1 Year"/>
  </r>
  <r>
    <x v="487"/>
    <n v="5158965"/>
    <n v="19"/>
    <x v="2"/>
    <x v="17"/>
    <x v="0"/>
    <x v="0"/>
    <x v="2"/>
    <x v="2"/>
    <x v="1"/>
    <x v="1"/>
    <n v="13"/>
    <n v="24900"/>
    <n v="5"/>
    <n v="307515"/>
    <n v="4.8"/>
    <n v="20"/>
    <n v="58266"/>
    <s v="6 Months"/>
  </r>
  <r>
    <x v="488"/>
    <n v="5490746"/>
    <n v="29"/>
    <x v="0"/>
    <x v="17"/>
    <x v="0"/>
    <x v="5"/>
    <x v="3"/>
    <x v="3"/>
    <x v="0"/>
    <x v="1"/>
    <n v="5"/>
    <n v="84999"/>
    <n v="12"/>
    <n v="373995.6"/>
    <n v="4.5"/>
    <n v="20"/>
    <n v="76499.099999999991"/>
    <s v="6 Months"/>
  </r>
  <r>
    <x v="489"/>
    <n v="7528511"/>
    <n v="45"/>
    <x v="0"/>
    <x v="17"/>
    <x v="0"/>
    <x v="1"/>
    <x v="2"/>
    <x v="4"/>
    <x v="2"/>
    <x v="1"/>
    <n v="6"/>
    <n v="69999"/>
    <n v="8"/>
    <n v="386394.48"/>
    <n v="4.8"/>
    <n v="20"/>
    <n v="75598.92"/>
    <s v="1 Year"/>
  </r>
  <r>
    <x v="490"/>
    <n v="4047531"/>
    <n v="25"/>
    <x v="0"/>
    <x v="17"/>
    <x v="0"/>
    <x v="3"/>
    <x v="1"/>
    <x v="5"/>
    <x v="2"/>
    <x v="1"/>
    <n v="10"/>
    <n v="42999"/>
    <n v="15"/>
    <n v="365491.5"/>
    <n v="4.5999999999999996"/>
    <n v="20"/>
    <n v="77398.2"/>
    <s v="6 Months"/>
  </r>
  <r>
    <x v="491"/>
    <n v="2277333"/>
    <n v="54"/>
    <x v="1"/>
    <x v="17"/>
    <x v="0"/>
    <x v="2"/>
    <x v="0"/>
    <x v="0"/>
    <x v="0"/>
    <x v="2"/>
    <n v="4"/>
    <n v="99999"/>
    <n v="10"/>
    <n v="359996.4"/>
    <n v="4.7"/>
    <n v="20"/>
    <n v="71999.28"/>
    <s v="1 Year"/>
  </r>
  <r>
    <x v="492"/>
    <n v="6993353"/>
    <n v="33"/>
    <x v="0"/>
    <x v="17"/>
    <x v="0"/>
    <x v="3"/>
    <x v="1"/>
    <x v="1"/>
    <x v="1"/>
    <x v="2"/>
    <n v="51"/>
    <n v="4999"/>
    <n v="18"/>
    <n v="209058.18"/>
    <n v="4.4000000000000004"/>
    <n v="20"/>
    <n v="45890.82"/>
    <s v="1 Year"/>
  </r>
  <r>
    <x v="493"/>
    <n v="7209804"/>
    <n v="24"/>
    <x v="0"/>
    <x v="17"/>
    <x v="3"/>
    <x v="3"/>
    <x v="2"/>
    <x v="2"/>
    <x v="1"/>
    <x v="2"/>
    <n v="10"/>
    <n v="24900"/>
    <n v="5"/>
    <n v="236550"/>
    <n v="4.8"/>
    <n v="20"/>
    <n v="44820"/>
    <s v="1 Year"/>
  </r>
  <r>
    <x v="494"/>
    <n v="2721307"/>
    <n v="28"/>
    <x v="0"/>
    <x v="17"/>
    <x v="0"/>
    <x v="3"/>
    <x v="3"/>
    <x v="3"/>
    <x v="0"/>
    <x v="2"/>
    <n v="5"/>
    <n v="84999"/>
    <n v="12"/>
    <n v="373995.6"/>
    <n v="4.5"/>
    <n v="20"/>
    <n v="76499.099999999991"/>
    <s v="1 Year"/>
  </r>
  <r>
    <x v="495"/>
    <n v="4244576"/>
    <n v="40"/>
    <x v="0"/>
    <x v="17"/>
    <x v="0"/>
    <x v="0"/>
    <x v="2"/>
    <x v="4"/>
    <x v="2"/>
    <x v="2"/>
    <n v="5"/>
    <n v="69999"/>
    <n v="8"/>
    <n v="321995.40000000002"/>
    <n v="4.8"/>
    <n v="20"/>
    <n v="62999.1"/>
    <s v="1 Year"/>
  </r>
  <r>
    <x v="496"/>
    <n v="6685847"/>
    <n v="28"/>
    <x v="0"/>
    <x v="17"/>
    <x v="0"/>
    <x v="2"/>
    <x v="1"/>
    <x v="5"/>
    <x v="2"/>
    <x v="2"/>
    <n v="8"/>
    <n v="42999"/>
    <n v="15"/>
    <n v="292393.2"/>
    <n v="4.5999999999999996"/>
    <n v="20"/>
    <n v="61918.559999999998"/>
    <s v="1 Year"/>
  </r>
  <r>
    <x v="496"/>
    <n v="6685847"/>
    <n v="24"/>
    <x v="0"/>
    <x v="17"/>
    <x v="0"/>
    <x v="3"/>
    <x v="0"/>
    <x v="0"/>
    <x v="0"/>
    <x v="3"/>
    <n v="5"/>
    <n v="99999"/>
    <n v="10"/>
    <n v="449995.5"/>
    <n v="4.7"/>
    <n v="20"/>
    <n v="89999.099999999991"/>
    <s v="1 Year"/>
  </r>
  <r>
    <x v="497"/>
    <n v="1981568"/>
    <n v="40"/>
    <x v="0"/>
    <x v="17"/>
    <x v="0"/>
    <x v="2"/>
    <x v="1"/>
    <x v="1"/>
    <x v="1"/>
    <x v="3"/>
    <n v="48"/>
    <n v="4999"/>
    <n v="18"/>
    <n v="196760.64"/>
    <n v="4.4000000000000004"/>
    <n v="20"/>
    <n v="43191.360000000001"/>
    <s v="1 Year"/>
  </r>
  <r>
    <x v="498"/>
    <n v="205757"/>
    <n v="40"/>
    <x v="0"/>
    <x v="17"/>
    <x v="0"/>
    <x v="2"/>
    <x v="2"/>
    <x v="2"/>
    <x v="1"/>
    <x v="3"/>
    <n v="7"/>
    <n v="24900"/>
    <n v="5"/>
    <n v="165585"/>
    <n v="4.8"/>
    <n v="20"/>
    <n v="31374"/>
    <s v="1 Year"/>
  </r>
  <r>
    <x v="499"/>
    <n v="2303396"/>
    <n v="53"/>
    <x v="1"/>
    <x v="17"/>
    <x v="0"/>
    <x v="0"/>
    <x v="3"/>
    <x v="3"/>
    <x v="0"/>
    <x v="3"/>
    <n v="6"/>
    <n v="84999"/>
    <n v="12"/>
    <n v="448794.72"/>
    <n v="4.5"/>
    <n v="20"/>
    <n v="91798.92"/>
    <s v="1 Year"/>
  </r>
  <r>
    <x v="500"/>
    <n v="3553137"/>
    <n v="26"/>
    <x v="0"/>
    <x v="17"/>
    <x v="0"/>
    <x v="3"/>
    <x v="2"/>
    <x v="4"/>
    <x v="2"/>
    <x v="3"/>
    <n v="2"/>
    <n v="69999"/>
    <n v="8"/>
    <n v="128798.16"/>
    <n v="4.8"/>
    <n v="20"/>
    <n v="25199.64"/>
    <s v="1 Year"/>
  </r>
  <r>
    <x v="501"/>
    <n v="7882707"/>
    <n v="78"/>
    <x v="1"/>
    <x v="17"/>
    <x v="0"/>
    <x v="2"/>
    <x v="1"/>
    <x v="5"/>
    <x v="2"/>
    <x v="3"/>
    <n v="11"/>
    <n v="42999"/>
    <n v="15"/>
    <n v="402040.65"/>
    <n v="4.5999999999999996"/>
    <n v="20"/>
    <n v="85138.02"/>
    <s v="6 Months"/>
  </r>
  <r>
    <x v="502"/>
    <n v="1286640"/>
    <n v="61"/>
    <x v="1"/>
    <x v="17"/>
    <x v="0"/>
    <x v="1"/>
    <x v="0"/>
    <x v="0"/>
    <x v="0"/>
    <x v="4"/>
    <n v="6"/>
    <n v="99999"/>
    <n v="10"/>
    <n v="539994.6"/>
    <n v="4.7"/>
    <n v="20"/>
    <n v="107998.92"/>
    <s v="1 Year"/>
  </r>
  <r>
    <x v="503"/>
    <n v="1531245"/>
    <n v="35"/>
    <x v="0"/>
    <x v="17"/>
    <x v="0"/>
    <x v="0"/>
    <x v="1"/>
    <x v="1"/>
    <x v="1"/>
    <x v="4"/>
    <n v="57"/>
    <n v="4999"/>
    <n v="18"/>
    <n v="233653.26"/>
    <n v="4.4000000000000004"/>
    <n v="20"/>
    <n v="51289.74"/>
    <s v="6 Months"/>
  </r>
  <r>
    <x v="504"/>
    <n v="9890628"/>
    <n v="64"/>
    <x v="1"/>
    <x v="17"/>
    <x v="0"/>
    <x v="2"/>
    <x v="2"/>
    <x v="2"/>
    <x v="1"/>
    <x v="4"/>
    <n v="7"/>
    <n v="24900"/>
    <n v="5"/>
    <n v="165585"/>
    <n v="4.8"/>
    <n v="20"/>
    <n v="31374"/>
    <s v="1 Year"/>
  </r>
  <r>
    <x v="505"/>
    <n v="6101159"/>
    <n v="43"/>
    <x v="0"/>
    <x v="17"/>
    <x v="0"/>
    <x v="0"/>
    <x v="3"/>
    <x v="3"/>
    <x v="0"/>
    <x v="4"/>
    <n v="3"/>
    <n v="84999"/>
    <n v="12"/>
    <n v="224397.36"/>
    <n v="4.5"/>
    <n v="20"/>
    <n v="45899.46"/>
    <s v="1 Year"/>
  </r>
  <r>
    <x v="506"/>
    <n v="5964555"/>
    <n v="36"/>
    <x v="0"/>
    <x v="17"/>
    <x v="0"/>
    <x v="2"/>
    <x v="2"/>
    <x v="4"/>
    <x v="2"/>
    <x v="4"/>
    <n v="6"/>
    <n v="69999"/>
    <n v="8"/>
    <n v="386394.48"/>
    <n v="4.8"/>
    <n v="20"/>
    <n v="75598.92"/>
    <s v="6 Months"/>
  </r>
  <r>
    <x v="507"/>
    <n v="2410897"/>
    <n v="33"/>
    <x v="0"/>
    <x v="17"/>
    <x v="0"/>
    <x v="2"/>
    <x v="1"/>
    <x v="5"/>
    <x v="2"/>
    <x v="4"/>
    <n v="10"/>
    <n v="42999"/>
    <n v="15"/>
    <n v="365491.5"/>
    <n v="4.5999999999999996"/>
    <n v="20"/>
    <n v="77398.2"/>
    <s v="1 Year"/>
  </r>
  <r>
    <x v="508"/>
    <n v="6177297"/>
    <n v="44"/>
    <x v="0"/>
    <x v="18"/>
    <x v="0"/>
    <x v="3"/>
    <x v="0"/>
    <x v="0"/>
    <x v="0"/>
    <x v="0"/>
    <n v="5"/>
    <n v="99999"/>
    <n v="10"/>
    <n v="449995.5"/>
    <n v="4.7"/>
    <n v="20"/>
    <n v="89999.099999999991"/>
    <s v="1 Year"/>
  </r>
  <r>
    <x v="509"/>
    <n v="8813507"/>
    <n v="19"/>
    <x v="2"/>
    <x v="18"/>
    <x v="0"/>
    <x v="0"/>
    <x v="1"/>
    <x v="1"/>
    <x v="1"/>
    <x v="0"/>
    <n v="52"/>
    <n v="4999"/>
    <n v="18"/>
    <n v="213157.36"/>
    <n v="4.4000000000000004"/>
    <n v="20"/>
    <n v="46790.64"/>
    <s v="6 Months"/>
  </r>
  <r>
    <x v="510"/>
    <n v="1973643"/>
    <n v="20"/>
    <x v="0"/>
    <x v="18"/>
    <x v="0"/>
    <x v="2"/>
    <x v="2"/>
    <x v="2"/>
    <x v="1"/>
    <x v="0"/>
    <n v="5"/>
    <n v="24900"/>
    <n v="5"/>
    <n v="118275"/>
    <n v="4.8"/>
    <n v="20"/>
    <n v="22410"/>
    <s v="1 Year"/>
  </r>
  <r>
    <x v="511"/>
    <n v="8630605"/>
    <n v="47"/>
    <x v="0"/>
    <x v="18"/>
    <x v="0"/>
    <x v="0"/>
    <x v="3"/>
    <x v="3"/>
    <x v="0"/>
    <x v="0"/>
    <n v="2"/>
    <n v="84999"/>
    <n v="12"/>
    <n v="149598.24"/>
    <n v="4.5"/>
    <n v="20"/>
    <n v="30599.64"/>
    <s v="1 Year"/>
  </r>
  <r>
    <x v="511"/>
    <n v="8630605"/>
    <n v="62"/>
    <x v="1"/>
    <x v="18"/>
    <x v="0"/>
    <x v="2"/>
    <x v="2"/>
    <x v="4"/>
    <x v="2"/>
    <x v="0"/>
    <n v="3"/>
    <n v="69999"/>
    <n v="8"/>
    <n v="193197.24"/>
    <n v="4.8"/>
    <n v="20"/>
    <n v="37799.46"/>
    <s v="6 Months"/>
  </r>
  <r>
    <x v="511"/>
    <n v="8630605"/>
    <n v="24"/>
    <x v="0"/>
    <x v="18"/>
    <x v="0"/>
    <x v="0"/>
    <x v="1"/>
    <x v="5"/>
    <x v="2"/>
    <x v="0"/>
    <n v="8"/>
    <n v="42999"/>
    <n v="15"/>
    <n v="292393.2"/>
    <n v="4.5999999999999996"/>
    <n v="20"/>
    <n v="61918.559999999998"/>
    <s v="6 Months"/>
  </r>
  <r>
    <x v="512"/>
    <n v="8611373"/>
    <n v="50"/>
    <x v="1"/>
    <x v="18"/>
    <x v="0"/>
    <x v="0"/>
    <x v="0"/>
    <x v="0"/>
    <x v="0"/>
    <x v="1"/>
    <n v="5"/>
    <n v="99999"/>
    <n v="10"/>
    <n v="449995.5"/>
    <n v="4.7"/>
    <n v="20"/>
    <n v="89999.099999999991"/>
    <s v="1 Year"/>
  </r>
  <r>
    <x v="513"/>
    <n v="2044365"/>
    <n v="39"/>
    <x v="0"/>
    <x v="18"/>
    <x v="0"/>
    <x v="2"/>
    <x v="1"/>
    <x v="1"/>
    <x v="1"/>
    <x v="1"/>
    <n v="38"/>
    <n v="4999"/>
    <n v="18"/>
    <n v="155768.84"/>
    <n v="4.4000000000000004"/>
    <n v="20"/>
    <n v="34193.159999999996"/>
    <s v="6 Months"/>
  </r>
  <r>
    <x v="514"/>
    <n v="8151832"/>
    <n v="46"/>
    <x v="0"/>
    <x v="18"/>
    <x v="0"/>
    <x v="2"/>
    <x v="2"/>
    <x v="2"/>
    <x v="1"/>
    <x v="1"/>
    <n v="6"/>
    <n v="24900"/>
    <n v="5"/>
    <n v="141930"/>
    <n v="4.8"/>
    <n v="20"/>
    <n v="26892"/>
    <s v="1 Year"/>
  </r>
  <r>
    <x v="515"/>
    <n v="2235887"/>
    <n v="23"/>
    <x v="0"/>
    <x v="18"/>
    <x v="0"/>
    <x v="2"/>
    <x v="3"/>
    <x v="3"/>
    <x v="0"/>
    <x v="1"/>
    <n v="2"/>
    <n v="84999"/>
    <n v="12"/>
    <n v="149598.24"/>
    <n v="4.5"/>
    <n v="20"/>
    <n v="30599.64"/>
    <s v="6 Months"/>
  </r>
  <r>
    <x v="516"/>
    <n v="3998205"/>
    <n v="57"/>
    <x v="1"/>
    <x v="18"/>
    <x v="0"/>
    <x v="3"/>
    <x v="2"/>
    <x v="4"/>
    <x v="2"/>
    <x v="1"/>
    <n v="5"/>
    <n v="69999"/>
    <n v="8"/>
    <n v="321995.40000000002"/>
    <n v="4.8"/>
    <n v="20"/>
    <n v="62999.1"/>
    <s v="1 Year"/>
  </r>
  <r>
    <x v="517"/>
    <n v="5548596"/>
    <n v="34"/>
    <x v="0"/>
    <x v="18"/>
    <x v="0"/>
    <x v="2"/>
    <x v="1"/>
    <x v="5"/>
    <x v="2"/>
    <x v="1"/>
    <n v="6"/>
    <n v="42999"/>
    <n v="15"/>
    <n v="219294.9"/>
    <n v="4.5999999999999996"/>
    <n v="20"/>
    <n v="46438.92"/>
    <s v="1 Year"/>
  </r>
  <r>
    <x v="518"/>
    <n v="252614"/>
    <n v="23"/>
    <x v="0"/>
    <x v="18"/>
    <x v="0"/>
    <x v="2"/>
    <x v="0"/>
    <x v="0"/>
    <x v="0"/>
    <x v="2"/>
    <n v="4"/>
    <n v="99999"/>
    <n v="10"/>
    <n v="359996.4"/>
    <n v="4.7"/>
    <n v="20"/>
    <n v="71999.28"/>
    <s v="1 Year"/>
  </r>
  <r>
    <x v="519"/>
    <n v="5497113"/>
    <n v="28"/>
    <x v="0"/>
    <x v="18"/>
    <x v="0"/>
    <x v="4"/>
    <x v="1"/>
    <x v="1"/>
    <x v="1"/>
    <x v="2"/>
    <n v="31"/>
    <n v="4999"/>
    <n v="18"/>
    <n v="127074.58"/>
    <n v="4.4000000000000004"/>
    <n v="20"/>
    <n v="27894.42"/>
    <s v="6 Months"/>
  </r>
  <r>
    <x v="520"/>
    <n v="4640147"/>
    <n v="51"/>
    <x v="1"/>
    <x v="18"/>
    <x v="0"/>
    <x v="2"/>
    <x v="2"/>
    <x v="2"/>
    <x v="1"/>
    <x v="2"/>
    <n v="11"/>
    <n v="24900"/>
    <n v="5"/>
    <n v="260205"/>
    <n v="4.8"/>
    <n v="20"/>
    <n v="49302"/>
    <s v="1 Year"/>
  </r>
  <r>
    <x v="521"/>
    <n v="1729818"/>
    <n v="75"/>
    <x v="1"/>
    <x v="18"/>
    <x v="0"/>
    <x v="2"/>
    <x v="3"/>
    <x v="3"/>
    <x v="0"/>
    <x v="2"/>
    <n v="6"/>
    <n v="84999"/>
    <n v="12"/>
    <n v="448794.72"/>
    <n v="4.5"/>
    <n v="20"/>
    <n v="91798.92"/>
    <s v="1 Year"/>
  </r>
  <r>
    <x v="522"/>
    <n v="3488885"/>
    <n v="24"/>
    <x v="0"/>
    <x v="18"/>
    <x v="0"/>
    <x v="0"/>
    <x v="2"/>
    <x v="4"/>
    <x v="2"/>
    <x v="2"/>
    <n v="4"/>
    <n v="69999"/>
    <n v="8"/>
    <n v="257596.32"/>
    <n v="4.8"/>
    <n v="20"/>
    <n v="50399.28"/>
    <s v="1 Year"/>
  </r>
  <r>
    <x v="523"/>
    <n v="3898679"/>
    <n v="35"/>
    <x v="0"/>
    <x v="18"/>
    <x v="0"/>
    <x v="2"/>
    <x v="1"/>
    <x v="5"/>
    <x v="2"/>
    <x v="2"/>
    <n v="10"/>
    <n v="42999"/>
    <n v="15"/>
    <n v="365491.5"/>
    <n v="4.5999999999999996"/>
    <n v="20"/>
    <n v="77398.2"/>
    <s v="1 Year"/>
  </r>
  <r>
    <x v="524"/>
    <n v="937120"/>
    <n v="54"/>
    <x v="1"/>
    <x v="18"/>
    <x v="0"/>
    <x v="2"/>
    <x v="0"/>
    <x v="0"/>
    <x v="0"/>
    <x v="3"/>
    <n v="3"/>
    <n v="99999"/>
    <n v="10"/>
    <n v="269997.3"/>
    <n v="4.7"/>
    <n v="20"/>
    <n v="53999.46"/>
    <s v="6 Months"/>
  </r>
  <r>
    <x v="525"/>
    <n v="3504837"/>
    <n v="27"/>
    <x v="0"/>
    <x v="18"/>
    <x v="0"/>
    <x v="1"/>
    <x v="1"/>
    <x v="1"/>
    <x v="1"/>
    <x v="3"/>
    <n v="39"/>
    <n v="4999"/>
    <n v="18"/>
    <n v="159868.02000000002"/>
    <n v="4.4000000000000004"/>
    <n v="20"/>
    <n v="35092.979999999996"/>
    <s v="1 Year"/>
  </r>
  <r>
    <x v="526"/>
    <n v="2374778"/>
    <n v="40"/>
    <x v="0"/>
    <x v="18"/>
    <x v="0"/>
    <x v="3"/>
    <x v="2"/>
    <x v="2"/>
    <x v="1"/>
    <x v="3"/>
    <n v="5"/>
    <n v="24900"/>
    <n v="5"/>
    <n v="118275"/>
    <n v="4.8"/>
    <n v="20"/>
    <n v="22410"/>
    <s v="1 Year"/>
  </r>
  <r>
    <x v="527"/>
    <n v="5504608"/>
    <n v="34"/>
    <x v="0"/>
    <x v="18"/>
    <x v="0"/>
    <x v="2"/>
    <x v="3"/>
    <x v="3"/>
    <x v="0"/>
    <x v="3"/>
    <n v="3"/>
    <n v="84999"/>
    <n v="12"/>
    <n v="224397.36"/>
    <n v="4.5"/>
    <n v="20"/>
    <n v="45899.46"/>
    <s v="1 Year"/>
  </r>
  <r>
    <x v="528"/>
    <n v="1316762"/>
    <n v="49"/>
    <x v="0"/>
    <x v="18"/>
    <x v="3"/>
    <x v="2"/>
    <x v="2"/>
    <x v="4"/>
    <x v="2"/>
    <x v="3"/>
    <n v="5"/>
    <n v="69999"/>
    <n v="8"/>
    <n v="321995.40000000002"/>
    <n v="4.8"/>
    <n v="20"/>
    <n v="62999.1"/>
    <s v="1 Year"/>
  </r>
  <r>
    <x v="529"/>
    <n v="1749092"/>
    <n v="36"/>
    <x v="0"/>
    <x v="18"/>
    <x v="0"/>
    <x v="0"/>
    <x v="1"/>
    <x v="5"/>
    <x v="2"/>
    <x v="3"/>
    <n v="6"/>
    <n v="42999"/>
    <n v="15"/>
    <n v="219294.9"/>
    <n v="4.5999999999999996"/>
    <n v="20"/>
    <n v="46438.92"/>
    <s v="6 Months"/>
  </r>
  <r>
    <x v="530"/>
    <n v="3238001"/>
    <n v="29"/>
    <x v="0"/>
    <x v="18"/>
    <x v="0"/>
    <x v="0"/>
    <x v="0"/>
    <x v="0"/>
    <x v="0"/>
    <x v="4"/>
    <n v="6"/>
    <n v="99999"/>
    <n v="10"/>
    <n v="539994.6"/>
    <n v="4.7"/>
    <n v="20"/>
    <n v="107998.92"/>
    <s v="6 Months"/>
  </r>
  <r>
    <x v="531"/>
    <n v="8136697"/>
    <n v="34"/>
    <x v="0"/>
    <x v="18"/>
    <x v="0"/>
    <x v="2"/>
    <x v="1"/>
    <x v="1"/>
    <x v="1"/>
    <x v="4"/>
    <n v="32"/>
    <n v="4999"/>
    <n v="18"/>
    <n v="131173.76000000001"/>
    <n v="4.4000000000000004"/>
    <n v="20"/>
    <n v="28794.239999999998"/>
    <s v="1 Year"/>
  </r>
  <r>
    <x v="532"/>
    <n v="8378600"/>
    <n v="30"/>
    <x v="0"/>
    <x v="18"/>
    <x v="0"/>
    <x v="0"/>
    <x v="2"/>
    <x v="2"/>
    <x v="1"/>
    <x v="4"/>
    <n v="8"/>
    <n v="24900"/>
    <n v="5"/>
    <n v="189240"/>
    <n v="4.8"/>
    <n v="20"/>
    <n v="35856"/>
    <s v="1 Year"/>
  </r>
  <r>
    <x v="533"/>
    <n v="2839193"/>
    <n v="48"/>
    <x v="0"/>
    <x v="18"/>
    <x v="2"/>
    <x v="3"/>
    <x v="3"/>
    <x v="3"/>
    <x v="0"/>
    <x v="4"/>
    <n v="5"/>
    <n v="84999"/>
    <n v="12"/>
    <n v="373995.6"/>
    <n v="4.5"/>
    <n v="20"/>
    <n v="76499.099999999991"/>
    <s v="1 Year"/>
  </r>
  <r>
    <x v="534"/>
    <n v="8374030"/>
    <n v="23"/>
    <x v="0"/>
    <x v="18"/>
    <x v="0"/>
    <x v="2"/>
    <x v="2"/>
    <x v="4"/>
    <x v="2"/>
    <x v="4"/>
    <n v="5"/>
    <n v="69999"/>
    <n v="8"/>
    <n v="321995.40000000002"/>
    <n v="4.8"/>
    <n v="20"/>
    <n v="62999.1"/>
    <s v="1 Year"/>
  </r>
  <r>
    <x v="535"/>
    <n v="6081434"/>
    <n v="40"/>
    <x v="0"/>
    <x v="18"/>
    <x v="0"/>
    <x v="2"/>
    <x v="1"/>
    <x v="5"/>
    <x v="2"/>
    <x v="4"/>
    <n v="11"/>
    <n v="42999"/>
    <n v="15"/>
    <n v="402040.65"/>
    <n v="4.5999999999999996"/>
    <n v="20"/>
    <n v="85138.02"/>
    <s v="1 Year"/>
  </r>
  <r>
    <x v="536"/>
    <n v="3658501"/>
    <n v="25"/>
    <x v="0"/>
    <x v="19"/>
    <x v="0"/>
    <x v="2"/>
    <x v="0"/>
    <x v="0"/>
    <x v="0"/>
    <x v="0"/>
    <n v="6"/>
    <n v="99999"/>
    <n v="10"/>
    <n v="539994.6"/>
    <n v="4.7"/>
    <n v="20"/>
    <n v="107998.92"/>
    <s v="1 Year"/>
  </r>
  <r>
    <x v="537"/>
    <n v="7272392"/>
    <n v="41"/>
    <x v="0"/>
    <x v="19"/>
    <x v="0"/>
    <x v="3"/>
    <x v="1"/>
    <x v="1"/>
    <x v="1"/>
    <x v="0"/>
    <n v="37"/>
    <n v="4999"/>
    <n v="18"/>
    <n v="151669.66"/>
    <n v="4.4000000000000004"/>
    <n v="20"/>
    <n v="33293.339999999997"/>
    <s v="6 Months"/>
  </r>
  <r>
    <x v="538"/>
    <n v="8984518"/>
    <n v="24"/>
    <x v="0"/>
    <x v="19"/>
    <x v="0"/>
    <x v="2"/>
    <x v="2"/>
    <x v="2"/>
    <x v="1"/>
    <x v="0"/>
    <n v="7"/>
    <n v="24900"/>
    <n v="5"/>
    <n v="165585"/>
    <n v="4.8"/>
    <n v="20"/>
    <n v="31374"/>
    <s v="1 Year"/>
  </r>
  <r>
    <x v="539"/>
    <n v="4461058"/>
    <n v="31"/>
    <x v="0"/>
    <x v="19"/>
    <x v="0"/>
    <x v="2"/>
    <x v="3"/>
    <x v="3"/>
    <x v="0"/>
    <x v="0"/>
    <n v="6"/>
    <n v="84999"/>
    <n v="12"/>
    <n v="448794.72"/>
    <n v="4.5"/>
    <n v="20"/>
    <n v="91798.92"/>
    <s v="1 Year"/>
  </r>
  <r>
    <x v="540"/>
    <n v="9980959"/>
    <n v="40"/>
    <x v="0"/>
    <x v="19"/>
    <x v="2"/>
    <x v="0"/>
    <x v="2"/>
    <x v="4"/>
    <x v="2"/>
    <x v="0"/>
    <n v="6"/>
    <n v="69999"/>
    <n v="8"/>
    <n v="386394.48"/>
    <n v="4.8"/>
    <n v="20"/>
    <n v="75598.92"/>
    <s v="6 Months"/>
  </r>
  <r>
    <x v="541"/>
    <n v="5984744"/>
    <n v="76"/>
    <x v="1"/>
    <x v="19"/>
    <x v="0"/>
    <x v="0"/>
    <x v="1"/>
    <x v="5"/>
    <x v="2"/>
    <x v="0"/>
    <n v="8"/>
    <n v="42999"/>
    <n v="15"/>
    <n v="292393.2"/>
    <n v="4.5999999999999996"/>
    <n v="20"/>
    <n v="61918.559999999998"/>
    <s v="1 Year"/>
  </r>
  <r>
    <x v="542"/>
    <n v="6101487"/>
    <n v="46"/>
    <x v="0"/>
    <x v="19"/>
    <x v="0"/>
    <x v="0"/>
    <x v="0"/>
    <x v="0"/>
    <x v="0"/>
    <x v="1"/>
    <n v="6"/>
    <n v="99999"/>
    <n v="10"/>
    <n v="539994.6"/>
    <n v="4.7"/>
    <n v="20"/>
    <n v="107998.92"/>
    <s v="6 Months"/>
  </r>
  <r>
    <x v="543"/>
    <n v="4816337"/>
    <n v="46"/>
    <x v="0"/>
    <x v="19"/>
    <x v="0"/>
    <x v="4"/>
    <x v="1"/>
    <x v="1"/>
    <x v="1"/>
    <x v="1"/>
    <n v="36"/>
    <n v="4999"/>
    <n v="18"/>
    <n v="147570.48000000001"/>
    <n v="4.4000000000000004"/>
    <n v="20"/>
    <n v="32393.52"/>
    <s v="1 Year"/>
  </r>
  <r>
    <x v="544"/>
    <n v="605697"/>
    <n v="48"/>
    <x v="0"/>
    <x v="19"/>
    <x v="0"/>
    <x v="2"/>
    <x v="2"/>
    <x v="2"/>
    <x v="1"/>
    <x v="1"/>
    <n v="13"/>
    <n v="24900"/>
    <n v="5"/>
    <n v="307515"/>
    <n v="4.8"/>
    <n v="20"/>
    <n v="58266"/>
    <s v="1 Year"/>
  </r>
  <r>
    <x v="545"/>
    <n v="1759089"/>
    <n v="67"/>
    <x v="1"/>
    <x v="19"/>
    <x v="0"/>
    <x v="1"/>
    <x v="3"/>
    <x v="3"/>
    <x v="0"/>
    <x v="1"/>
    <n v="4"/>
    <n v="84999"/>
    <n v="12"/>
    <n v="299196.48"/>
    <n v="4.5"/>
    <n v="20"/>
    <n v="61199.28"/>
    <s v="1 Year"/>
  </r>
  <r>
    <x v="546"/>
    <n v="6149021"/>
    <n v="64"/>
    <x v="1"/>
    <x v="19"/>
    <x v="0"/>
    <x v="2"/>
    <x v="2"/>
    <x v="4"/>
    <x v="2"/>
    <x v="1"/>
    <n v="3"/>
    <n v="69999"/>
    <n v="8"/>
    <n v="193197.24"/>
    <n v="4.8"/>
    <n v="20"/>
    <n v="37799.46"/>
    <s v="1 Year"/>
  </r>
  <r>
    <x v="546"/>
    <n v="6149021"/>
    <n v="33"/>
    <x v="0"/>
    <x v="19"/>
    <x v="0"/>
    <x v="2"/>
    <x v="1"/>
    <x v="5"/>
    <x v="2"/>
    <x v="1"/>
    <n v="9"/>
    <n v="42999"/>
    <n v="15"/>
    <n v="328942.34999999998"/>
    <n v="4.5999999999999996"/>
    <n v="20"/>
    <n v="69658.38"/>
    <s v="1 Year"/>
  </r>
  <r>
    <x v="547"/>
    <n v="290999"/>
    <n v="41"/>
    <x v="0"/>
    <x v="19"/>
    <x v="0"/>
    <x v="3"/>
    <x v="0"/>
    <x v="0"/>
    <x v="0"/>
    <x v="2"/>
    <n v="3"/>
    <n v="99999"/>
    <n v="10"/>
    <n v="269997.3"/>
    <n v="4.7"/>
    <n v="20"/>
    <n v="53999.46"/>
    <s v="1 Year"/>
  </r>
  <r>
    <x v="547"/>
    <n v="290999"/>
    <n v="73"/>
    <x v="1"/>
    <x v="19"/>
    <x v="0"/>
    <x v="3"/>
    <x v="1"/>
    <x v="1"/>
    <x v="1"/>
    <x v="2"/>
    <n v="57"/>
    <n v="4999"/>
    <n v="18"/>
    <n v="233653.26"/>
    <n v="4.4000000000000004"/>
    <n v="20"/>
    <n v="51289.74"/>
    <s v="6 Months"/>
  </r>
  <r>
    <x v="548"/>
    <n v="7562871"/>
    <n v="25"/>
    <x v="0"/>
    <x v="19"/>
    <x v="0"/>
    <x v="2"/>
    <x v="2"/>
    <x v="2"/>
    <x v="1"/>
    <x v="2"/>
    <n v="9"/>
    <n v="24900"/>
    <n v="5"/>
    <n v="212895"/>
    <n v="4.8"/>
    <n v="20"/>
    <n v="40338"/>
    <s v="1 Year"/>
  </r>
  <r>
    <x v="549"/>
    <n v="4777340"/>
    <n v="26"/>
    <x v="0"/>
    <x v="19"/>
    <x v="0"/>
    <x v="3"/>
    <x v="3"/>
    <x v="3"/>
    <x v="0"/>
    <x v="2"/>
    <n v="6"/>
    <n v="84999"/>
    <n v="12"/>
    <n v="448794.72"/>
    <n v="4.5"/>
    <n v="20"/>
    <n v="91798.92"/>
    <s v="1 Year"/>
  </r>
  <r>
    <x v="549"/>
    <n v="4777340"/>
    <n v="46"/>
    <x v="0"/>
    <x v="19"/>
    <x v="0"/>
    <x v="3"/>
    <x v="2"/>
    <x v="4"/>
    <x v="2"/>
    <x v="2"/>
    <n v="2"/>
    <n v="69999"/>
    <n v="8"/>
    <n v="128798.16"/>
    <n v="4.8"/>
    <n v="20"/>
    <n v="25199.64"/>
    <s v="1 Year"/>
  </r>
  <r>
    <x v="550"/>
    <n v="5372960"/>
    <n v="44"/>
    <x v="0"/>
    <x v="19"/>
    <x v="0"/>
    <x v="0"/>
    <x v="1"/>
    <x v="5"/>
    <x v="2"/>
    <x v="2"/>
    <n v="11"/>
    <n v="42999"/>
    <n v="15"/>
    <n v="402040.65"/>
    <n v="4.5999999999999996"/>
    <n v="20"/>
    <n v="85138.02"/>
    <s v="1 Year"/>
  </r>
  <r>
    <x v="551"/>
    <n v="2526682"/>
    <n v="47"/>
    <x v="0"/>
    <x v="19"/>
    <x v="0"/>
    <x v="2"/>
    <x v="0"/>
    <x v="0"/>
    <x v="0"/>
    <x v="3"/>
    <n v="5"/>
    <n v="99999"/>
    <n v="10"/>
    <n v="449995.5"/>
    <n v="4.7"/>
    <n v="20"/>
    <n v="89999.099999999991"/>
    <s v="6 Months"/>
  </r>
  <r>
    <x v="552"/>
    <n v="6073591"/>
    <n v="28"/>
    <x v="0"/>
    <x v="19"/>
    <x v="1"/>
    <x v="2"/>
    <x v="1"/>
    <x v="1"/>
    <x v="1"/>
    <x v="3"/>
    <n v="55"/>
    <n v="4999"/>
    <n v="18"/>
    <n v="225454.9"/>
    <n v="4.4000000000000004"/>
    <n v="20"/>
    <n v="49490.1"/>
    <s v="1 Year"/>
  </r>
  <r>
    <x v="553"/>
    <n v="2229567"/>
    <n v="31"/>
    <x v="0"/>
    <x v="19"/>
    <x v="0"/>
    <x v="0"/>
    <x v="2"/>
    <x v="2"/>
    <x v="1"/>
    <x v="3"/>
    <n v="11"/>
    <n v="24900"/>
    <n v="5"/>
    <n v="260205"/>
    <n v="4.8"/>
    <n v="20"/>
    <n v="49302"/>
    <s v="1 Year"/>
  </r>
  <r>
    <x v="554"/>
    <n v="7874045"/>
    <n v="73"/>
    <x v="1"/>
    <x v="19"/>
    <x v="3"/>
    <x v="3"/>
    <x v="3"/>
    <x v="3"/>
    <x v="0"/>
    <x v="3"/>
    <n v="5"/>
    <n v="84999"/>
    <n v="12"/>
    <n v="373995.6"/>
    <n v="4.5"/>
    <n v="20"/>
    <n v="76499.099999999991"/>
    <s v="1 Year"/>
  </r>
  <r>
    <x v="555"/>
    <n v="6811391"/>
    <n v="40"/>
    <x v="0"/>
    <x v="19"/>
    <x v="0"/>
    <x v="3"/>
    <x v="2"/>
    <x v="4"/>
    <x v="2"/>
    <x v="3"/>
    <n v="4"/>
    <n v="69999"/>
    <n v="8"/>
    <n v="257596.32"/>
    <n v="4.8"/>
    <n v="20"/>
    <n v="50399.28"/>
    <s v="6 Months"/>
  </r>
  <r>
    <x v="556"/>
    <n v="6078306"/>
    <n v="39"/>
    <x v="0"/>
    <x v="19"/>
    <x v="0"/>
    <x v="3"/>
    <x v="1"/>
    <x v="5"/>
    <x v="2"/>
    <x v="3"/>
    <n v="10"/>
    <n v="42999"/>
    <n v="15"/>
    <n v="365491.5"/>
    <n v="4.5999999999999996"/>
    <n v="20"/>
    <n v="77398.2"/>
    <s v="1 Year"/>
  </r>
  <r>
    <x v="557"/>
    <n v="4034081"/>
    <n v="55"/>
    <x v="1"/>
    <x v="19"/>
    <x v="0"/>
    <x v="3"/>
    <x v="0"/>
    <x v="0"/>
    <x v="0"/>
    <x v="4"/>
    <n v="6"/>
    <n v="99999"/>
    <n v="10"/>
    <n v="539994.6"/>
    <n v="4.7"/>
    <n v="20"/>
    <n v="107998.92"/>
    <s v="6 Months"/>
  </r>
  <r>
    <x v="557"/>
    <n v="4034081"/>
    <n v="31"/>
    <x v="0"/>
    <x v="19"/>
    <x v="0"/>
    <x v="2"/>
    <x v="1"/>
    <x v="1"/>
    <x v="1"/>
    <x v="4"/>
    <n v="48"/>
    <n v="4999"/>
    <n v="18"/>
    <n v="196760.64"/>
    <n v="4.4000000000000004"/>
    <n v="20"/>
    <n v="43191.360000000001"/>
    <s v="6 Months"/>
  </r>
  <r>
    <x v="558"/>
    <n v="3374384"/>
    <n v="24"/>
    <x v="0"/>
    <x v="19"/>
    <x v="0"/>
    <x v="3"/>
    <x v="2"/>
    <x v="2"/>
    <x v="1"/>
    <x v="4"/>
    <n v="13"/>
    <n v="24900"/>
    <n v="5"/>
    <n v="307515"/>
    <n v="4.8"/>
    <n v="20"/>
    <n v="58266"/>
    <s v="6 Months"/>
  </r>
  <r>
    <x v="559"/>
    <n v="4369754"/>
    <n v="70"/>
    <x v="1"/>
    <x v="19"/>
    <x v="0"/>
    <x v="3"/>
    <x v="3"/>
    <x v="3"/>
    <x v="0"/>
    <x v="4"/>
    <n v="4"/>
    <n v="84999"/>
    <n v="12"/>
    <n v="299196.48"/>
    <n v="4.5"/>
    <n v="20"/>
    <n v="61199.28"/>
    <s v="1 Year"/>
  </r>
  <r>
    <x v="560"/>
    <n v="9530023"/>
    <n v="50"/>
    <x v="1"/>
    <x v="19"/>
    <x v="2"/>
    <x v="2"/>
    <x v="2"/>
    <x v="4"/>
    <x v="2"/>
    <x v="4"/>
    <n v="6"/>
    <n v="69999"/>
    <n v="8"/>
    <n v="386394.48"/>
    <n v="4.8"/>
    <n v="20"/>
    <n v="75598.92"/>
    <s v="6 Months"/>
  </r>
  <r>
    <x v="561"/>
    <n v="6608262"/>
    <n v="44"/>
    <x v="0"/>
    <x v="19"/>
    <x v="0"/>
    <x v="2"/>
    <x v="1"/>
    <x v="5"/>
    <x v="2"/>
    <x v="4"/>
    <n v="7"/>
    <n v="42999"/>
    <n v="15"/>
    <n v="255844.05"/>
    <n v="4.5999999999999996"/>
    <n v="20"/>
    <n v="54178.74"/>
    <s v="1 Year"/>
  </r>
  <r>
    <x v="561"/>
    <n v="6608262"/>
    <n v="45"/>
    <x v="0"/>
    <x v="20"/>
    <x v="0"/>
    <x v="2"/>
    <x v="0"/>
    <x v="0"/>
    <x v="0"/>
    <x v="0"/>
    <n v="4"/>
    <n v="99999"/>
    <n v="10"/>
    <n v="359996.4"/>
    <n v="4.7"/>
    <n v="20"/>
    <n v="71999.28"/>
    <s v="1 Year"/>
  </r>
  <r>
    <x v="562"/>
    <n v="6067494"/>
    <n v="78"/>
    <x v="1"/>
    <x v="20"/>
    <x v="2"/>
    <x v="2"/>
    <x v="1"/>
    <x v="1"/>
    <x v="1"/>
    <x v="0"/>
    <n v="47"/>
    <n v="4999"/>
    <n v="18"/>
    <n v="192661.46"/>
    <n v="4.4000000000000004"/>
    <n v="20"/>
    <n v="42291.54"/>
    <s v="1 Year"/>
  </r>
  <r>
    <x v="563"/>
    <n v="6126480"/>
    <n v="44"/>
    <x v="0"/>
    <x v="20"/>
    <x v="0"/>
    <x v="3"/>
    <x v="2"/>
    <x v="2"/>
    <x v="1"/>
    <x v="0"/>
    <n v="7"/>
    <n v="24900"/>
    <n v="5"/>
    <n v="165585"/>
    <n v="4.8"/>
    <n v="20"/>
    <n v="31374"/>
    <s v="1 Year"/>
  </r>
  <r>
    <x v="564"/>
    <n v="3151405"/>
    <n v="22"/>
    <x v="0"/>
    <x v="20"/>
    <x v="0"/>
    <x v="5"/>
    <x v="3"/>
    <x v="3"/>
    <x v="0"/>
    <x v="0"/>
    <n v="6"/>
    <n v="84999"/>
    <n v="12"/>
    <n v="448794.72"/>
    <n v="4.5"/>
    <n v="20"/>
    <n v="91798.92"/>
    <s v="6 Months"/>
  </r>
  <r>
    <x v="565"/>
    <n v="3362405"/>
    <n v="31"/>
    <x v="0"/>
    <x v="20"/>
    <x v="0"/>
    <x v="5"/>
    <x v="2"/>
    <x v="4"/>
    <x v="2"/>
    <x v="0"/>
    <n v="4"/>
    <n v="69999"/>
    <n v="8"/>
    <n v="257596.32"/>
    <n v="4.8"/>
    <n v="20"/>
    <n v="50399.28"/>
    <s v="1 Year"/>
  </r>
  <r>
    <x v="566"/>
    <n v="7255132"/>
    <n v="58"/>
    <x v="1"/>
    <x v="20"/>
    <x v="0"/>
    <x v="2"/>
    <x v="1"/>
    <x v="5"/>
    <x v="2"/>
    <x v="0"/>
    <n v="11"/>
    <n v="42999"/>
    <n v="15"/>
    <n v="402040.65"/>
    <n v="4.5999999999999996"/>
    <n v="20"/>
    <n v="85138.02"/>
    <s v="6 Months"/>
  </r>
  <r>
    <x v="567"/>
    <n v="6566928"/>
    <n v="24"/>
    <x v="0"/>
    <x v="20"/>
    <x v="0"/>
    <x v="2"/>
    <x v="0"/>
    <x v="0"/>
    <x v="0"/>
    <x v="1"/>
    <n v="4"/>
    <n v="99999"/>
    <n v="10"/>
    <n v="359996.4"/>
    <n v="4.7"/>
    <n v="20"/>
    <n v="71999.28"/>
    <s v="1 Year"/>
  </r>
  <r>
    <x v="568"/>
    <n v="5987847"/>
    <n v="20"/>
    <x v="0"/>
    <x v="20"/>
    <x v="0"/>
    <x v="2"/>
    <x v="1"/>
    <x v="1"/>
    <x v="1"/>
    <x v="1"/>
    <n v="56"/>
    <n v="4999"/>
    <n v="18"/>
    <n v="229554.08000000002"/>
    <n v="4.4000000000000004"/>
    <n v="20"/>
    <n v="50389.919999999998"/>
    <s v="6 Months"/>
  </r>
  <r>
    <x v="569"/>
    <n v="5787687"/>
    <n v="43"/>
    <x v="0"/>
    <x v="20"/>
    <x v="0"/>
    <x v="2"/>
    <x v="2"/>
    <x v="2"/>
    <x v="1"/>
    <x v="1"/>
    <n v="5"/>
    <n v="24900"/>
    <n v="5"/>
    <n v="118275"/>
    <n v="4.8"/>
    <n v="20"/>
    <n v="22410"/>
    <s v="1 Year"/>
  </r>
  <r>
    <x v="570"/>
    <n v="9893613"/>
    <n v="22"/>
    <x v="0"/>
    <x v="20"/>
    <x v="3"/>
    <x v="2"/>
    <x v="3"/>
    <x v="3"/>
    <x v="0"/>
    <x v="1"/>
    <n v="5"/>
    <n v="84999"/>
    <n v="12"/>
    <n v="373995.6"/>
    <n v="4.5"/>
    <n v="20"/>
    <n v="76499.099999999991"/>
    <s v="1 Year"/>
  </r>
  <r>
    <x v="571"/>
    <n v="7723881"/>
    <n v="57"/>
    <x v="1"/>
    <x v="20"/>
    <x v="0"/>
    <x v="0"/>
    <x v="2"/>
    <x v="4"/>
    <x v="2"/>
    <x v="1"/>
    <n v="6"/>
    <n v="69999"/>
    <n v="8"/>
    <n v="386394.48"/>
    <n v="4.8"/>
    <n v="20"/>
    <n v="75598.92"/>
    <s v="1 Year"/>
  </r>
  <r>
    <x v="572"/>
    <n v="9821652"/>
    <n v="42"/>
    <x v="0"/>
    <x v="20"/>
    <x v="0"/>
    <x v="2"/>
    <x v="1"/>
    <x v="5"/>
    <x v="2"/>
    <x v="1"/>
    <n v="11"/>
    <n v="42999"/>
    <n v="15"/>
    <n v="402040.65"/>
    <n v="4.5999999999999996"/>
    <n v="20"/>
    <n v="85138.02"/>
    <s v="1 Year"/>
  </r>
  <r>
    <x v="573"/>
    <n v="4875861"/>
    <n v="62"/>
    <x v="1"/>
    <x v="20"/>
    <x v="0"/>
    <x v="2"/>
    <x v="0"/>
    <x v="0"/>
    <x v="0"/>
    <x v="2"/>
    <n v="6"/>
    <n v="99999"/>
    <n v="10"/>
    <n v="539994.6"/>
    <n v="4.7"/>
    <n v="20"/>
    <n v="107998.92"/>
    <s v="1 Year"/>
  </r>
  <r>
    <x v="574"/>
    <n v="6059740"/>
    <n v="26"/>
    <x v="0"/>
    <x v="20"/>
    <x v="0"/>
    <x v="4"/>
    <x v="1"/>
    <x v="1"/>
    <x v="1"/>
    <x v="2"/>
    <n v="43"/>
    <n v="4999"/>
    <n v="18"/>
    <n v="176264.74"/>
    <n v="4.4000000000000004"/>
    <n v="20"/>
    <n v="38692.26"/>
    <s v="6 Months"/>
  </r>
  <r>
    <x v="575"/>
    <n v="6970756"/>
    <n v="76"/>
    <x v="1"/>
    <x v="20"/>
    <x v="0"/>
    <x v="2"/>
    <x v="2"/>
    <x v="2"/>
    <x v="1"/>
    <x v="2"/>
    <n v="7"/>
    <n v="24900"/>
    <n v="5"/>
    <n v="165585"/>
    <n v="4.8"/>
    <n v="20"/>
    <n v="31374"/>
    <s v="6 Months"/>
  </r>
  <r>
    <x v="576"/>
    <n v="6287760"/>
    <n v="25"/>
    <x v="0"/>
    <x v="20"/>
    <x v="0"/>
    <x v="2"/>
    <x v="3"/>
    <x v="3"/>
    <x v="0"/>
    <x v="2"/>
    <n v="5"/>
    <n v="84999"/>
    <n v="12"/>
    <n v="373995.6"/>
    <n v="4.5"/>
    <n v="20"/>
    <n v="76499.099999999991"/>
    <s v="1 Year"/>
  </r>
  <r>
    <x v="577"/>
    <n v="3375305"/>
    <n v="33"/>
    <x v="0"/>
    <x v="20"/>
    <x v="0"/>
    <x v="0"/>
    <x v="2"/>
    <x v="4"/>
    <x v="2"/>
    <x v="2"/>
    <n v="4"/>
    <n v="69999"/>
    <n v="8"/>
    <n v="257596.32"/>
    <n v="4.8"/>
    <n v="20"/>
    <n v="50399.28"/>
    <s v="1 Year"/>
  </r>
  <r>
    <x v="578"/>
    <n v="9068476"/>
    <n v="46"/>
    <x v="0"/>
    <x v="20"/>
    <x v="2"/>
    <x v="2"/>
    <x v="1"/>
    <x v="5"/>
    <x v="2"/>
    <x v="2"/>
    <n v="10"/>
    <n v="42999"/>
    <n v="15"/>
    <n v="365491.5"/>
    <n v="4.5999999999999996"/>
    <n v="20"/>
    <n v="77398.2"/>
    <s v="1 Year"/>
  </r>
  <r>
    <x v="578"/>
    <n v="9068476"/>
    <n v="35"/>
    <x v="0"/>
    <x v="20"/>
    <x v="0"/>
    <x v="1"/>
    <x v="0"/>
    <x v="0"/>
    <x v="0"/>
    <x v="3"/>
    <n v="3"/>
    <n v="99999"/>
    <n v="10"/>
    <n v="269997.3"/>
    <n v="4.7"/>
    <n v="20"/>
    <n v="53999.46"/>
    <s v="6 Months"/>
  </r>
  <r>
    <x v="579"/>
    <n v="8909433"/>
    <n v="27"/>
    <x v="0"/>
    <x v="20"/>
    <x v="0"/>
    <x v="2"/>
    <x v="1"/>
    <x v="1"/>
    <x v="1"/>
    <x v="3"/>
    <n v="53"/>
    <n v="4999"/>
    <n v="18"/>
    <n v="217256.54"/>
    <n v="4.4000000000000004"/>
    <n v="20"/>
    <n v="47690.46"/>
    <s v="1 Year"/>
  </r>
  <r>
    <x v="580"/>
    <n v="3129936"/>
    <n v="36"/>
    <x v="0"/>
    <x v="20"/>
    <x v="0"/>
    <x v="0"/>
    <x v="2"/>
    <x v="2"/>
    <x v="1"/>
    <x v="3"/>
    <n v="6"/>
    <n v="24900"/>
    <n v="5"/>
    <n v="141930"/>
    <n v="4.8"/>
    <n v="20"/>
    <n v="26892"/>
    <s v="1 Year"/>
  </r>
  <r>
    <x v="581"/>
    <n v="6638259"/>
    <n v="49"/>
    <x v="0"/>
    <x v="20"/>
    <x v="0"/>
    <x v="3"/>
    <x v="3"/>
    <x v="3"/>
    <x v="0"/>
    <x v="3"/>
    <n v="6"/>
    <n v="84999"/>
    <n v="12"/>
    <n v="448794.72"/>
    <n v="4.5"/>
    <n v="20"/>
    <n v="91798.92"/>
    <s v="1 Year"/>
  </r>
  <r>
    <x v="582"/>
    <n v="7157837"/>
    <n v="32"/>
    <x v="0"/>
    <x v="20"/>
    <x v="0"/>
    <x v="2"/>
    <x v="2"/>
    <x v="4"/>
    <x v="2"/>
    <x v="3"/>
    <n v="4"/>
    <n v="69999"/>
    <n v="8"/>
    <n v="257596.32"/>
    <n v="4.8"/>
    <n v="20"/>
    <n v="50399.28"/>
    <s v="1 Year"/>
  </r>
  <r>
    <x v="583"/>
    <n v="2631519"/>
    <n v="22"/>
    <x v="0"/>
    <x v="20"/>
    <x v="0"/>
    <x v="2"/>
    <x v="1"/>
    <x v="5"/>
    <x v="2"/>
    <x v="3"/>
    <n v="8"/>
    <n v="42999"/>
    <n v="15"/>
    <n v="292393.2"/>
    <n v="4.5999999999999996"/>
    <n v="20"/>
    <n v="61918.559999999998"/>
    <s v="6 Months"/>
  </r>
  <r>
    <x v="583"/>
    <n v="2631519"/>
    <n v="48"/>
    <x v="0"/>
    <x v="20"/>
    <x v="0"/>
    <x v="3"/>
    <x v="0"/>
    <x v="0"/>
    <x v="0"/>
    <x v="4"/>
    <n v="6"/>
    <n v="99999"/>
    <n v="10"/>
    <n v="539994.6"/>
    <n v="4.7"/>
    <n v="20"/>
    <n v="107998.92"/>
    <s v="1 Year"/>
  </r>
  <r>
    <x v="584"/>
    <n v="271961"/>
    <n v="39"/>
    <x v="0"/>
    <x v="20"/>
    <x v="0"/>
    <x v="2"/>
    <x v="1"/>
    <x v="1"/>
    <x v="1"/>
    <x v="4"/>
    <n v="48"/>
    <n v="4999"/>
    <n v="18"/>
    <n v="196760.64"/>
    <n v="4.4000000000000004"/>
    <n v="20"/>
    <n v="43191.360000000001"/>
    <s v="6 Months"/>
  </r>
  <r>
    <x v="584"/>
    <n v="271961"/>
    <n v="42"/>
    <x v="0"/>
    <x v="20"/>
    <x v="0"/>
    <x v="0"/>
    <x v="2"/>
    <x v="2"/>
    <x v="1"/>
    <x v="4"/>
    <n v="11"/>
    <n v="24900"/>
    <n v="5"/>
    <n v="260205"/>
    <n v="4.8"/>
    <n v="20"/>
    <n v="49302"/>
    <s v="6 Months"/>
  </r>
  <r>
    <x v="585"/>
    <n v="2733877"/>
    <n v="23"/>
    <x v="0"/>
    <x v="20"/>
    <x v="2"/>
    <x v="1"/>
    <x v="3"/>
    <x v="3"/>
    <x v="0"/>
    <x v="4"/>
    <n v="4"/>
    <n v="84999"/>
    <n v="12"/>
    <n v="299196.48"/>
    <n v="4.5"/>
    <n v="20"/>
    <n v="61199.28"/>
    <s v="6 Months"/>
  </r>
  <r>
    <x v="586"/>
    <n v="732793"/>
    <n v="28"/>
    <x v="0"/>
    <x v="20"/>
    <x v="0"/>
    <x v="2"/>
    <x v="2"/>
    <x v="4"/>
    <x v="2"/>
    <x v="4"/>
    <n v="2"/>
    <n v="69999"/>
    <n v="8"/>
    <n v="128798.16"/>
    <n v="4.8"/>
    <n v="20"/>
    <n v="25199.64"/>
    <s v="1 Year"/>
  </r>
  <r>
    <x v="587"/>
    <n v="4577946"/>
    <n v="47"/>
    <x v="0"/>
    <x v="20"/>
    <x v="0"/>
    <x v="0"/>
    <x v="1"/>
    <x v="5"/>
    <x v="2"/>
    <x v="4"/>
    <n v="6"/>
    <n v="42999"/>
    <n v="15"/>
    <n v="219294.9"/>
    <n v="4.5999999999999996"/>
    <n v="20"/>
    <n v="46438.92"/>
    <s v="1 Year"/>
  </r>
  <r>
    <x v="588"/>
    <n v="9482794"/>
    <n v="34"/>
    <x v="0"/>
    <x v="21"/>
    <x v="0"/>
    <x v="2"/>
    <x v="0"/>
    <x v="0"/>
    <x v="0"/>
    <x v="0"/>
    <n v="3"/>
    <n v="99999"/>
    <n v="10"/>
    <n v="269997.3"/>
    <n v="4.7"/>
    <n v="20"/>
    <n v="53999.46"/>
    <s v="1 Year"/>
  </r>
  <r>
    <x v="589"/>
    <n v="5010143"/>
    <n v="64"/>
    <x v="1"/>
    <x v="21"/>
    <x v="0"/>
    <x v="5"/>
    <x v="1"/>
    <x v="1"/>
    <x v="1"/>
    <x v="0"/>
    <n v="56"/>
    <n v="4999"/>
    <n v="18"/>
    <n v="229554.08000000002"/>
    <n v="4.4000000000000004"/>
    <n v="20"/>
    <n v="50389.919999999998"/>
    <s v="1 Year"/>
  </r>
  <r>
    <x v="590"/>
    <n v="6353578"/>
    <n v="25"/>
    <x v="0"/>
    <x v="21"/>
    <x v="0"/>
    <x v="2"/>
    <x v="2"/>
    <x v="2"/>
    <x v="1"/>
    <x v="0"/>
    <n v="6"/>
    <n v="24900"/>
    <n v="5"/>
    <n v="141930"/>
    <n v="4.8"/>
    <n v="20"/>
    <n v="26892"/>
    <s v="1 Year"/>
  </r>
  <r>
    <x v="591"/>
    <n v="7193353"/>
    <n v="38"/>
    <x v="0"/>
    <x v="21"/>
    <x v="0"/>
    <x v="1"/>
    <x v="3"/>
    <x v="3"/>
    <x v="0"/>
    <x v="0"/>
    <n v="3"/>
    <n v="84999"/>
    <n v="12"/>
    <n v="224397.36"/>
    <n v="4.5"/>
    <n v="20"/>
    <n v="45899.46"/>
    <s v="1 Year"/>
  </r>
  <r>
    <x v="592"/>
    <n v="1369375"/>
    <n v="33"/>
    <x v="0"/>
    <x v="21"/>
    <x v="0"/>
    <x v="3"/>
    <x v="2"/>
    <x v="4"/>
    <x v="2"/>
    <x v="0"/>
    <n v="4"/>
    <n v="69999"/>
    <n v="8"/>
    <n v="257596.32"/>
    <n v="4.8"/>
    <n v="20"/>
    <n v="50399.28"/>
    <s v="1 Year"/>
  </r>
  <r>
    <x v="593"/>
    <n v="5751421"/>
    <n v="18"/>
    <x v="2"/>
    <x v="21"/>
    <x v="0"/>
    <x v="2"/>
    <x v="1"/>
    <x v="5"/>
    <x v="2"/>
    <x v="0"/>
    <n v="6"/>
    <n v="42999"/>
    <n v="15"/>
    <n v="219294.9"/>
    <n v="4.5999999999999996"/>
    <n v="20"/>
    <n v="46438.92"/>
    <s v="1 Year"/>
  </r>
  <r>
    <x v="594"/>
    <n v="2525671"/>
    <n v="48"/>
    <x v="0"/>
    <x v="21"/>
    <x v="0"/>
    <x v="3"/>
    <x v="0"/>
    <x v="0"/>
    <x v="0"/>
    <x v="1"/>
    <n v="6"/>
    <n v="99999"/>
    <n v="10"/>
    <n v="539994.6"/>
    <n v="4.7"/>
    <n v="20"/>
    <n v="107998.92"/>
    <s v="1 Year"/>
  </r>
  <r>
    <x v="595"/>
    <n v="1148969"/>
    <n v="18"/>
    <x v="2"/>
    <x v="21"/>
    <x v="0"/>
    <x v="0"/>
    <x v="1"/>
    <x v="1"/>
    <x v="1"/>
    <x v="1"/>
    <n v="31"/>
    <n v="4999"/>
    <n v="18"/>
    <n v="127074.58"/>
    <n v="4.4000000000000004"/>
    <n v="20"/>
    <n v="27894.42"/>
    <s v="1 Year"/>
  </r>
  <r>
    <x v="596"/>
    <n v="1480412"/>
    <n v="31"/>
    <x v="0"/>
    <x v="21"/>
    <x v="3"/>
    <x v="0"/>
    <x v="2"/>
    <x v="2"/>
    <x v="1"/>
    <x v="1"/>
    <n v="12"/>
    <n v="24900"/>
    <n v="5"/>
    <n v="283860"/>
    <n v="4.8"/>
    <n v="20"/>
    <n v="53784"/>
    <s v="1 Year"/>
  </r>
  <r>
    <x v="597"/>
    <n v="1581803"/>
    <n v="28"/>
    <x v="0"/>
    <x v="21"/>
    <x v="0"/>
    <x v="2"/>
    <x v="3"/>
    <x v="3"/>
    <x v="0"/>
    <x v="1"/>
    <n v="4"/>
    <n v="84999"/>
    <n v="12"/>
    <n v="299196.48"/>
    <n v="4.5"/>
    <n v="20"/>
    <n v="61199.28"/>
    <s v="6 Months"/>
  </r>
  <r>
    <x v="598"/>
    <n v="1589269"/>
    <n v="42"/>
    <x v="0"/>
    <x v="21"/>
    <x v="0"/>
    <x v="2"/>
    <x v="2"/>
    <x v="4"/>
    <x v="2"/>
    <x v="1"/>
    <n v="5"/>
    <n v="69999"/>
    <n v="8"/>
    <n v="321995.40000000002"/>
    <n v="4.8"/>
    <n v="20"/>
    <n v="62999.1"/>
    <s v="6 Months"/>
  </r>
  <r>
    <x v="599"/>
    <n v="163677"/>
    <n v="21"/>
    <x v="0"/>
    <x v="21"/>
    <x v="0"/>
    <x v="5"/>
    <x v="1"/>
    <x v="5"/>
    <x v="2"/>
    <x v="1"/>
    <n v="7"/>
    <n v="42999"/>
    <n v="15"/>
    <n v="255844.05"/>
    <n v="4.5999999999999996"/>
    <n v="20"/>
    <n v="54178.74"/>
    <s v="1 Year"/>
  </r>
  <r>
    <x v="600"/>
    <n v="5591629"/>
    <n v="73"/>
    <x v="1"/>
    <x v="21"/>
    <x v="0"/>
    <x v="3"/>
    <x v="0"/>
    <x v="0"/>
    <x v="0"/>
    <x v="2"/>
    <n v="4"/>
    <n v="99999"/>
    <n v="10"/>
    <n v="359996.4"/>
    <n v="4.7"/>
    <n v="20"/>
    <n v="71999.28"/>
    <s v="6 Months"/>
  </r>
  <r>
    <x v="601"/>
    <n v="2762496"/>
    <n v="65"/>
    <x v="1"/>
    <x v="21"/>
    <x v="0"/>
    <x v="3"/>
    <x v="1"/>
    <x v="1"/>
    <x v="1"/>
    <x v="2"/>
    <n v="32"/>
    <n v="4999"/>
    <n v="18"/>
    <n v="131173.76000000001"/>
    <n v="4.4000000000000004"/>
    <n v="20"/>
    <n v="28794.239999999998"/>
    <s v="1 Year"/>
  </r>
  <r>
    <x v="602"/>
    <n v="3613696"/>
    <n v="74"/>
    <x v="1"/>
    <x v="21"/>
    <x v="0"/>
    <x v="2"/>
    <x v="2"/>
    <x v="2"/>
    <x v="1"/>
    <x v="2"/>
    <n v="6"/>
    <n v="24900"/>
    <n v="5"/>
    <n v="141930"/>
    <n v="4.8"/>
    <n v="20"/>
    <n v="26892"/>
    <s v="1 Year"/>
  </r>
  <r>
    <x v="603"/>
    <n v="8674741"/>
    <n v="45"/>
    <x v="0"/>
    <x v="21"/>
    <x v="0"/>
    <x v="2"/>
    <x v="3"/>
    <x v="3"/>
    <x v="0"/>
    <x v="2"/>
    <n v="3"/>
    <n v="84999"/>
    <n v="12"/>
    <n v="224397.36"/>
    <n v="4.5"/>
    <n v="20"/>
    <n v="45899.46"/>
    <s v="1 Year"/>
  </r>
  <r>
    <x v="603"/>
    <n v="8674741"/>
    <n v="34"/>
    <x v="0"/>
    <x v="21"/>
    <x v="0"/>
    <x v="2"/>
    <x v="2"/>
    <x v="4"/>
    <x v="2"/>
    <x v="2"/>
    <n v="5"/>
    <n v="69999"/>
    <n v="8"/>
    <n v="321995.40000000002"/>
    <n v="4.8"/>
    <n v="20"/>
    <n v="62999.1"/>
    <s v="1 Year"/>
  </r>
  <r>
    <x v="604"/>
    <n v="3961682"/>
    <n v="37"/>
    <x v="0"/>
    <x v="21"/>
    <x v="0"/>
    <x v="3"/>
    <x v="1"/>
    <x v="5"/>
    <x v="2"/>
    <x v="2"/>
    <n v="11"/>
    <n v="42999"/>
    <n v="15"/>
    <n v="402040.65"/>
    <n v="4.5999999999999996"/>
    <n v="20"/>
    <n v="85138.02"/>
    <s v="1 Year"/>
  </r>
  <r>
    <x v="604"/>
    <n v="3961682"/>
    <n v="32"/>
    <x v="0"/>
    <x v="21"/>
    <x v="0"/>
    <x v="0"/>
    <x v="0"/>
    <x v="0"/>
    <x v="0"/>
    <x v="3"/>
    <n v="6"/>
    <n v="99999"/>
    <n v="10"/>
    <n v="539994.6"/>
    <n v="4.7"/>
    <n v="20"/>
    <n v="107998.92"/>
    <s v="6 Months"/>
  </r>
  <r>
    <x v="605"/>
    <n v="9993814"/>
    <n v="42"/>
    <x v="0"/>
    <x v="21"/>
    <x v="3"/>
    <x v="0"/>
    <x v="1"/>
    <x v="1"/>
    <x v="1"/>
    <x v="3"/>
    <n v="39"/>
    <n v="4999"/>
    <n v="18"/>
    <n v="159868.02000000002"/>
    <n v="4.4000000000000004"/>
    <n v="20"/>
    <n v="35092.979999999996"/>
    <s v="6 Months"/>
  </r>
  <r>
    <x v="606"/>
    <n v="1484966"/>
    <n v="75"/>
    <x v="1"/>
    <x v="21"/>
    <x v="0"/>
    <x v="2"/>
    <x v="2"/>
    <x v="2"/>
    <x v="1"/>
    <x v="3"/>
    <n v="13"/>
    <n v="24900"/>
    <n v="5"/>
    <n v="307515"/>
    <n v="4.8"/>
    <n v="20"/>
    <n v="58266"/>
    <s v="6 Months"/>
  </r>
  <r>
    <x v="607"/>
    <n v="2998401"/>
    <n v="25"/>
    <x v="0"/>
    <x v="21"/>
    <x v="0"/>
    <x v="1"/>
    <x v="3"/>
    <x v="3"/>
    <x v="0"/>
    <x v="3"/>
    <n v="4"/>
    <n v="84999"/>
    <n v="12"/>
    <n v="299196.48"/>
    <n v="4.5"/>
    <n v="20"/>
    <n v="61199.28"/>
    <s v="1 Year"/>
  </r>
  <r>
    <x v="608"/>
    <n v="443250"/>
    <n v="52"/>
    <x v="1"/>
    <x v="21"/>
    <x v="0"/>
    <x v="3"/>
    <x v="2"/>
    <x v="4"/>
    <x v="2"/>
    <x v="3"/>
    <n v="5"/>
    <n v="69999"/>
    <n v="8"/>
    <n v="321995.40000000002"/>
    <n v="4.8"/>
    <n v="20"/>
    <n v="62999.1"/>
    <s v="6 Months"/>
  </r>
  <r>
    <x v="609"/>
    <n v="1440632"/>
    <n v="23"/>
    <x v="0"/>
    <x v="21"/>
    <x v="0"/>
    <x v="0"/>
    <x v="1"/>
    <x v="5"/>
    <x v="2"/>
    <x v="3"/>
    <n v="6"/>
    <n v="42999"/>
    <n v="15"/>
    <n v="219294.9"/>
    <n v="4.5999999999999996"/>
    <n v="20"/>
    <n v="46438.92"/>
    <s v="6 Months"/>
  </r>
  <r>
    <x v="610"/>
    <n v="2943155"/>
    <n v="25"/>
    <x v="0"/>
    <x v="21"/>
    <x v="0"/>
    <x v="3"/>
    <x v="0"/>
    <x v="0"/>
    <x v="0"/>
    <x v="4"/>
    <n v="4"/>
    <n v="99999"/>
    <n v="10"/>
    <n v="359996.4"/>
    <n v="4.7"/>
    <n v="20"/>
    <n v="71999.28"/>
    <s v="1 Year"/>
  </r>
  <r>
    <x v="611"/>
    <n v="165114"/>
    <n v="25"/>
    <x v="0"/>
    <x v="21"/>
    <x v="0"/>
    <x v="2"/>
    <x v="1"/>
    <x v="1"/>
    <x v="1"/>
    <x v="4"/>
    <n v="54"/>
    <n v="4999"/>
    <n v="18"/>
    <n v="221355.72"/>
    <n v="4.4000000000000004"/>
    <n v="20"/>
    <n v="48590.28"/>
    <s v="1 Year"/>
  </r>
  <r>
    <x v="612"/>
    <n v="330056"/>
    <n v="29"/>
    <x v="0"/>
    <x v="21"/>
    <x v="0"/>
    <x v="2"/>
    <x v="2"/>
    <x v="2"/>
    <x v="1"/>
    <x v="4"/>
    <n v="5"/>
    <n v="24900"/>
    <n v="5"/>
    <n v="118275"/>
    <n v="4.8"/>
    <n v="20"/>
    <n v="22410"/>
    <s v="1 Year"/>
  </r>
  <r>
    <x v="613"/>
    <n v="8480814"/>
    <n v="64"/>
    <x v="1"/>
    <x v="21"/>
    <x v="3"/>
    <x v="5"/>
    <x v="3"/>
    <x v="3"/>
    <x v="0"/>
    <x v="4"/>
    <n v="5"/>
    <n v="84999"/>
    <n v="12"/>
    <n v="373995.6"/>
    <n v="4.5"/>
    <n v="20"/>
    <n v="76499.099999999991"/>
    <s v="1 Year"/>
  </r>
  <r>
    <x v="614"/>
    <n v="9740627"/>
    <n v="68"/>
    <x v="1"/>
    <x v="21"/>
    <x v="0"/>
    <x v="3"/>
    <x v="2"/>
    <x v="4"/>
    <x v="2"/>
    <x v="4"/>
    <n v="2"/>
    <n v="69999"/>
    <n v="8"/>
    <n v="128798.16"/>
    <n v="4.8"/>
    <n v="20"/>
    <n v="25199.64"/>
    <s v="6 Months"/>
  </r>
  <r>
    <x v="614"/>
    <n v="9740627"/>
    <n v="49"/>
    <x v="0"/>
    <x v="21"/>
    <x v="0"/>
    <x v="2"/>
    <x v="1"/>
    <x v="5"/>
    <x v="2"/>
    <x v="4"/>
    <n v="6"/>
    <n v="42999"/>
    <n v="15"/>
    <n v="219294.9"/>
    <n v="4.5999999999999996"/>
    <n v="20"/>
    <n v="46438.92"/>
    <s v="1 Year"/>
  </r>
  <r>
    <x v="615"/>
    <n v="9143448"/>
    <n v="44"/>
    <x v="0"/>
    <x v="22"/>
    <x v="0"/>
    <x v="0"/>
    <x v="0"/>
    <x v="0"/>
    <x v="0"/>
    <x v="0"/>
    <n v="4"/>
    <n v="99999"/>
    <n v="10"/>
    <n v="359996.4"/>
    <n v="4.7"/>
    <n v="20"/>
    <n v="71999.28"/>
    <s v="6 Months"/>
  </r>
  <r>
    <x v="616"/>
    <n v="6604106"/>
    <n v="24"/>
    <x v="0"/>
    <x v="22"/>
    <x v="0"/>
    <x v="0"/>
    <x v="1"/>
    <x v="1"/>
    <x v="1"/>
    <x v="0"/>
    <n v="42"/>
    <n v="4999"/>
    <n v="18"/>
    <n v="172165.56"/>
    <n v="4.4000000000000004"/>
    <n v="20"/>
    <n v="37792.439999999995"/>
    <s v="6 Months"/>
  </r>
  <r>
    <x v="617"/>
    <n v="9917475"/>
    <n v="34"/>
    <x v="0"/>
    <x v="22"/>
    <x v="0"/>
    <x v="2"/>
    <x v="2"/>
    <x v="2"/>
    <x v="1"/>
    <x v="0"/>
    <n v="9"/>
    <n v="24900"/>
    <n v="5"/>
    <n v="212895"/>
    <n v="4.8"/>
    <n v="20"/>
    <n v="40338"/>
    <s v="6 Months"/>
  </r>
  <r>
    <x v="617"/>
    <n v="9917475"/>
    <n v="28"/>
    <x v="0"/>
    <x v="22"/>
    <x v="0"/>
    <x v="0"/>
    <x v="3"/>
    <x v="3"/>
    <x v="0"/>
    <x v="0"/>
    <n v="4"/>
    <n v="84999"/>
    <n v="12"/>
    <n v="299196.48"/>
    <n v="4.5"/>
    <n v="20"/>
    <n v="61199.28"/>
    <s v="6 Months"/>
  </r>
  <r>
    <x v="618"/>
    <n v="8161439"/>
    <n v="35"/>
    <x v="0"/>
    <x v="22"/>
    <x v="0"/>
    <x v="0"/>
    <x v="2"/>
    <x v="4"/>
    <x v="2"/>
    <x v="0"/>
    <n v="6"/>
    <n v="69999"/>
    <n v="8"/>
    <n v="386394.48"/>
    <n v="4.8"/>
    <n v="20"/>
    <n v="75598.92"/>
    <s v="1 Year"/>
  </r>
  <r>
    <x v="619"/>
    <n v="3946933"/>
    <n v="45"/>
    <x v="0"/>
    <x v="22"/>
    <x v="3"/>
    <x v="0"/>
    <x v="1"/>
    <x v="5"/>
    <x v="2"/>
    <x v="0"/>
    <n v="7"/>
    <n v="42999"/>
    <n v="15"/>
    <n v="255844.05"/>
    <n v="4.5999999999999996"/>
    <n v="20"/>
    <n v="54178.74"/>
    <s v="6 Months"/>
  </r>
  <r>
    <x v="620"/>
    <n v="3357610"/>
    <n v="77"/>
    <x v="1"/>
    <x v="22"/>
    <x v="0"/>
    <x v="0"/>
    <x v="0"/>
    <x v="0"/>
    <x v="0"/>
    <x v="1"/>
    <n v="6"/>
    <n v="99999"/>
    <n v="10"/>
    <n v="539994.6"/>
    <n v="4.7"/>
    <n v="20"/>
    <n v="107998.92"/>
    <s v="1 Year"/>
  </r>
  <r>
    <x v="621"/>
    <n v="2411749"/>
    <n v="19"/>
    <x v="2"/>
    <x v="22"/>
    <x v="0"/>
    <x v="2"/>
    <x v="1"/>
    <x v="1"/>
    <x v="1"/>
    <x v="1"/>
    <n v="46"/>
    <n v="4999"/>
    <n v="18"/>
    <n v="188562.28"/>
    <n v="4.4000000000000004"/>
    <n v="20"/>
    <n v="41391.72"/>
    <s v="1 Year"/>
  </r>
  <r>
    <x v="622"/>
    <n v="5633467"/>
    <n v="18"/>
    <x v="2"/>
    <x v="22"/>
    <x v="0"/>
    <x v="3"/>
    <x v="2"/>
    <x v="2"/>
    <x v="1"/>
    <x v="1"/>
    <n v="7"/>
    <n v="24900"/>
    <n v="5"/>
    <n v="165585"/>
    <n v="4.8"/>
    <n v="20"/>
    <n v="31374"/>
    <s v="1 Year"/>
  </r>
  <r>
    <x v="622"/>
    <n v="5633467"/>
    <n v="34"/>
    <x v="0"/>
    <x v="22"/>
    <x v="0"/>
    <x v="2"/>
    <x v="3"/>
    <x v="3"/>
    <x v="0"/>
    <x v="1"/>
    <n v="5"/>
    <n v="84999"/>
    <n v="12"/>
    <n v="373995.6"/>
    <n v="4.5"/>
    <n v="20"/>
    <n v="76499.099999999991"/>
    <s v="1 Year"/>
  </r>
  <r>
    <x v="623"/>
    <n v="3228955"/>
    <n v="51"/>
    <x v="1"/>
    <x v="22"/>
    <x v="2"/>
    <x v="1"/>
    <x v="2"/>
    <x v="4"/>
    <x v="2"/>
    <x v="1"/>
    <n v="4"/>
    <n v="69999"/>
    <n v="8"/>
    <n v="257596.32"/>
    <n v="4.8"/>
    <n v="20"/>
    <n v="50399.28"/>
    <s v="1 Year"/>
  </r>
  <r>
    <x v="624"/>
    <n v="9973433"/>
    <n v="29"/>
    <x v="0"/>
    <x v="22"/>
    <x v="0"/>
    <x v="3"/>
    <x v="1"/>
    <x v="5"/>
    <x v="2"/>
    <x v="1"/>
    <n v="8"/>
    <n v="42999"/>
    <n v="15"/>
    <n v="292393.2"/>
    <n v="4.5999999999999996"/>
    <n v="20"/>
    <n v="61918.559999999998"/>
    <s v="6 Months"/>
  </r>
  <r>
    <x v="625"/>
    <n v="1130253"/>
    <n v="32"/>
    <x v="0"/>
    <x v="22"/>
    <x v="0"/>
    <x v="3"/>
    <x v="0"/>
    <x v="0"/>
    <x v="0"/>
    <x v="2"/>
    <n v="5"/>
    <n v="99999"/>
    <n v="10"/>
    <n v="449995.5"/>
    <n v="4.7"/>
    <n v="20"/>
    <n v="89999.099999999991"/>
    <s v="1 Year"/>
  </r>
  <r>
    <x v="626"/>
    <n v="9716987"/>
    <n v="76"/>
    <x v="1"/>
    <x v="22"/>
    <x v="0"/>
    <x v="1"/>
    <x v="1"/>
    <x v="1"/>
    <x v="1"/>
    <x v="2"/>
    <n v="34"/>
    <n v="4999"/>
    <n v="18"/>
    <n v="139372.12"/>
    <n v="4.4000000000000004"/>
    <n v="20"/>
    <n v="30593.879999999997"/>
    <s v="6 Months"/>
  </r>
  <r>
    <x v="627"/>
    <n v="1032774"/>
    <n v="27"/>
    <x v="0"/>
    <x v="22"/>
    <x v="0"/>
    <x v="2"/>
    <x v="2"/>
    <x v="2"/>
    <x v="1"/>
    <x v="2"/>
    <n v="8"/>
    <n v="24900"/>
    <n v="5"/>
    <n v="189240"/>
    <n v="4.8"/>
    <n v="20"/>
    <n v="35856"/>
    <s v="1 Year"/>
  </r>
  <r>
    <x v="628"/>
    <n v="125115"/>
    <n v="46"/>
    <x v="0"/>
    <x v="22"/>
    <x v="0"/>
    <x v="0"/>
    <x v="3"/>
    <x v="3"/>
    <x v="0"/>
    <x v="2"/>
    <n v="5"/>
    <n v="84999"/>
    <n v="12"/>
    <n v="373995.6"/>
    <n v="4.5"/>
    <n v="20"/>
    <n v="76499.099999999991"/>
    <s v="6 Months"/>
  </r>
  <r>
    <x v="629"/>
    <n v="6537606"/>
    <n v="30"/>
    <x v="0"/>
    <x v="22"/>
    <x v="0"/>
    <x v="2"/>
    <x v="2"/>
    <x v="4"/>
    <x v="2"/>
    <x v="2"/>
    <n v="4"/>
    <n v="69999"/>
    <n v="8"/>
    <n v="257596.32"/>
    <n v="4.8"/>
    <n v="20"/>
    <n v="50399.28"/>
    <s v="1 Year"/>
  </r>
  <r>
    <x v="630"/>
    <n v="82399"/>
    <n v="20"/>
    <x v="0"/>
    <x v="22"/>
    <x v="1"/>
    <x v="3"/>
    <x v="1"/>
    <x v="5"/>
    <x v="2"/>
    <x v="2"/>
    <n v="8"/>
    <n v="42999"/>
    <n v="15"/>
    <n v="292393.2"/>
    <n v="4.5999999999999996"/>
    <n v="20"/>
    <n v="61918.559999999998"/>
    <s v="1 Year"/>
  </r>
  <r>
    <x v="631"/>
    <n v="6673630"/>
    <n v="21"/>
    <x v="0"/>
    <x v="22"/>
    <x v="0"/>
    <x v="0"/>
    <x v="0"/>
    <x v="0"/>
    <x v="0"/>
    <x v="3"/>
    <n v="5"/>
    <n v="99999"/>
    <n v="10"/>
    <n v="449995.5"/>
    <n v="4.7"/>
    <n v="20"/>
    <n v="89999.099999999991"/>
    <s v="1 Year"/>
  </r>
  <r>
    <x v="631"/>
    <n v="6673630"/>
    <n v="46"/>
    <x v="0"/>
    <x v="22"/>
    <x v="0"/>
    <x v="1"/>
    <x v="1"/>
    <x v="1"/>
    <x v="1"/>
    <x v="3"/>
    <n v="54"/>
    <n v="4999"/>
    <n v="18"/>
    <n v="221355.72"/>
    <n v="4.4000000000000004"/>
    <n v="20"/>
    <n v="48590.28"/>
    <s v="1 Year"/>
  </r>
  <r>
    <x v="632"/>
    <n v="5782801"/>
    <n v="48"/>
    <x v="0"/>
    <x v="22"/>
    <x v="3"/>
    <x v="0"/>
    <x v="2"/>
    <x v="2"/>
    <x v="1"/>
    <x v="3"/>
    <n v="12"/>
    <n v="24900"/>
    <n v="5"/>
    <n v="283860"/>
    <n v="4.8"/>
    <n v="20"/>
    <n v="53784"/>
    <s v="1 Year"/>
  </r>
  <r>
    <x v="633"/>
    <n v="5183329"/>
    <n v="66"/>
    <x v="1"/>
    <x v="22"/>
    <x v="0"/>
    <x v="2"/>
    <x v="3"/>
    <x v="3"/>
    <x v="0"/>
    <x v="3"/>
    <n v="2"/>
    <n v="84999"/>
    <n v="12"/>
    <n v="149598.24"/>
    <n v="4.5"/>
    <n v="20"/>
    <n v="30599.64"/>
    <s v="6 Months"/>
  </r>
  <r>
    <x v="634"/>
    <n v="8426061"/>
    <n v="18"/>
    <x v="2"/>
    <x v="22"/>
    <x v="0"/>
    <x v="3"/>
    <x v="2"/>
    <x v="4"/>
    <x v="2"/>
    <x v="3"/>
    <n v="4"/>
    <n v="69999"/>
    <n v="8"/>
    <n v="257596.32"/>
    <n v="4.8"/>
    <n v="20"/>
    <n v="50399.28"/>
    <s v="1 Year"/>
  </r>
  <r>
    <x v="635"/>
    <n v="7753431"/>
    <n v="22"/>
    <x v="0"/>
    <x v="22"/>
    <x v="0"/>
    <x v="1"/>
    <x v="1"/>
    <x v="5"/>
    <x v="2"/>
    <x v="3"/>
    <n v="9"/>
    <n v="42999"/>
    <n v="15"/>
    <n v="328942.34999999998"/>
    <n v="4.5999999999999996"/>
    <n v="20"/>
    <n v="69658.38"/>
    <s v="6 Months"/>
  </r>
  <r>
    <x v="636"/>
    <n v="9159324"/>
    <n v="18"/>
    <x v="2"/>
    <x v="22"/>
    <x v="0"/>
    <x v="1"/>
    <x v="0"/>
    <x v="0"/>
    <x v="0"/>
    <x v="4"/>
    <n v="6"/>
    <n v="99999"/>
    <n v="10"/>
    <n v="539994.6"/>
    <n v="4.7"/>
    <n v="20"/>
    <n v="107998.92"/>
    <s v="6 Months"/>
  </r>
  <r>
    <x v="637"/>
    <n v="3646143"/>
    <n v="36"/>
    <x v="0"/>
    <x v="22"/>
    <x v="0"/>
    <x v="2"/>
    <x v="1"/>
    <x v="1"/>
    <x v="1"/>
    <x v="4"/>
    <n v="53"/>
    <n v="4999"/>
    <n v="18"/>
    <n v="217256.54"/>
    <n v="4.4000000000000004"/>
    <n v="20"/>
    <n v="47690.46"/>
    <s v="6 Months"/>
  </r>
  <r>
    <x v="638"/>
    <n v="805366"/>
    <n v="41"/>
    <x v="0"/>
    <x v="22"/>
    <x v="0"/>
    <x v="1"/>
    <x v="2"/>
    <x v="2"/>
    <x v="1"/>
    <x v="4"/>
    <n v="12"/>
    <n v="24900"/>
    <n v="5"/>
    <n v="283860"/>
    <n v="4.8"/>
    <n v="20"/>
    <n v="53784"/>
    <s v="1 Year"/>
  </r>
  <r>
    <x v="639"/>
    <n v="6120035"/>
    <n v="29"/>
    <x v="0"/>
    <x v="22"/>
    <x v="0"/>
    <x v="2"/>
    <x v="3"/>
    <x v="3"/>
    <x v="0"/>
    <x v="4"/>
    <n v="6"/>
    <n v="84999"/>
    <n v="12"/>
    <n v="448794.72"/>
    <n v="4.5"/>
    <n v="20"/>
    <n v="91798.92"/>
    <s v="1 Year"/>
  </r>
  <r>
    <x v="640"/>
    <n v="1702986"/>
    <n v="56"/>
    <x v="1"/>
    <x v="22"/>
    <x v="3"/>
    <x v="0"/>
    <x v="2"/>
    <x v="4"/>
    <x v="2"/>
    <x v="4"/>
    <n v="5"/>
    <n v="69999"/>
    <n v="8"/>
    <n v="321995.40000000002"/>
    <n v="4.8"/>
    <n v="20"/>
    <n v="62999.1"/>
    <s v="1 Year"/>
  </r>
  <r>
    <x v="641"/>
    <n v="8413071"/>
    <n v="46"/>
    <x v="0"/>
    <x v="22"/>
    <x v="0"/>
    <x v="3"/>
    <x v="1"/>
    <x v="5"/>
    <x v="2"/>
    <x v="4"/>
    <n v="7"/>
    <n v="42999"/>
    <n v="15"/>
    <n v="255844.05"/>
    <n v="4.5999999999999996"/>
    <n v="20"/>
    <n v="54178.74"/>
    <s v="1 Year"/>
  </r>
  <r>
    <x v="642"/>
    <n v="3883141"/>
    <n v="55"/>
    <x v="1"/>
    <x v="23"/>
    <x v="0"/>
    <x v="2"/>
    <x v="0"/>
    <x v="0"/>
    <x v="0"/>
    <x v="0"/>
    <n v="4"/>
    <n v="99999"/>
    <n v="10"/>
    <n v="359996.4"/>
    <n v="4.7"/>
    <n v="20"/>
    <n v="71999.28"/>
    <s v="6 Months"/>
  </r>
  <r>
    <x v="643"/>
    <n v="4815236"/>
    <n v="44"/>
    <x v="0"/>
    <x v="23"/>
    <x v="0"/>
    <x v="5"/>
    <x v="1"/>
    <x v="1"/>
    <x v="1"/>
    <x v="0"/>
    <n v="49"/>
    <n v="4999"/>
    <n v="18"/>
    <n v="200859.82"/>
    <n v="4.4000000000000004"/>
    <n v="20"/>
    <n v="44091.18"/>
    <s v="1 Year"/>
  </r>
  <r>
    <x v="644"/>
    <n v="1811551"/>
    <n v="40"/>
    <x v="0"/>
    <x v="23"/>
    <x v="0"/>
    <x v="2"/>
    <x v="2"/>
    <x v="2"/>
    <x v="1"/>
    <x v="0"/>
    <n v="7"/>
    <n v="24900"/>
    <n v="5"/>
    <n v="165585"/>
    <n v="4.8"/>
    <n v="20"/>
    <n v="31374"/>
    <s v="1 Year"/>
  </r>
  <r>
    <x v="645"/>
    <n v="6885401"/>
    <n v="44"/>
    <x v="0"/>
    <x v="23"/>
    <x v="0"/>
    <x v="3"/>
    <x v="3"/>
    <x v="3"/>
    <x v="0"/>
    <x v="0"/>
    <n v="2"/>
    <n v="84999"/>
    <n v="12"/>
    <n v="149598.24"/>
    <n v="4.5"/>
    <n v="20"/>
    <n v="30599.64"/>
    <s v="1 Year"/>
  </r>
  <r>
    <x v="645"/>
    <n v="6885401"/>
    <n v="34"/>
    <x v="0"/>
    <x v="23"/>
    <x v="0"/>
    <x v="3"/>
    <x v="2"/>
    <x v="4"/>
    <x v="2"/>
    <x v="0"/>
    <n v="6"/>
    <n v="69999"/>
    <n v="8"/>
    <n v="386394.48"/>
    <n v="4.8"/>
    <n v="20"/>
    <n v="75598.92"/>
    <s v="1 Year"/>
  </r>
  <r>
    <x v="645"/>
    <n v="6885401"/>
    <n v="35"/>
    <x v="0"/>
    <x v="23"/>
    <x v="0"/>
    <x v="2"/>
    <x v="1"/>
    <x v="5"/>
    <x v="2"/>
    <x v="0"/>
    <n v="7"/>
    <n v="42999"/>
    <n v="15"/>
    <n v="255844.05"/>
    <n v="4.5999999999999996"/>
    <n v="20"/>
    <n v="54178.74"/>
    <s v="1 Year"/>
  </r>
  <r>
    <x v="645"/>
    <n v="6885401"/>
    <n v="61"/>
    <x v="1"/>
    <x v="23"/>
    <x v="0"/>
    <x v="2"/>
    <x v="0"/>
    <x v="0"/>
    <x v="0"/>
    <x v="1"/>
    <n v="3"/>
    <n v="99999"/>
    <n v="10"/>
    <n v="269997.3"/>
    <n v="4.7"/>
    <n v="20"/>
    <n v="53999.46"/>
    <s v="1 Year"/>
  </r>
  <r>
    <x v="646"/>
    <n v="4554912"/>
    <n v="23"/>
    <x v="0"/>
    <x v="23"/>
    <x v="0"/>
    <x v="3"/>
    <x v="1"/>
    <x v="1"/>
    <x v="1"/>
    <x v="1"/>
    <n v="35"/>
    <n v="4999"/>
    <n v="18"/>
    <n v="143471.29999999999"/>
    <n v="4.4000000000000004"/>
    <n v="20"/>
    <n v="31493.699999999997"/>
    <s v="1 Year"/>
  </r>
  <r>
    <x v="647"/>
    <n v="4700451"/>
    <n v="43"/>
    <x v="0"/>
    <x v="23"/>
    <x v="0"/>
    <x v="5"/>
    <x v="2"/>
    <x v="2"/>
    <x v="1"/>
    <x v="1"/>
    <n v="9"/>
    <n v="24900"/>
    <n v="5"/>
    <n v="212895"/>
    <n v="4.8"/>
    <n v="20"/>
    <n v="40338"/>
    <s v="1 Year"/>
  </r>
  <r>
    <x v="648"/>
    <n v="9857388"/>
    <n v="21"/>
    <x v="0"/>
    <x v="23"/>
    <x v="0"/>
    <x v="1"/>
    <x v="3"/>
    <x v="3"/>
    <x v="0"/>
    <x v="1"/>
    <n v="6"/>
    <n v="84999"/>
    <n v="12"/>
    <n v="448794.72"/>
    <n v="4.5"/>
    <n v="20"/>
    <n v="91798.92"/>
    <s v="6 Months"/>
  </r>
  <r>
    <x v="649"/>
    <n v="663102"/>
    <n v="70"/>
    <x v="1"/>
    <x v="23"/>
    <x v="0"/>
    <x v="3"/>
    <x v="2"/>
    <x v="4"/>
    <x v="2"/>
    <x v="1"/>
    <n v="3"/>
    <n v="69999"/>
    <n v="8"/>
    <n v="193197.24"/>
    <n v="4.8"/>
    <n v="20"/>
    <n v="37799.46"/>
    <s v="6 Months"/>
  </r>
  <r>
    <x v="650"/>
    <n v="5836547"/>
    <n v="28"/>
    <x v="0"/>
    <x v="23"/>
    <x v="0"/>
    <x v="2"/>
    <x v="1"/>
    <x v="5"/>
    <x v="2"/>
    <x v="1"/>
    <n v="5"/>
    <n v="42999"/>
    <n v="15"/>
    <n v="182745.75"/>
    <n v="4.5999999999999996"/>
    <n v="20"/>
    <n v="38699.1"/>
    <s v="1 Year"/>
  </r>
  <r>
    <x v="651"/>
    <n v="289403"/>
    <n v="47"/>
    <x v="0"/>
    <x v="23"/>
    <x v="0"/>
    <x v="2"/>
    <x v="0"/>
    <x v="0"/>
    <x v="0"/>
    <x v="2"/>
    <n v="4"/>
    <n v="99999"/>
    <n v="10"/>
    <n v="359996.4"/>
    <n v="4.7"/>
    <n v="20"/>
    <n v="71999.28"/>
    <s v="6 Months"/>
  </r>
  <r>
    <x v="652"/>
    <n v="3997749"/>
    <n v="43"/>
    <x v="0"/>
    <x v="23"/>
    <x v="0"/>
    <x v="3"/>
    <x v="1"/>
    <x v="1"/>
    <x v="1"/>
    <x v="2"/>
    <n v="51"/>
    <n v="4999"/>
    <n v="18"/>
    <n v="209058.18"/>
    <n v="4.4000000000000004"/>
    <n v="20"/>
    <n v="45890.82"/>
    <s v="1 Year"/>
  </r>
  <r>
    <x v="653"/>
    <n v="3035696"/>
    <n v="22"/>
    <x v="0"/>
    <x v="23"/>
    <x v="0"/>
    <x v="0"/>
    <x v="2"/>
    <x v="2"/>
    <x v="1"/>
    <x v="2"/>
    <n v="10"/>
    <n v="24900"/>
    <n v="5"/>
    <n v="236550"/>
    <n v="4.8"/>
    <n v="20"/>
    <n v="44820"/>
    <s v="1 Year"/>
  </r>
  <r>
    <x v="654"/>
    <n v="3958289"/>
    <n v="73"/>
    <x v="1"/>
    <x v="23"/>
    <x v="0"/>
    <x v="0"/>
    <x v="3"/>
    <x v="3"/>
    <x v="0"/>
    <x v="2"/>
    <n v="6"/>
    <n v="84999"/>
    <n v="12"/>
    <n v="448794.72"/>
    <n v="4.5"/>
    <n v="20"/>
    <n v="91798.92"/>
    <s v="6 Months"/>
  </r>
  <r>
    <x v="655"/>
    <n v="9939687"/>
    <n v="25"/>
    <x v="0"/>
    <x v="23"/>
    <x v="0"/>
    <x v="0"/>
    <x v="2"/>
    <x v="4"/>
    <x v="2"/>
    <x v="2"/>
    <n v="4"/>
    <n v="69999"/>
    <n v="8"/>
    <n v="257596.32"/>
    <n v="4.8"/>
    <n v="20"/>
    <n v="50399.28"/>
    <s v="1 Year"/>
  </r>
  <r>
    <x v="656"/>
    <n v="742597"/>
    <n v="35"/>
    <x v="0"/>
    <x v="23"/>
    <x v="0"/>
    <x v="3"/>
    <x v="1"/>
    <x v="5"/>
    <x v="2"/>
    <x v="2"/>
    <n v="6"/>
    <n v="42999"/>
    <n v="15"/>
    <n v="219294.9"/>
    <n v="4.5999999999999996"/>
    <n v="20"/>
    <n v="46438.92"/>
    <s v="6 Months"/>
  </r>
  <r>
    <x v="657"/>
    <n v="7435000"/>
    <n v="47"/>
    <x v="0"/>
    <x v="23"/>
    <x v="0"/>
    <x v="3"/>
    <x v="0"/>
    <x v="0"/>
    <x v="0"/>
    <x v="3"/>
    <n v="4"/>
    <n v="99999"/>
    <n v="10"/>
    <n v="359996.4"/>
    <n v="4.7"/>
    <n v="20"/>
    <n v="71999.28"/>
    <s v="6 Months"/>
  </r>
  <r>
    <x v="658"/>
    <n v="9495841"/>
    <n v="62"/>
    <x v="1"/>
    <x v="23"/>
    <x v="0"/>
    <x v="3"/>
    <x v="1"/>
    <x v="1"/>
    <x v="1"/>
    <x v="3"/>
    <n v="43"/>
    <n v="4999"/>
    <n v="18"/>
    <n v="176264.74"/>
    <n v="4.4000000000000004"/>
    <n v="20"/>
    <n v="38692.26"/>
    <s v="1 Year"/>
  </r>
  <r>
    <x v="659"/>
    <n v="9612837"/>
    <n v="55"/>
    <x v="1"/>
    <x v="23"/>
    <x v="0"/>
    <x v="2"/>
    <x v="2"/>
    <x v="2"/>
    <x v="1"/>
    <x v="3"/>
    <n v="9"/>
    <n v="24900"/>
    <n v="5"/>
    <n v="212895"/>
    <n v="4.8"/>
    <n v="20"/>
    <n v="40338"/>
    <s v="1 Year"/>
  </r>
  <r>
    <x v="659"/>
    <n v="9612837"/>
    <n v="31"/>
    <x v="0"/>
    <x v="23"/>
    <x v="0"/>
    <x v="1"/>
    <x v="3"/>
    <x v="3"/>
    <x v="0"/>
    <x v="3"/>
    <n v="6"/>
    <n v="84999"/>
    <n v="12"/>
    <n v="448794.72"/>
    <n v="4.5"/>
    <n v="20"/>
    <n v="91798.92"/>
    <s v="6 Months"/>
  </r>
  <r>
    <x v="660"/>
    <n v="2001002"/>
    <n v="48"/>
    <x v="0"/>
    <x v="23"/>
    <x v="0"/>
    <x v="5"/>
    <x v="2"/>
    <x v="4"/>
    <x v="2"/>
    <x v="3"/>
    <n v="6"/>
    <n v="69999"/>
    <n v="8"/>
    <n v="386394.48"/>
    <n v="4.8"/>
    <n v="20"/>
    <n v="75598.92"/>
    <s v="6 Months"/>
  </r>
  <r>
    <x v="661"/>
    <n v="9992014"/>
    <n v="52"/>
    <x v="1"/>
    <x v="23"/>
    <x v="0"/>
    <x v="4"/>
    <x v="1"/>
    <x v="5"/>
    <x v="2"/>
    <x v="3"/>
    <n v="10"/>
    <n v="42999"/>
    <n v="15"/>
    <n v="365491.5"/>
    <n v="4.5999999999999996"/>
    <n v="20"/>
    <n v="77398.2"/>
    <s v="1 Year"/>
  </r>
  <r>
    <x v="662"/>
    <n v="2298965"/>
    <n v="42"/>
    <x v="0"/>
    <x v="23"/>
    <x v="0"/>
    <x v="2"/>
    <x v="0"/>
    <x v="0"/>
    <x v="0"/>
    <x v="4"/>
    <n v="3"/>
    <n v="99999"/>
    <n v="10"/>
    <n v="269997.3"/>
    <n v="4.7"/>
    <n v="20"/>
    <n v="53999.46"/>
    <s v="1 Year"/>
  </r>
  <r>
    <x v="663"/>
    <n v="6229533"/>
    <n v="26"/>
    <x v="0"/>
    <x v="23"/>
    <x v="0"/>
    <x v="3"/>
    <x v="1"/>
    <x v="1"/>
    <x v="1"/>
    <x v="4"/>
    <n v="51"/>
    <n v="4999"/>
    <n v="18"/>
    <n v="209058.18"/>
    <n v="4.4000000000000004"/>
    <n v="20"/>
    <n v="45890.82"/>
    <s v="1 Year"/>
  </r>
  <r>
    <x v="664"/>
    <n v="9396326"/>
    <n v="18"/>
    <x v="2"/>
    <x v="23"/>
    <x v="0"/>
    <x v="0"/>
    <x v="2"/>
    <x v="2"/>
    <x v="1"/>
    <x v="4"/>
    <n v="8"/>
    <n v="24900"/>
    <n v="5"/>
    <n v="189240"/>
    <n v="4.8"/>
    <n v="20"/>
    <n v="35856"/>
    <s v="1 Year"/>
  </r>
  <r>
    <x v="665"/>
    <n v="9923260"/>
    <n v="56"/>
    <x v="1"/>
    <x v="23"/>
    <x v="1"/>
    <x v="0"/>
    <x v="3"/>
    <x v="3"/>
    <x v="0"/>
    <x v="4"/>
    <n v="2"/>
    <n v="84999"/>
    <n v="12"/>
    <n v="149598.24"/>
    <n v="4.5"/>
    <n v="20"/>
    <n v="30599.64"/>
    <s v="6 Months"/>
  </r>
  <r>
    <x v="666"/>
    <n v="3220216"/>
    <n v="74"/>
    <x v="1"/>
    <x v="23"/>
    <x v="0"/>
    <x v="3"/>
    <x v="2"/>
    <x v="4"/>
    <x v="2"/>
    <x v="4"/>
    <n v="4"/>
    <n v="69999"/>
    <n v="8"/>
    <n v="257596.32"/>
    <n v="4.8"/>
    <n v="20"/>
    <n v="50399.28"/>
    <s v="1 Year"/>
  </r>
  <r>
    <x v="667"/>
    <n v="9096009"/>
    <n v="37"/>
    <x v="0"/>
    <x v="23"/>
    <x v="3"/>
    <x v="3"/>
    <x v="1"/>
    <x v="5"/>
    <x v="2"/>
    <x v="4"/>
    <n v="9"/>
    <n v="42999"/>
    <n v="15"/>
    <n v="328942.34999999998"/>
    <n v="4.5999999999999996"/>
    <n v="20"/>
    <n v="69658.38"/>
    <s v="6 Months"/>
  </r>
  <r>
    <x v="668"/>
    <n v="1123100"/>
    <n v="31"/>
    <x v="0"/>
    <x v="24"/>
    <x v="0"/>
    <x v="1"/>
    <x v="0"/>
    <x v="0"/>
    <x v="0"/>
    <x v="0"/>
    <n v="6"/>
    <n v="99999"/>
    <n v="10"/>
    <n v="539994.6"/>
    <n v="4.7"/>
    <n v="20"/>
    <n v="107998.92"/>
    <s v="6 Months"/>
  </r>
  <r>
    <x v="669"/>
    <n v="6297503"/>
    <n v="22"/>
    <x v="0"/>
    <x v="24"/>
    <x v="0"/>
    <x v="2"/>
    <x v="1"/>
    <x v="1"/>
    <x v="1"/>
    <x v="0"/>
    <n v="43"/>
    <n v="4999"/>
    <n v="18"/>
    <n v="176264.74"/>
    <n v="4.4000000000000004"/>
    <n v="20"/>
    <n v="38692.26"/>
    <s v="1 Year"/>
  </r>
  <r>
    <x v="670"/>
    <n v="6558831"/>
    <n v="31"/>
    <x v="0"/>
    <x v="24"/>
    <x v="0"/>
    <x v="2"/>
    <x v="2"/>
    <x v="2"/>
    <x v="1"/>
    <x v="0"/>
    <n v="11"/>
    <n v="24900"/>
    <n v="5"/>
    <n v="260205"/>
    <n v="4.8"/>
    <n v="20"/>
    <n v="49302"/>
    <s v="6 Months"/>
  </r>
  <r>
    <x v="671"/>
    <n v="8089991"/>
    <n v="28"/>
    <x v="0"/>
    <x v="24"/>
    <x v="0"/>
    <x v="3"/>
    <x v="3"/>
    <x v="3"/>
    <x v="0"/>
    <x v="0"/>
    <n v="6"/>
    <n v="84999"/>
    <n v="12"/>
    <n v="448794.72"/>
    <n v="4.5"/>
    <n v="20"/>
    <n v="91798.92"/>
    <s v="1 Year"/>
  </r>
  <r>
    <x v="672"/>
    <n v="812377"/>
    <n v="64"/>
    <x v="1"/>
    <x v="24"/>
    <x v="0"/>
    <x v="3"/>
    <x v="2"/>
    <x v="4"/>
    <x v="2"/>
    <x v="0"/>
    <n v="2"/>
    <n v="69999"/>
    <n v="8"/>
    <n v="128798.16"/>
    <n v="4.8"/>
    <n v="20"/>
    <n v="25199.64"/>
    <s v="1 Year"/>
  </r>
  <r>
    <x v="673"/>
    <n v="5421512"/>
    <n v="39"/>
    <x v="0"/>
    <x v="24"/>
    <x v="0"/>
    <x v="3"/>
    <x v="1"/>
    <x v="5"/>
    <x v="2"/>
    <x v="0"/>
    <n v="7"/>
    <n v="42999"/>
    <n v="15"/>
    <n v="255844.05"/>
    <n v="4.5999999999999996"/>
    <n v="20"/>
    <n v="54178.74"/>
    <s v="1 Year"/>
  </r>
  <r>
    <x v="674"/>
    <n v="1249390"/>
    <n v="78"/>
    <x v="1"/>
    <x v="24"/>
    <x v="0"/>
    <x v="2"/>
    <x v="0"/>
    <x v="0"/>
    <x v="0"/>
    <x v="1"/>
    <n v="5"/>
    <n v="99999"/>
    <n v="10"/>
    <n v="449995.5"/>
    <n v="4.7"/>
    <n v="20"/>
    <n v="89999.099999999991"/>
    <s v="1 Year"/>
  </r>
  <r>
    <x v="675"/>
    <n v="2502357"/>
    <n v="25"/>
    <x v="0"/>
    <x v="24"/>
    <x v="0"/>
    <x v="0"/>
    <x v="1"/>
    <x v="1"/>
    <x v="1"/>
    <x v="1"/>
    <n v="42"/>
    <n v="4999"/>
    <n v="18"/>
    <n v="172165.56"/>
    <n v="4.4000000000000004"/>
    <n v="20"/>
    <n v="37792.439999999995"/>
    <s v="1 Year"/>
  </r>
  <r>
    <x v="675"/>
    <n v="2502357"/>
    <n v="33"/>
    <x v="0"/>
    <x v="24"/>
    <x v="0"/>
    <x v="3"/>
    <x v="2"/>
    <x v="2"/>
    <x v="1"/>
    <x v="1"/>
    <n v="6"/>
    <n v="24900"/>
    <n v="5"/>
    <n v="141930"/>
    <n v="4.8"/>
    <n v="20"/>
    <n v="26892"/>
    <s v="1 Year"/>
  </r>
  <r>
    <x v="676"/>
    <n v="1922681"/>
    <n v="75"/>
    <x v="1"/>
    <x v="24"/>
    <x v="0"/>
    <x v="3"/>
    <x v="3"/>
    <x v="3"/>
    <x v="0"/>
    <x v="1"/>
    <n v="2"/>
    <n v="84999"/>
    <n v="12"/>
    <n v="149598.24"/>
    <n v="4.5"/>
    <n v="20"/>
    <n v="30599.64"/>
    <s v="1 Year"/>
  </r>
  <r>
    <x v="676"/>
    <n v="1922681"/>
    <n v="24"/>
    <x v="0"/>
    <x v="24"/>
    <x v="0"/>
    <x v="0"/>
    <x v="2"/>
    <x v="4"/>
    <x v="2"/>
    <x v="1"/>
    <n v="3"/>
    <n v="69999"/>
    <n v="8"/>
    <n v="193197.24"/>
    <n v="4.8"/>
    <n v="20"/>
    <n v="37799.46"/>
    <s v="1 Year"/>
  </r>
  <r>
    <x v="677"/>
    <n v="8366587"/>
    <n v="21"/>
    <x v="0"/>
    <x v="24"/>
    <x v="0"/>
    <x v="0"/>
    <x v="1"/>
    <x v="5"/>
    <x v="2"/>
    <x v="1"/>
    <n v="11"/>
    <n v="42999"/>
    <n v="15"/>
    <n v="402040.65"/>
    <n v="4.5999999999999996"/>
    <n v="20"/>
    <n v="85138.02"/>
    <s v="1 Year"/>
  </r>
  <r>
    <x v="678"/>
    <n v="8607134"/>
    <n v="31"/>
    <x v="0"/>
    <x v="24"/>
    <x v="3"/>
    <x v="2"/>
    <x v="0"/>
    <x v="0"/>
    <x v="0"/>
    <x v="2"/>
    <n v="4"/>
    <n v="99999"/>
    <n v="10"/>
    <n v="359996.4"/>
    <n v="4.7"/>
    <n v="20"/>
    <n v="71999.28"/>
    <s v="1 Year"/>
  </r>
  <r>
    <x v="679"/>
    <n v="227495"/>
    <n v="32"/>
    <x v="0"/>
    <x v="24"/>
    <x v="0"/>
    <x v="3"/>
    <x v="1"/>
    <x v="1"/>
    <x v="1"/>
    <x v="2"/>
    <n v="56"/>
    <n v="4999"/>
    <n v="18"/>
    <n v="229554.08000000002"/>
    <n v="4.4000000000000004"/>
    <n v="20"/>
    <n v="50389.919999999998"/>
    <s v="1 Year"/>
  </r>
  <r>
    <x v="680"/>
    <n v="103011"/>
    <n v="65"/>
    <x v="1"/>
    <x v="24"/>
    <x v="0"/>
    <x v="1"/>
    <x v="2"/>
    <x v="2"/>
    <x v="1"/>
    <x v="2"/>
    <n v="9"/>
    <n v="24900"/>
    <n v="5"/>
    <n v="212895"/>
    <n v="4.8"/>
    <n v="20"/>
    <n v="40338"/>
    <s v="6 Months"/>
  </r>
  <r>
    <x v="681"/>
    <n v="2795018"/>
    <n v="38"/>
    <x v="0"/>
    <x v="24"/>
    <x v="0"/>
    <x v="2"/>
    <x v="3"/>
    <x v="3"/>
    <x v="0"/>
    <x v="2"/>
    <n v="3"/>
    <n v="84999"/>
    <n v="12"/>
    <n v="224397.36"/>
    <n v="4.5"/>
    <n v="20"/>
    <n v="45899.46"/>
    <s v="1 Year"/>
  </r>
  <r>
    <x v="682"/>
    <n v="6445472"/>
    <n v="39"/>
    <x v="0"/>
    <x v="24"/>
    <x v="0"/>
    <x v="4"/>
    <x v="2"/>
    <x v="4"/>
    <x v="2"/>
    <x v="2"/>
    <n v="4"/>
    <n v="69999"/>
    <n v="8"/>
    <n v="257596.32"/>
    <n v="4.8"/>
    <n v="20"/>
    <n v="50399.28"/>
    <s v="6 Months"/>
  </r>
  <r>
    <x v="683"/>
    <n v="7957175"/>
    <n v="41"/>
    <x v="0"/>
    <x v="24"/>
    <x v="0"/>
    <x v="0"/>
    <x v="1"/>
    <x v="5"/>
    <x v="2"/>
    <x v="2"/>
    <n v="11"/>
    <n v="42999"/>
    <n v="15"/>
    <n v="402040.65"/>
    <n v="4.5999999999999996"/>
    <n v="20"/>
    <n v="85138.02"/>
    <s v="1 Year"/>
  </r>
  <r>
    <x v="684"/>
    <n v="9856168"/>
    <n v="35"/>
    <x v="0"/>
    <x v="24"/>
    <x v="0"/>
    <x v="4"/>
    <x v="0"/>
    <x v="0"/>
    <x v="0"/>
    <x v="3"/>
    <n v="6"/>
    <n v="99999"/>
    <n v="10"/>
    <n v="539994.6"/>
    <n v="4.7"/>
    <n v="20"/>
    <n v="107998.92"/>
    <s v="1 Year"/>
  </r>
  <r>
    <x v="684"/>
    <n v="9856168"/>
    <n v="39"/>
    <x v="0"/>
    <x v="24"/>
    <x v="0"/>
    <x v="0"/>
    <x v="1"/>
    <x v="1"/>
    <x v="1"/>
    <x v="3"/>
    <n v="53"/>
    <n v="4999"/>
    <n v="18"/>
    <n v="217256.54"/>
    <n v="4.4000000000000004"/>
    <n v="20"/>
    <n v="47690.46"/>
    <s v="6 Months"/>
  </r>
  <r>
    <x v="685"/>
    <n v="419767"/>
    <n v="67"/>
    <x v="1"/>
    <x v="24"/>
    <x v="0"/>
    <x v="0"/>
    <x v="2"/>
    <x v="2"/>
    <x v="1"/>
    <x v="3"/>
    <n v="13"/>
    <n v="24900"/>
    <n v="5"/>
    <n v="307515"/>
    <n v="4.8"/>
    <n v="20"/>
    <n v="58266"/>
    <s v="1 Year"/>
  </r>
  <r>
    <x v="686"/>
    <n v="4237412"/>
    <n v="36"/>
    <x v="0"/>
    <x v="24"/>
    <x v="0"/>
    <x v="2"/>
    <x v="3"/>
    <x v="3"/>
    <x v="0"/>
    <x v="3"/>
    <n v="2"/>
    <n v="84999"/>
    <n v="12"/>
    <n v="149598.24"/>
    <n v="4.5"/>
    <n v="20"/>
    <n v="30599.64"/>
    <s v="1 Year"/>
  </r>
  <r>
    <x v="687"/>
    <n v="4852879"/>
    <n v="18"/>
    <x v="2"/>
    <x v="24"/>
    <x v="0"/>
    <x v="4"/>
    <x v="2"/>
    <x v="4"/>
    <x v="2"/>
    <x v="3"/>
    <n v="6"/>
    <n v="69999"/>
    <n v="8"/>
    <n v="386394.48"/>
    <n v="4.8"/>
    <n v="20"/>
    <n v="75598.92"/>
    <s v="6 Months"/>
  </r>
  <r>
    <x v="688"/>
    <n v="1405445"/>
    <n v="67"/>
    <x v="1"/>
    <x v="24"/>
    <x v="0"/>
    <x v="3"/>
    <x v="1"/>
    <x v="5"/>
    <x v="2"/>
    <x v="3"/>
    <n v="6"/>
    <n v="42999"/>
    <n v="15"/>
    <n v="219294.9"/>
    <n v="4.5999999999999996"/>
    <n v="20"/>
    <n v="46438.92"/>
    <s v="1 Year"/>
  </r>
  <r>
    <x v="689"/>
    <n v="6884354"/>
    <n v="23"/>
    <x v="0"/>
    <x v="24"/>
    <x v="0"/>
    <x v="0"/>
    <x v="0"/>
    <x v="0"/>
    <x v="0"/>
    <x v="4"/>
    <n v="3"/>
    <n v="99999"/>
    <n v="10"/>
    <n v="269997.3"/>
    <n v="4.7"/>
    <n v="20"/>
    <n v="53999.46"/>
    <s v="1 Year"/>
  </r>
  <r>
    <x v="690"/>
    <n v="8622174"/>
    <n v="40"/>
    <x v="0"/>
    <x v="24"/>
    <x v="0"/>
    <x v="4"/>
    <x v="1"/>
    <x v="1"/>
    <x v="1"/>
    <x v="4"/>
    <n v="37"/>
    <n v="4999"/>
    <n v="18"/>
    <n v="151669.66"/>
    <n v="4.4000000000000004"/>
    <n v="20"/>
    <n v="33293.339999999997"/>
    <s v="6 Months"/>
  </r>
  <r>
    <x v="691"/>
    <n v="2722780"/>
    <n v="49"/>
    <x v="0"/>
    <x v="24"/>
    <x v="0"/>
    <x v="3"/>
    <x v="2"/>
    <x v="2"/>
    <x v="1"/>
    <x v="4"/>
    <n v="12"/>
    <n v="24900"/>
    <n v="5"/>
    <n v="283860"/>
    <n v="4.8"/>
    <n v="20"/>
    <n v="53784"/>
    <s v="6 Months"/>
  </r>
  <r>
    <x v="692"/>
    <n v="5335990"/>
    <n v="26"/>
    <x v="0"/>
    <x v="24"/>
    <x v="0"/>
    <x v="3"/>
    <x v="3"/>
    <x v="3"/>
    <x v="0"/>
    <x v="4"/>
    <n v="6"/>
    <n v="84999"/>
    <n v="12"/>
    <n v="448794.72"/>
    <n v="4.5"/>
    <n v="20"/>
    <n v="91798.92"/>
    <s v="1 Year"/>
  </r>
  <r>
    <x v="693"/>
    <n v="7826950"/>
    <n v="33"/>
    <x v="0"/>
    <x v="24"/>
    <x v="0"/>
    <x v="1"/>
    <x v="2"/>
    <x v="4"/>
    <x v="2"/>
    <x v="4"/>
    <n v="4"/>
    <n v="69999"/>
    <n v="8"/>
    <n v="257596.32"/>
    <n v="4.8"/>
    <n v="20"/>
    <n v="50399.28"/>
    <s v="6 Months"/>
  </r>
  <r>
    <x v="694"/>
    <n v="5059217"/>
    <n v="26"/>
    <x v="0"/>
    <x v="24"/>
    <x v="0"/>
    <x v="4"/>
    <x v="1"/>
    <x v="5"/>
    <x v="2"/>
    <x v="4"/>
    <n v="10"/>
    <n v="42999"/>
    <n v="15"/>
    <n v="365491.5"/>
    <n v="4.5999999999999996"/>
    <n v="20"/>
    <n v="77398.2"/>
    <s v="1 Year"/>
  </r>
  <r>
    <x v="695"/>
    <n v="494347"/>
    <n v="62"/>
    <x v="1"/>
    <x v="25"/>
    <x v="0"/>
    <x v="3"/>
    <x v="0"/>
    <x v="0"/>
    <x v="0"/>
    <x v="0"/>
    <n v="3"/>
    <n v="99999"/>
    <n v="10"/>
    <n v="269997.3"/>
    <n v="4.7"/>
    <n v="20"/>
    <n v="53999.46"/>
    <s v="6 Months"/>
  </r>
  <r>
    <x v="696"/>
    <n v="2719685"/>
    <n v="69"/>
    <x v="1"/>
    <x v="25"/>
    <x v="0"/>
    <x v="3"/>
    <x v="1"/>
    <x v="1"/>
    <x v="1"/>
    <x v="0"/>
    <n v="38"/>
    <n v="4999"/>
    <n v="18"/>
    <n v="155768.84"/>
    <n v="4.4000000000000004"/>
    <n v="20"/>
    <n v="34193.159999999996"/>
    <s v="1 Year"/>
  </r>
  <r>
    <x v="697"/>
    <n v="2095200"/>
    <n v="67"/>
    <x v="1"/>
    <x v="25"/>
    <x v="0"/>
    <x v="5"/>
    <x v="2"/>
    <x v="2"/>
    <x v="1"/>
    <x v="0"/>
    <n v="14"/>
    <n v="24900"/>
    <n v="5"/>
    <n v="331170"/>
    <n v="4.8"/>
    <n v="20"/>
    <n v="62748"/>
    <s v="1 Year"/>
  </r>
  <r>
    <x v="697"/>
    <n v="2095200"/>
    <n v="59"/>
    <x v="1"/>
    <x v="25"/>
    <x v="0"/>
    <x v="3"/>
    <x v="3"/>
    <x v="3"/>
    <x v="0"/>
    <x v="0"/>
    <n v="6"/>
    <n v="84999"/>
    <n v="12"/>
    <n v="448794.72"/>
    <n v="4.5"/>
    <n v="20"/>
    <n v="91798.92"/>
    <s v="1 Year"/>
  </r>
  <r>
    <x v="698"/>
    <n v="2454836"/>
    <n v="64"/>
    <x v="1"/>
    <x v="25"/>
    <x v="0"/>
    <x v="2"/>
    <x v="2"/>
    <x v="4"/>
    <x v="2"/>
    <x v="0"/>
    <n v="3"/>
    <n v="69999"/>
    <n v="8"/>
    <n v="193197.24"/>
    <n v="4.8"/>
    <n v="20"/>
    <n v="37799.46"/>
    <s v="6 Months"/>
  </r>
  <r>
    <x v="698"/>
    <n v="2454836"/>
    <n v="23"/>
    <x v="0"/>
    <x v="25"/>
    <x v="0"/>
    <x v="0"/>
    <x v="1"/>
    <x v="5"/>
    <x v="2"/>
    <x v="0"/>
    <n v="11"/>
    <n v="42999"/>
    <n v="15"/>
    <n v="402040.65"/>
    <n v="4.5999999999999996"/>
    <n v="20"/>
    <n v="85138.02"/>
    <s v="1 Year"/>
  </r>
  <r>
    <x v="699"/>
    <n v="6200433"/>
    <n v="52"/>
    <x v="1"/>
    <x v="25"/>
    <x v="0"/>
    <x v="2"/>
    <x v="0"/>
    <x v="0"/>
    <x v="0"/>
    <x v="1"/>
    <n v="5"/>
    <n v="99999"/>
    <n v="10"/>
    <n v="449995.5"/>
    <n v="4.7"/>
    <n v="20"/>
    <n v="89999.099999999991"/>
    <s v="1 Year"/>
  </r>
  <r>
    <x v="700"/>
    <n v="5499856"/>
    <n v="53"/>
    <x v="1"/>
    <x v="25"/>
    <x v="0"/>
    <x v="5"/>
    <x v="1"/>
    <x v="1"/>
    <x v="1"/>
    <x v="1"/>
    <n v="44"/>
    <n v="4999"/>
    <n v="18"/>
    <n v="180363.91999999998"/>
    <n v="4.4000000000000004"/>
    <n v="20"/>
    <n v="39592.080000000002"/>
    <s v="1 Year"/>
  </r>
  <r>
    <x v="701"/>
    <n v="7665140"/>
    <n v="28"/>
    <x v="0"/>
    <x v="25"/>
    <x v="0"/>
    <x v="2"/>
    <x v="2"/>
    <x v="2"/>
    <x v="1"/>
    <x v="1"/>
    <n v="11"/>
    <n v="24900"/>
    <n v="5"/>
    <n v="260205"/>
    <n v="4.8"/>
    <n v="20"/>
    <n v="49302"/>
    <s v="1 Year"/>
  </r>
  <r>
    <x v="702"/>
    <n v="2440471"/>
    <n v="33"/>
    <x v="0"/>
    <x v="25"/>
    <x v="0"/>
    <x v="2"/>
    <x v="3"/>
    <x v="3"/>
    <x v="0"/>
    <x v="1"/>
    <n v="5"/>
    <n v="84999"/>
    <n v="12"/>
    <n v="373995.6"/>
    <n v="4.5"/>
    <n v="20"/>
    <n v="76499.099999999991"/>
    <s v="6 Months"/>
  </r>
  <r>
    <x v="703"/>
    <n v="3006045"/>
    <n v="32"/>
    <x v="0"/>
    <x v="25"/>
    <x v="3"/>
    <x v="3"/>
    <x v="2"/>
    <x v="4"/>
    <x v="2"/>
    <x v="1"/>
    <n v="5"/>
    <n v="69999"/>
    <n v="8"/>
    <n v="321995.40000000002"/>
    <n v="4.8"/>
    <n v="20"/>
    <n v="62999.1"/>
    <s v="1 Year"/>
  </r>
  <r>
    <x v="704"/>
    <n v="8395290"/>
    <n v="46"/>
    <x v="0"/>
    <x v="25"/>
    <x v="0"/>
    <x v="0"/>
    <x v="1"/>
    <x v="5"/>
    <x v="2"/>
    <x v="1"/>
    <n v="7"/>
    <n v="42999"/>
    <n v="15"/>
    <n v="255844.05"/>
    <n v="4.5999999999999996"/>
    <n v="20"/>
    <n v="54178.74"/>
    <s v="1 Year"/>
  </r>
  <r>
    <x v="705"/>
    <n v="946941"/>
    <n v="36"/>
    <x v="0"/>
    <x v="25"/>
    <x v="0"/>
    <x v="2"/>
    <x v="0"/>
    <x v="0"/>
    <x v="0"/>
    <x v="2"/>
    <n v="3"/>
    <n v="99999"/>
    <n v="10"/>
    <n v="269997.3"/>
    <n v="4.7"/>
    <n v="20"/>
    <n v="53999.46"/>
    <s v="1 Year"/>
  </r>
  <r>
    <x v="706"/>
    <n v="1458563"/>
    <n v="46"/>
    <x v="0"/>
    <x v="25"/>
    <x v="0"/>
    <x v="2"/>
    <x v="1"/>
    <x v="1"/>
    <x v="1"/>
    <x v="2"/>
    <n v="56"/>
    <n v="4999"/>
    <n v="18"/>
    <n v="229554.08000000002"/>
    <n v="4.4000000000000004"/>
    <n v="20"/>
    <n v="50389.919999999998"/>
    <s v="1 Year"/>
  </r>
  <r>
    <x v="707"/>
    <n v="6352387"/>
    <n v="61"/>
    <x v="1"/>
    <x v="25"/>
    <x v="0"/>
    <x v="2"/>
    <x v="2"/>
    <x v="2"/>
    <x v="1"/>
    <x v="2"/>
    <n v="7"/>
    <n v="24900"/>
    <n v="5"/>
    <n v="165585"/>
    <n v="4.8"/>
    <n v="20"/>
    <n v="31374"/>
    <s v="6 Months"/>
  </r>
  <r>
    <x v="708"/>
    <n v="3994643"/>
    <n v="19"/>
    <x v="2"/>
    <x v="25"/>
    <x v="0"/>
    <x v="2"/>
    <x v="3"/>
    <x v="3"/>
    <x v="0"/>
    <x v="2"/>
    <n v="5"/>
    <n v="84999"/>
    <n v="12"/>
    <n v="373995.6"/>
    <n v="4.5"/>
    <n v="20"/>
    <n v="76499.099999999991"/>
    <s v="6 Months"/>
  </r>
  <r>
    <x v="709"/>
    <n v="1301703"/>
    <n v="35"/>
    <x v="0"/>
    <x v="25"/>
    <x v="0"/>
    <x v="0"/>
    <x v="2"/>
    <x v="4"/>
    <x v="2"/>
    <x v="2"/>
    <n v="6"/>
    <n v="69999"/>
    <n v="8"/>
    <n v="386394.48"/>
    <n v="4.8"/>
    <n v="20"/>
    <n v="75598.92"/>
    <s v="1 Year"/>
  </r>
  <r>
    <x v="710"/>
    <n v="9479330"/>
    <n v="29"/>
    <x v="0"/>
    <x v="25"/>
    <x v="0"/>
    <x v="2"/>
    <x v="1"/>
    <x v="5"/>
    <x v="2"/>
    <x v="2"/>
    <n v="8"/>
    <n v="42999"/>
    <n v="15"/>
    <n v="292393.2"/>
    <n v="4.5999999999999996"/>
    <n v="20"/>
    <n v="61918.559999999998"/>
    <s v="1 Year"/>
  </r>
  <r>
    <x v="711"/>
    <n v="3896864"/>
    <n v="37"/>
    <x v="0"/>
    <x v="25"/>
    <x v="0"/>
    <x v="3"/>
    <x v="0"/>
    <x v="0"/>
    <x v="0"/>
    <x v="3"/>
    <n v="6"/>
    <n v="99999"/>
    <n v="10"/>
    <n v="539994.6"/>
    <n v="4.7"/>
    <n v="20"/>
    <n v="107998.92"/>
    <s v="1 Year"/>
  </r>
  <r>
    <x v="712"/>
    <n v="1345584"/>
    <n v="46"/>
    <x v="0"/>
    <x v="25"/>
    <x v="0"/>
    <x v="3"/>
    <x v="1"/>
    <x v="1"/>
    <x v="1"/>
    <x v="3"/>
    <n v="45"/>
    <n v="4999"/>
    <n v="18"/>
    <n v="184463.1"/>
    <n v="4.4000000000000004"/>
    <n v="20"/>
    <n v="40491.9"/>
    <s v="1 Year"/>
  </r>
  <r>
    <x v="713"/>
    <n v="5716860"/>
    <n v="18"/>
    <x v="2"/>
    <x v="25"/>
    <x v="0"/>
    <x v="1"/>
    <x v="2"/>
    <x v="2"/>
    <x v="1"/>
    <x v="3"/>
    <n v="5"/>
    <n v="24900"/>
    <n v="5"/>
    <n v="118275"/>
    <n v="4.8"/>
    <n v="20"/>
    <n v="22410"/>
    <s v="1 Year"/>
  </r>
  <r>
    <x v="714"/>
    <n v="4272710"/>
    <n v="40"/>
    <x v="0"/>
    <x v="25"/>
    <x v="0"/>
    <x v="0"/>
    <x v="3"/>
    <x v="3"/>
    <x v="0"/>
    <x v="3"/>
    <n v="2"/>
    <n v="84999"/>
    <n v="12"/>
    <n v="149598.24"/>
    <n v="4.5"/>
    <n v="20"/>
    <n v="30599.64"/>
    <s v="1 Year"/>
  </r>
  <r>
    <x v="715"/>
    <n v="922290"/>
    <n v="37"/>
    <x v="0"/>
    <x v="25"/>
    <x v="0"/>
    <x v="2"/>
    <x v="2"/>
    <x v="4"/>
    <x v="2"/>
    <x v="3"/>
    <n v="5"/>
    <n v="69999"/>
    <n v="8"/>
    <n v="321995.40000000002"/>
    <n v="4.8"/>
    <n v="20"/>
    <n v="62999.1"/>
    <s v="6 Months"/>
  </r>
  <r>
    <x v="715"/>
    <n v="922290"/>
    <n v="61"/>
    <x v="1"/>
    <x v="25"/>
    <x v="0"/>
    <x v="2"/>
    <x v="1"/>
    <x v="5"/>
    <x v="2"/>
    <x v="3"/>
    <n v="5"/>
    <n v="42999"/>
    <n v="15"/>
    <n v="182745.75"/>
    <n v="4.5999999999999996"/>
    <n v="20"/>
    <n v="38699.1"/>
    <s v="1 Year"/>
  </r>
  <r>
    <x v="715"/>
    <n v="922290"/>
    <n v="47"/>
    <x v="0"/>
    <x v="25"/>
    <x v="0"/>
    <x v="2"/>
    <x v="0"/>
    <x v="0"/>
    <x v="0"/>
    <x v="4"/>
    <n v="6"/>
    <n v="99999"/>
    <n v="10"/>
    <n v="539994.6"/>
    <n v="4.7"/>
    <n v="20"/>
    <n v="107998.92"/>
    <s v="1 Year"/>
  </r>
  <r>
    <x v="716"/>
    <n v="1740618"/>
    <n v="39"/>
    <x v="0"/>
    <x v="25"/>
    <x v="0"/>
    <x v="2"/>
    <x v="1"/>
    <x v="1"/>
    <x v="1"/>
    <x v="4"/>
    <n v="37"/>
    <n v="4999"/>
    <n v="18"/>
    <n v="151669.66"/>
    <n v="4.4000000000000004"/>
    <n v="20"/>
    <n v="33293.339999999997"/>
    <s v="6 Months"/>
  </r>
  <r>
    <x v="716"/>
    <n v="1740618"/>
    <n v="38"/>
    <x v="0"/>
    <x v="25"/>
    <x v="0"/>
    <x v="3"/>
    <x v="2"/>
    <x v="2"/>
    <x v="1"/>
    <x v="4"/>
    <n v="14"/>
    <n v="24900"/>
    <n v="5"/>
    <n v="331170"/>
    <n v="4.8"/>
    <n v="20"/>
    <n v="62748"/>
    <s v="1 Year"/>
  </r>
  <r>
    <x v="717"/>
    <n v="602968"/>
    <n v="28"/>
    <x v="0"/>
    <x v="25"/>
    <x v="2"/>
    <x v="5"/>
    <x v="3"/>
    <x v="3"/>
    <x v="0"/>
    <x v="4"/>
    <n v="4"/>
    <n v="84999"/>
    <n v="12"/>
    <n v="299196.48"/>
    <n v="4.5"/>
    <n v="20"/>
    <n v="61199.28"/>
    <s v="6 Months"/>
  </r>
  <r>
    <x v="718"/>
    <n v="9062863"/>
    <n v="41"/>
    <x v="0"/>
    <x v="25"/>
    <x v="3"/>
    <x v="2"/>
    <x v="2"/>
    <x v="4"/>
    <x v="2"/>
    <x v="4"/>
    <n v="4"/>
    <n v="69999"/>
    <n v="8"/>
    <n v="257596.32"/>
    <n v="4.8"/>
    <n v="20"/>
    <n v="50399.28"/>
    <s v="1 Year"/>
  </r>
  <r>
    <x v="719"/>
    <n v="3613368"/>
    <n v="43"/>
    <x v="0"/>
    <x v="25"/>
    <x v="0"/>
    <x v="2"/>
    <x v="1"/>
    <x v="5"/>
    <x v="2"/>
    <x v="4"/>
    <n v="11"/>
    <n v="42999"/>
    <n v="15"/>
    <n v="402040.65"/>
    <n v="4.5999999999999996"/>
    <n v="20"/>
    <n v="85138.02"/>
    <s v="1 Year"/>
  </r>
  <r>
    <x v="720"/>
    <n v="4420178"/>
    <n v="27"/>
    <x v="0"/>
    <x v="26"/>
    <x v="0"/>
    <x v="2"/>
    <x v="0"/>
    <x v="0"/>
    <x v="0"/>
    <x v="0"/>
    <n v="6"/>
    <n v="99999"/>
    <n v="10"/>
    <n v="539994.6"/>
    <n v="4.7"/>
    <n v="20"/>
    <n v="107998.92"/>
    <s v="1 Year"/>
  </r>
  <r>
    <x v="721"/>
    <n v="4969411"/>
    <n v="37"/>
    <x v="0"/>
    <x v="26"/>
    <x v="0"/>
    <x v="2"/>
    <x v="1"/>
    <x v="1"/>
    <x v="1"/>
    <x v="0"/>
    <n v="60"/>
    <n v="4999"/>
    <n v="18"/>
    <n v="245950.8"/>
    <n v="4.4000000000000004"/>
    <n v="20"/>
    <n v="53989.2"/>
    <s v="1 Year"/>
  </r>
  <r>
    <x v="722"/>
    <n v="9145699"/>
    <n v="40"/>
    <x v="0"/>
    <x v="26"/>
    <x v="0"/>
    <x v="0"/>
    <x v="2"/>
    <x v="2"/>
    <x v="1"/>
    <x v="0"/>
    <n v="6"/>
    <n v="24900"/>
    <n v="5"/>
    <n v="141930"/>
    <n v="4.8"/>
    <n v="20"/>
    <n v="26892"/>
    <s v="1 Year"/>
  </r>
  <r>
    <x v="723"/>
    <n v="9303710"/>
    <n v="57"/>
    <x v="1"/>
    <x v="26"/>
    <x v="0"/>
    <x v="0"/>
    <x v="3"/>
    <x v="3"/>
    <x v="0"/>
    <x v="0"/>
    <n v="6"/>
    <n v="84999"/>
    <n v="12"/>
    <n v="448794.72"/>
    <n v="4.5"/>
    <n v="20"/>
    <n v="91798.92"/>
    <s v="1 Year"/>
  </r>
  <r>
    <x v="724"/>
    <n v="3306879"/>
    <n v="23"/>
    <x v="0"/>
    <x v="26"/>
    <x v="0"/>
    <x v="2"/>
    <x v="2"/>
    <x v="4"/>
    <x v="2"/>
    <x v="0"/>
    <n v="3"/>
    <n v="69999"/>
    <n v="8"/>
    <n v="193197.24"/>
    <n v="4.8"/>
    <n v="20"/>
    <n v="37799.46"/>
    <s v="6 Months"/>
  </r>
  <r>
    <x v="725"/>
    <n v="3772426"/>
    <n v="44"/>
    <x v="0"/>
    <x v="26"/>
    <x v="0"/>
    <x v="0"/>
    <x v="1"/>
    <x v="5"/>
    <x v="2"/>
    <x v="0"/>
    <n v="7"/>
    <n v="42999"/>
    <n v="15"/>
    <n v="255844.05"/>
    <n v="4.5999999999999996"/>
    <n v="20"/>
    <n v="54178.74"/>
    <s v="1 Year"/>
  </r>
  <r>
    <x v="726"/>
    <n v="6142702"/>
    <n v="27"/>
    <x v="0"/>
    <x v="26"/>
    <x v="0"/>
    <x v="0"/>
    <x v="0"/>
    <x v="0"/>
    <x v="0"/>
    <x v="1"/>
    <n v="4"/>
    <n v="99999"/>
    <n v="10"/>
    <n v="359996.4"/>
    <n v="4.7"/>
    <n v="20"/>
    <n v="71999.28"/>
    <s v="1 Year"/>
  </r>
  <r>
    <x v="727"/>
    <n v="9677638"/>
    <n v="46"/>
    <x v="0"/>
    <x v="26"/>
    <x v="0"/>
    <x v="3"/>
    <x v="1"/>
    <x v="1"/>
    <x v="1"/>
    <x v="1"/>
    <n v="32"/>
    <n v="4999"/>
    <n v="18"/>
    <n v="131173.76000000001"/>
    <n v="4.4000000000000004"/>
    <n v="20"/>
    <n v="28794.239999999998"/>
    <s v="1 Year"/>
  </r>
  <r>
    <x v="728"/>
    <n v="3539534"/>
    <n v="29"/>
    <x v="0"/>
    <x v="26"/>
    <x v="0"/>
    <x v="1"/>
    <x v="2"/>
    <x v="2"/>
    <x v="1"/>
    <x v="1"/>
    <n v="7"/>
    <n v="24900"/>
    <n v="5"/>
    <n v="165585"/>
    <n v="4.8"/>
    <n v="20"/>
    <n v="31374"/>
    <s v="1 Year"/>
  </r>
  <r>
    <x v="729"/>
    <n v="3693017"/>
    <n v="21"/>
    <x v="0"/>
    <x v="26"/>
    <x v="0"/>
    <x v="2"/>
    <x v="3"/>
    <x v="3"/>
    <x v="0"/>
    <x v="1"/>
    <n v="3"/>
    <n v="84999"/>
    <n v="12"/>
    <n v="224397.36"/>
    <n v="4.5"/>
    <n v="20"/>
    <n v="45899.46"/>
    <s v="6 Months"/>
  </r>
  <r>
    <x v="730"/>
    <n v="908483"/>
    <n v="23"/>
    <x v="0"/>
    <x v="26"/>
    <x v="3"/>
    <x v="0"/>
    <x v="2"/>
    <x v="4"/>
    <x v="2"/>
    <x v="1"/>
    <n v="2"/>
    <n v="69999"/>
    <n v="8"/>
    <n v="128798.16"/>
    <n v="4.8"/>
    <n v="20"/>
    <n v="25199.64"/>
    <s v="1 Year"/>
  </r>
  <r>
    <x v="731"/>
    <n v="3061762"/>
    <n v="40"/>
    <x v="0"/>
    <x v="26"/>
    <x v="0"/>
    <x v="5"/>
    <x v="1"/>
    <x v="5"/>
    <x v="2"/>
    <x v="1"/>
    <n v="6"/>
    <n v="42999"/>
    <n v="15"/>
    <n v="219294.9"/>
    <n v="4.5999999999999996"/>
    <n v="20"/>
    <n v="46438.92"/>
    <s v="1 Year"/>
  </r>
  <r>
    <x v="732"/>
    <n v="309970"/>
    <n v="19"/>
    <x v="2"/>
    <x v="26"/>
    <x v="0"/>
    <x v="0"/>
    <x v="0"/>
    <x v="0"/>
    <x v="0"/>
    <x v="2"/>
    <n v="5"/>
    <n v="99999"/>
    <n v="10"/>
    <n v="449995.5"/>
    <n v="4.7"/>
    <n v="20"/>
    <n v="89999.099999999991"/>
    <s v="1 Year"/>
  </r>
  <r>
    <x v="733"/>
    <n v="1438249"/>
    <n v="39"/>
    <x v="0"/>
    <x v="26"/>
    <x v="0"/>
    <x v="2"/>
    <x v="1"/>
    <x v="1"/>
    <x v="1"/>
    <x v="2"/>
    <n v="33"/>
    <n v="4999"/>
    <n v="18"/>
    <n v="135272.94"/>
    <n v="4.4000000000000004"/>
    <n v="20"/>
    <n v="29694.059999999998"/>
    <s v="6 Months"/>
  </r>
  <r>
    <x v="734"/>
    <n v="1877949"/>
    <n v="43"/>
    <x v="0"/>
    <x v="26"/>
    <x v="0"/>
    <x v="3"/>
    <x v="2"/>
    <x v="2"/>
    <x v="1"/>
    <x v="2"/>
    <n v="7"/>
    <n v="24900"/>
    <n v="5"/>
    <n v="165585"/>
    <n v="4.8"/>
    <n v="20"/>
    <n v="31374"/>
    <s v="1 Year"/>
  </r>
  <r>
    <x v="735"/>
    <n v="9045024"/>
    <n v="25"/>
    <x v="0"/>
    <x v="26"/>
    <x v="0"/>
    <x v="2"/>
    <x v="3"/>
    <x v="3"/>
    <x v="0"/>
    <x v="2"/>
    <n v="5"/>
    <n v="84999"/>
    <n v="12"/>
    <n v="373995.6"/>
    <n v="4.5"/>
    <n v="20"/>
    <n v="76499.099999999991"/>
    <s v="6 Months"/>
  </r>
  <r>
    <x v="736"/>
    <n v="7001559"/>
    <n v="72"/>
    <x v="1"/>
    <x v="26"/>
    <x v="0"/>
    <x v="2"/>
    <x v="2"/>
    <x v="4"/>
    <x v="2"/>
    <x v="2"/>
    <n v="4"/>
    <n v="69999"/>
    <n v="8"/>
    <n v="257596.32"/>
    <n v="4.8"/>
    <n v="20"/>
    <n v="50399.28"/>
    <s v="6 Months"/>
  </r>
  <r>
    <x v="737"/>
    <n v="9419615"/>
    <n v="21"/>
    <x v="0"/>
    <x v="26"/>
    <x v="0"/>
    <x v="2"/>
    <x v="1"/>
    <x v="5"/>
    <x v="2"/>
    <x v="2"/>
    <n v="7"/>
    <n v="42999"/>
    <n v="15"/>
    <n v="255844.05"/>
    <n v="4.5999999999999996"/>
    <n v="20"/>
    <n v="54178.74"/>
    <s v="6 Months"/>
  </r>
  <r>
    <x v="738"/>
    <n v="472980"/>
    <n v="61"/>
    <x v="1"/>
    <x v="26"/>
    <x v="0"/>
    <x v="0"/>
    <x v="0"/>
    <x v="0"/>
    <x v="0"/>
    <x v="3"/>
    <n v="4"/>
    <n v="99999"/>
    <n v="10"/>
    <n v="359996.4"/>
    <n v="4.7"/>
    <n v="20"/>
    <n v="71999.28"/>
    <s v="1 Year"/>
  </r>
  <r>
    <x v="739"/>
    <n v="2179320"/>
    <n v="36"/>
    <x v="0"/>
    <x v="26"/>
    <x v="0"/>
    <x v="3"/>
    <x v="1"/>
    <x v="1"/>
    <x v="1"/>
    <x v="3"/>
    <n v="54"/>
    <n v="4999"/>
    <n v="18"/>
    <n v="221355.72"/>
    <n v="4.4000000000000004"/>
    <n v="20"/>
    <n v="48590.28"/>
    <s v="6 Months"/>
  </r>
  <r>
    <x v="740"/>
    <n v="2051832"/>
    <n v="46"/>
    <x v="0"/>
    <x v="26"/>
    <x v="0"/>
    <x v="0"/>
    <x v="2"/>
    <x v="2"/>
    <x v="1"/>
    <x v="3"/>
    <n v="12"/>
    <n v="24900"/>
    <n v="5"/>
    <n v="283860"/>
    <n v="4.8"/>
    <n v="20"/>
    <n v="53784"/>
    <s v="1 Year"/>
  </r>
  <r>
    <x v="741"/>
    <n v="1945413"/>
    <n v="33"/>
    <x v="0"/>
    <x v="26"/>
    <x v="3"/>
    <x v="3"/>
    <x v="3"/>
    <x v="3"/>
    <x v="0"/>
    <x v="3"/>
    <n v="4"/>
    <n v="84999"/>
    <n v="12"/>
    <n v="299196.48"/>
    <n v="4.5"/>
    <n v="20"/>
    <n v="61199.28"/>
    <s v="1 Year"/>
  </r>
  <r>
    <x v="742"/>
    <n v="8267857"/>
    <n v="46"/>
    <x v="0"/>
    <x v="26"/>
    <x v="0"/>
    <x v="0"/>
    <x v="2"/>
    <x v="4"/>
    <x v="2"/>
    <x v="3"/>
    <n v="4"/>
    <n v="69999"/>
    <n v="8"/>
    <n v="257596.32"/>
    <n v="4.8"/>
    <n v="20"/>
    <n v="50399.28"/>
    <s v="1 Year"/>
  </r>
  <r>
    <x v="743"/>
    <n v="4748694"/>
    <n v="26"/>
    <x v="0"/>
    <x v="26"/>
    <x v="0"/>
    <x v="1"/>
    <x v="1"/>
    <x v="5"/>
    <x v="2"/>
    <x v="3"/>
    <n v="9"/>
    <n v="42999"/>
    <n v="15"/>
    <n v="328942.34999999998"/>
    <n v="4.5999999999999996"/>
    <n v="20"/>
    <n v="69658.38"/>
    <s v="1 Year"/>
  </r>
  <r>
    <x v="744"/>
    <n v="2831295"/>
    <n v="30"/>
    <x v="0"/>
    <x v="26"/>
    <x v="0"/>
    <x v="2"/>
    <x v="0"/>
    <x v="0"/>
    <x v="0"/>
    <x v="4"/>
    <n v="4"/>
    <n v="99999"/>
    <n v="10"/>
    <n v="359996.4"/>
    <n v="4.7"/>
    <n v="20"/>
    <n v="71999.28"/>
    <s v="6 Months"/>
  </r>
  <r>
    <x v="745"/>
    <n v="5974139"/>
    <n v="52"/>
    <x v="1"/>
    <x v="26"/>
    <x v="0"/>
    <x v="2"/>
    <x v="1"/>
    <x v="1"/>
    <x v="1"/>
    <x v="4"/>
    <n v="52"/>
    <n v="4999"/>
    <n v="18"/>
    <n v="213157.36"/>
    <n v="4.4000000000000004"/>
    <n v="20"/>
    <n v="46790.64"/>
    <s v="1 Year"/>
  </r>
  <r>
    <x v="746"/>
    <n v="7598776"/>
    <n v="47"/>
    <x v="0"/>
    <x v="26"/>
    <x v="0"/>
    <x v="2"/>
    <x v="2"/>
    <x v="2"/>
    <x v="1"/>
    <x v="4"/>
    <n v="7"/>
    <n v="24900"/>
    <n v="5"/>
    <n v="165585"/>
    <n v="4.8"/>
    <n v="20"/>
    <n v="31374"/>
    <s v="6 Months"/>
  </r>
  <r>
    <x v="747"/>
    <n v="7930396"/>
    <n v="21"/>
    <x v="0"/>
    <x v="26"/>
    <x v="0"/>
    <x v="0"/>
    <x v="3"/>
    <x v="3"/>
    <x v="0"/>
    <x v="4"/>
    <n v="4"/>
    <n v="84999"/>
    <n v="12"/>
    <n v="299196.48"/>
    <n v="4.5"/>
    <n v="20"/>
    <n v="61199.28"/>
    <s v="1 Year"/>
  </r>
  <r>
    <x v="748"/>
    <n v="3709623"/>
    <n v="29"/>
    <x v="0"/>
    <x v="26"/>
    <x v="0"/>
    <x v="2"/>
    <x v="2"/>
    <x v="4"/>
    <x v="2"/>
    <x v="4"/>
    <n v="4"/>
    <n v="69999"/>
    <n v="8"/>
    <n v="257596.32"/>
    <n v="4.8"/>
    <n v="20"/>
    <n v="50399.28"/>
    <s v="6 Months"/>
  </r>
  <r>
    <x v="748"/>
    <n v="3709623"/>
    <n v="76"/>
    <x v="1"/>
    <x v="26"/>
    <x v="0"/>
    <x v="4"/>
    <x v="1"/>
    <x v="5"/>
    <x v="2"/>
    <x v="4"/>
    <n v="6"/>
    <n v="42999"/>
    <n v="15"/>
    <n v="219294.9"/>
    <n v="4.5999999999999996"/>
    <n v="20"/>
    <n v="46438.92"/>
    <s v="1 Year"/>
  </r>
  <r>
    <x v="749"/>
    <n v="9721972"/>
    <n v="30"/>
    <x v="0"/>
    <x v="27"/>
    <x v="0"/>
    <x v="2"/>
    <x v="0"/>
    <x v="0"/>
    <x v="0"/>
    <x v="0"/>
    <n v="6"/>
    <n v="99999"/>
    <n v="10"/>
    <n v="539994.6"/>
    <n v="4.7"/>
    <n v="20"/>
    <n v="107998.92"/>
    <s v="1 Year"/>
  </r>
  <r>
    <x v="750"/>
    <n v="7604634"/>
    <n v="51"/>
    <x v="1"/>
    <x v="27"/>
    <x v="0"/>
    <x v="2"/>
    <x v="1"/>
    <x v="1"/>
    <x v="1"/>
    <x v="0"/>
    <n v="33"/>
    <n v="4999"/>
    <n v="18"/>
    <n v="135272.94"/>
    <n v="4.4000000000000004"/>
    <n v="20"/>
    <n v="29694.059999999998"/>
    <s v="1 Year"/>
  </r>
  <r>
    <x v="751"/>
    <n v="3948279"/>
    <n v="36"/>
    <x v="0"/>
    <x v="27"/>
    <x v="0"/>
    <x v="3"/>
    <x v="2"/>
    <x v="2"/>
    <x v="1"/>
    <x v="0"/>
    <n v="8"/>
    <n v="24900"/>
    <n v="5"/>
    <n v="189240"/>
    <n v="4.8"/>
    <n v="20"/>
    <n v="35856"/>
    <s v="1 Year"/>
  </r>
  <r>
    <x v="752"/>
    <n v="3319282"/>
    <n v="20"/>
    <x v="0"/>
    <x v="27"/>
    <x v="0"/>
    <x v="2"/>
    <x v="3"/>
    <x v="3"/>
    <x v="0"/>
    <x v="0"/>
    <n v="5"/>
    <n v="84999"/>
    <n v="12"/>
    <n v="373995.6"/>
    <n v="4.5"/>
    <n v="20"/>
    <n v="76499.099999999991"/>
    <s v="1 Year"/>
  </r>
  <r>
    <x v="753"/>
    <n v="3567779"/>
    <n v="37"/>
    <x v="0"/>
    <x v="27"/>
    <x v="0"/>
    <x v="3"/>
    <x v="2"/>
    <x v="4"/>
    <x v="2"/>
    <x v="0"/>
    <n v="3"/>
    <n v="69999"/>
    <n v="8"/>
    <n v="193197.24"/>
    <n v="4.8"/>
    <n v="20"/>
    <n v="37799.46"/>
    <s v="6 Months"/>
  </r>
  <r>
    <x v="754"/>
    <n v="5569066"/>
    <n v="35"/>
    <x v="0"/>
    <x v="27"/>
    <x v="0"/>
    <x v="2"/>
    <x v="1"/>
    <x v="5"/>
    <x v="2"/>
    <x v="0"/>
    <n v="10"/>
    <n v="42999"/>
    <n v="15"/>
    <n v="365491.5"/>
    <n v="4.5999999999999996"/>
    <n v="20"/>
    <n v="77398.2"/>
    <s v="6 Months"/>
  </r>
  <r>
    <x v="755"/>
    <n v="3424885"/>
    <n v="29"/>
    <x v="0"/>
    <x v="27"/>
    <x v="3"/>
    <x v="3"/>
    <x v="0"/>
    <x v="0"/>
    <x v="0"/>
    <x v="1"/>
    <n v="5"/>
    <n v="99999"/>
    <n v="10"/>
    <n v="449995.5"/>
    <n v="4.7"/>
    <n v="20"/>
    <n v="89999.099999999991"/>
    <s v="1 Year"/>
  </r>
  <r>
    <x v="756"/>
    <n v="4504136"/>
    <n v="25"/>
    <x v="0"/>
    <x v="27"/>
    <x v="0"/>
    <x v="1"/>
    <x v="1"/>
    <x v="1"/>
    <x v="1"/>
    <x v="1"/>
    <n v="60"/>
    <n v="4999"/>
    <n v="18"/>
    <n v="245950.8"/>
    <n v="4.4000000000000004"/>
    <n v="20"/>
    <n v="53989.2"/>
    <s v="1 Year"/>
  </r>
  <r>
    <x v="757"/>
    <n v="4416496"/>
    <n v="32"/>
    <x v="0"/>
    <x v="27"/>
    <x v="0"/>
    <x v="3"/>
    <x v="2"/>
    <x v="2"/>
    <x v="1"/>
    <x v="1"/>
    <n v="5"/>
    <n v="24900"/>
    <n v="5"/>
    <n v="118275"/>
    <n v="4.8"/>
    <n v="20"/>
    <n v="22410"/>
    <s v="1 Year"/>
  </r>
  <r>
    <x v="758"/>
    <n v="1440289"/>
    <n v="19"/>
    <x v="2"/>
    <x v="27"/>
    <x v="0"/>
    <x v="2"/>
    <x v="3"/>
    <x v="3"/>
    <x v="0"/>
    <x v="1"/>
    <n v="6"/>
    <n v="84999"/>
    <n v="12"/>
    <n v="448794.72"/>
    <n v="4.5"/>
    <n v="20"/>
    <n v="91798.92"/>
    <s v="6 Months"/>
  </r>
  <r>
    <x v="759"/>
    <n v="5195596"/>
    <n v="56"/>
    <x v="1"/>
    <x v="27"/>
    <x v="1"/>
    <x v="0"/>
    <x v="2"/>
    <x v="4"/>
    <x v="2"/>
    <x v="1"/>
    <n v="5"/>
    <n v="69999"/>
    <n v="8"/>
    <n v="321995.40000000002"/>
    <n v="4.8"/>
    <n v="20"/>
    <n v="62999.1"/>
    <s v="1 Year"/>
  </r>
  <r>
    <x v="760"/>
    <n v="6836093"/>
    <n v="25"/>
    <x v="0"/>
    <x v="27"/>
    <x v="2"/>
    <x v="3"/>
    <x v="1"/>
    <x v="5"/>
    <x v="2"/>
    <x v="1"/>
    <n v="7"/>
    <n v="42999"/>
    <n v="15"/>
    <n v="255844.05"/>
    <n v="4.5999999999999996"/>
    <n v="20"/>
    <n v="54178.74"/>
    <s v="1 Year"/>
  </r>
  <r>
    <x v="761"/>
    <n v="3894545"/>
    <n v="37"/>
    <x v="0"/>
    <x v="27"/>
    <x v="0"/>
    <x v="1"/>
    <x v="0"/>
    <x v="0"/>
    <x v="0"/>
    <x v="2"/>
    <n v="6"/>
    <n v="99999"/>
    <n v="10"/>
    <n v="539994.6"/>
    <n v="4.7"/>
    <n v="20"/>
    <n v="107998.92"/>
    <s v="1 Year"/>
  </r>
  <r>
    <x v="762"/>
    <n v="9536882"/>
    <n v="40"/>
    <x v="0"/>
    <x v="27"/>
    <x v="0"/>
    <x v="3"/>
    <x v="1"/>
    <x v="1"/>
    <x v="1"/>
    <x v="2"/>
    <n v="35"/>
    <n v="4999"/>
    <n v="18"/>
    <n v="143471.29999999999"/>
    <n v="4.4000000000000004"/>
    <n v="20"/>
    <n v="31493.699999999997"/>
    <s v="1 Year"/>
  </r>
  <r>
    <x v="763"/>
    <n v="7032778"/>
    <n v="33"/>
    <x v="0"/>
    <x v="27"/>
    <x v="0"/>
    <x v="2"/>
    <x v="2"/>
    <x v="2"/>
    <x v="1"/>
    <x v="2"/>
    <n v="8"/>
    <n v="24900"/>
    <n v="5"/>
    <n v="189240"/>
    <n v="4.8"/>
    <n v="20"/>
    <n v="35856"/>
    <s v="6 Months"/>
  </r>
  <r>
    <x v="764"/>
    <n v="9812865"/>
    <n v="48"/>
    <x v="0"/>
    <x v="27"/>
    <x v="0"/>
    <x v="2"/>
    <x v="3"/>
    <x v="3"/>
    <x v="0"/>
    <x v="2"/>
    <n v="4"/>
    <n v="84999"/>
    <n v="12"/>
    <n v="299196.48"/>
    <n v="4.5"/>
    <n v="20"/>
    <n v="61199.28"/>
    <s v="1 Year"/>
  </r>
  <r>
    <x v="765"/>
    <n v="8429877"/>
    <n v="21"/>
    <x v="0"/>
    <x v="27"/>
    <x v="0"/>
    <x v="2"/>
    <x v="2"/>
    <x v="4"/>
    <x v="2"/>
    <x v="2"/>
    <n v="3"/>
    <n v="69999"/>
    <n v="8"/>
    <n v="193197.24"/>
    <n v="4.8"/>
    <n v="20"/>
    <n v="37799.46"/>
    <s v="6 Months"/>
  </r>
  <r>
    <x v="766"/>
    <n v="6154566"/>
    <n v="29"/>
    <x v="0"/>
    <x v="27"/>
    <x v="0"/>
    <x v="5"/>
    <x v="1"/>
    <x v="5"/>
    <x v="2"/>
    <x v="2"/>
    <n v="8"/>
    <n v="42999"/>
    <n v="15"/>
    <n v="292393.2"/>
    <n v="4.5999999999999996"/>
    <n v="20"/>
    <n v="61918.559999999998"/>
    <s v="6 Months"/>
  </r>
  <r>
    <x v="767"/>
    <n v="8728806"/>
    <n v="40"/>
    <x v="0"/>
    <x v="27"/>
    <x v="0"/>
    <x v="3"/>
    <x v="0"/>
    <x v="0"/>
    <x v="0"/>
    <x v="3"/>
    <n v="5"/>
    <n v="99999"/>
    <n v="10"/>
    <n v="449995.5"/>
    <n v="4.7"/>
    <n v="20"/>
    <n v="89999.099999999991"/>
    <s v="6 Months"/>
  </r>
  <r>
    <x v="768"/>
    <n v="6662354"/>
    <n v="48"/>
    <x v="0"/>
    <x v="27"/>
    <x v="0"/>
    <x v="3"/>
    <x v="1"/>
    <x v="1"/>
    <x v="1"/>
    <x v="3"/>
    <n v="37"/>
    <n v="4999"/>
    <n v="18"/>
    <n v="151669.66"/>
    <n v="4.4000000000000004"/>
    <n v="20"/>
    <n v="33293.339999999997"/>
    <s v="1 Year"/>
  </r>
  <r>
    <x v="769"/>
    <n v="8629012"/>
    <n v="38"/>
    <x v="0"/>
    <x v="27"/>
    <x v="0"/>
    <x v="0"/>
    <x v="2"/>
    <x v="2"/>
    <x v="1"/>
    <x v="3"/>
    <n v="7"/>
    <n v="24900"/>
    <n v="5"/>
    <n v="165585"/>
    <n v="4.8"/>
    <n v="20"/>
    <n v="31374"/>
    <s v="1 Year"/>
  </r>
  <r>
    <x v="770"/>
    <n v="6505389"/>
    <n v="35"/>
    <x v="0"/>
    <x v="27"/>
    <x v="0"/>
    <x v="0"/>
    <x v="3"/>
    <x v="3"/>
    <x v="0"/>
    <x v="3"/>
    <n v="2"/>
    <n v="84999"/>
    <n v="12"/>
    <n v="149598.24"/>
    <n v="4.5"/>
    <n v="20"/>
    <n v="30599.64"/>
    <s v="1 Year"/>
  </r>
  <r>
    <x v="770"/>
    <n v="6505389"/>
    <n v="19"/>
    <x v="2"/>
    <x v="27"/>
    <x v="0"/>
    <x v="0"/>
    <x v="2"/>
    <x v="4"/>
    <x v="2"/>
    <x v="3"/>
    <n v="4"/>
    <n v="69999"/>
    <n v="8"/>
    <n v="257596.32"/>
    <n v="4.8"/>
    <n v="20"/>
    <n v="50399.28"/>
    <s v="1 Year"/>
  </r>
  <r>
    <x v="771"/>
    <n v="1492499"/>
    <n v="48"/>
    <x v="0"/>
    <x v="27"/>
    <x v="0"/>
    <x v="2"/>
    <x v="1"/>
    <x v="5"/>
    <x v="2"/>
    <x v="3"/>
    <n v="9"/>
    <n v="42999"/>
    <n v="15"/>
    <n v="328942.34999999998"/>
    <n v="4.5999999999999996"/>
    <n v="20"/>
    <n v="69658.38"/>
    <s v="1 Year"/>
  </r>
  <r>
    <x v="772"/>
    <n v="301836"/>
    <n v="18"/>
    <x v="2"/>
    <x v="27"/>
    <x v="0"/>
    <x v="1"/>
    <x v="0"/>
    <x v="0"/>
    <x v="0"/>
    <x v="4"/>
    <n v="5"/>
    <n v="99999"/>
    <n v="10"/>
    <n v="449995.5"/>
    <n v="4.7"/>
    <n v="20"/>
    <n v="89999.099999999991"/>
    <s v="1 Year"/>
  </r>
  <r>
    <x v="773"/>
    <n v="4159700"/>
    <n v="29"/>
    <x v="0"/>
    <x v="27"/>
    <x v="0"/>
    <x v="2"/>
    <x v="1"/>
    <x v="1"/>
    <x v="1"/>
    <x v="4"/>
    <n v="38"/>
    <n v="4999"/>
    <n v="18"/>
    <n v="155768.84"/>
    <n v="4.4000000000000004"/>
    <n v="20"/>
    <n v="34193.159999999996"/>
    <s v="1 Year"/>
  </r>
  <r>
    <x v="774"/>
    <n v="2887251"/>
    <n v="46"/>
    <x v="0"/>
    <x v="27"/>
    <x v="0"/>
    <x v="5"/>
    <x v="2"/>
    <x v="2"/>
    <x v="1"/>
    <x v="4"/>
    <n v="9"/>
    <n v="24900"/>
    <n v="5"/>
    <n v="212895"/>
    <n v="4.8"/>
    <n v="20"/>
    <n v="40338"/>
    <s v="1 Year"/>
  </r>
  <r>
    <x v="774"/>
    <n v="2887251"/>
    <n v="40"/>
    <x v="0"/>
    <x v="27"/>
    <x v="0"/>
    <x v="1"/>
    <x v="3"/>
    <x v="3"/>
    <x v="0"/>
    <x v="4"/>
    <n v="5"/>
    <n v="84999"/>
    <n v="12"/>
    <n v="373995.6"/>
    <n v="4.5"/>
    <n v="20"/>
    <n v="76499.099999999991"/>
    <s v="1 Year"/>
  </r>
  <r>
    <x v="775"/>
    <n v="7320995"/>
    <n v="33"/>
    <x v="0"/>
    <x v="27"/>
    <x v="0"/>
    <x v="5"/>
    <x v="2"/>
    <x v="4"/>
    <x v="2"/>
    <x v="4"/>
    <n v="3"/>
    <n v="69999"/>
    <n v="8"/>
    <n v="193197.24"/>
    <n v="4.8"/>
    <n v="20"/>
    <n v="37799.46"/>
    <s v="1 Year"/>
  </r>
  <r>
    <x v="776"/>
    <n v="5897451"/>
    <n v="27"/>
    <x v="0"/>
    <x v="27"/>
    <x v="0"/>
    <x v="4"/>
    <x v="1"/>
    <x v="5"/>
    <x v="2"/>
    <x v="4"/>
    <n v="6"/>
    <n v="42999"/>
    <n v="15"/>
    <n v="219294.9"/>
    <n v="4.5999999999999996"/>
    <n v="20"/>
    <n v="46438.92"/>
    <s v="1 Year"/>
  </r>
  <r>
    <x v="777"/>
    <n v="9561002"/>
    <n v="30"/>
    <x v="0"/>
    <x v="28"/>
    <x v="0"/>
    <x v="2"/>
    <x v="0"/>
    <x v="0"/>
    <x v="0"/>
    <x v="0"/>
    <n v="6"/>
    <n v="99999"/>
    <n v="10"/>
    <n v="539994.6"/>
    <n v="4.7"/>
    <n v="20"/>
    <n v="107998.92"/>
    <s v="6 Months"/>
  </r>
  <r>
    <x v="778"/>
    <n v="518681"/>
    <n v="75"/>
    <x v="1"/>
    <x v="28"/>
    <x v="0"/>
    <x v="2"/>
    <x v="1"/>
    <x v="1"/>
    <x v="1"/>
    <x v="0"/>
    <n v="52"/>
    <n v="4999"/>
    <n v="18"/>
    <n v="213157.36"/>
    <n v="4.4000000000000004"/>
    <n v="20"/>
    <n v="46790.64"/>
    <s v="6 Months"/>
  </r>
  <r>
    <x v="779"/>
    <n v="5800756"/>
    <n v="24"/>
    <x v="0"/>
    <x v="28"/>
    <x v="1"/>
    <x v="3"/>
    <x v="2"/>
    <x v="2"/>
    <x v="1"/>
    <x v="0"/>
    <n v="8"/>
    <n v="24900"/>
    <n v="5"/>
    <n v="189240"/>
    <n v="4.8"/>
    <n v="20"/>
    <n v="35856"/>
    <s v="1 Year"/>
  </r>
  <r>
    <x v="780"/>
    <n v="9551282"/>
    <n v="44"/>
    <x v="0"/>
    <x v="28"/>
    <x v="0"/>
    <x v="1"/>
    <x v="3"/>
    <x v="3"/>
    <x v="0"/>
    <x v="0"/>
    <n v="5"/>
    <n v="84999"/>
    <n v="12"/>
    <n v="373995.6"/>
    <n v="4.5"/>
    <n v="20"/>
    <n v="76499.099999999991"/>
    <s v="6 Months"/>
  </r>
  <r>
    <x v="781"/>
    <n v="1742599"/>
    <n v="48"/>
    <x v="0"/>
    <x v="28"/>
    <x v="0"/>
    <x v="0"/>
    <x v="2"/>
    <x v="4"/>
    <x v="2"/>
    <x v="0"/>
    <n v="5"/>
    <n v="69999"/>
    <n v="8"/>
    <n v="321995.40000000002"/>
    <n v="4.8"/>
    <n v="20"/>
    <n v="62999.1"/>
    <s v="1 Year"/>
  </r>
  <r>
    <x v="782"/>
    <n v="4054097"/>
    <n v="52"/>
    <x v="1"/>
    <x v="28"/>
    <x v="0"/>
    <x v="2"/>
    <x v="1"/>
    <x v="5"/>
    <x v="2"/>
    <x v="0"/>
    <n v="8"/>
    <n v="42999"/>
    <n v="15"/>
    <n v="292393.2"/>
    <n v="4.5999999999999996"/>
    <n v="20"/>
    <n v="61918.559999999998"/>
    <s v="1 Year"/>
  </r>
  <r>
    <x v="783"/>
    <n v="232355"/>
    <n v="63"/>
    <x v="1"/>
    <x v="28"/>
    <x v="0"/>
    <x v="0"/>
    <x v="0"/>
    <x v="0"/>
    <x v="0"/>
    <x v="1"/>
    <n v="4"/>
    <n v="99999"/>
    <n v="10"/>
    <n v="359996.4"/>
    <n v="4.7"/>
    <n v="20"/>
    <n v="71999.28"/>
    <s v="1 Year"/>
  </r>
  <r>
    <x v="784"/>
    <n v="4278165"/>
    <n v="31"/>
    <x v="0"/>
    <x v="28"/>
    <x v="1"/>
    <x v="1"/>
    <x v="1"/>
    <x v="1"/>
    <x v="1"/>
    <x v="1"/>
    <n v="32"/>
    <n v="4999"/>
    <n v="18"/>
    <n v="131173.76000000001"/>
    <n v="4.4000000000000004"/>
    <n v="20"/>
    <n v="28794.239999999998"/>
    <s v="1 Year"/>
  </r>
  <r>
    <x v="785"/>
    <n v="5168343"/>
    <n v="41"/>
    <x v="0"/>
    <x v="28"/>
    <x v="0"/>
    <x v="3"/>
    <x v="2"/>
    <x v="2"/>
    <x v="1"/>
    <x v="1"/>
    <n v="9"/>
    <n v="24900"/>
    <n v="5"/>
    <n v="212895"/>
    <n v="4.8"/>
    <n v="20"/>
    <n v="40338"/>
    <s v="1 Year"/>
  </r>
  <r>
    <x v="786"/>
    <n v="1130175"/>
    <n v="49"/>
    <x v="0"/>
    <x v="28"/>
    <x v="0"/>
    <x v="2"/>
    <x v="3"/>
    <x v="3"/>
    <x v="0"/>
    <x v="1"/>
    <n v="3"/>
    <n v="84999"/>
    <n v="12"/>
    <n v="224397.36"/>
    <n v="4.5"/>
    <n v="20"/>
    <n v="45899.46"/>
    <s v="6 Months"/>
  </r>
  <r>
    <x v="786"/>
    <n v="1130175"/>
    <n v="47"/>
    <x v="0"/>
    <x v="28"/>
    <x v="0"/>
    <x v="1"/>
    <x v="2"/>
    <x v="4"/>
    <x v="2"/>
    <x v="1"/>
    <n v="4"/>
    <n v="69999"/>
    <n v="8"/>
    <n v="257596.32"/>
    <n v="4.8"/>
    <n v="20"/>
    <n v="50399.28"/>
    <s v="6 Months"/>
  </r>
  <r>
    <x v="787"/>
    <n v="4898598"/>
    <n v="40"/>
    <x v="0"/>
    <x v="28"/>
    <x v="0"/>
    <x v="3"/>
    <x v="1"/>
    <x v="5"/>
    <x v="2"/>
    <x v="1"/>
    <n v="8"/>
    <n v="42999"/>
    <n v="15"/>
    <n v="292393.2"/>
    <n v="4.5999999999999996"/>
    <n v="20"/>
    <n v="61918.559999999998"/>
    <s v="6 Months"/>
  </r>
  <r>
    <x v="788"/>
    <n v="3795610"/>
    <n v="21"/>
    <x v="0"/>
    <x v="28"/>
    <x v="1"/>
    <x v="2"/>
    <x v="0"/>
    <x v="0"/>
    <x v="0"/>
    <x v="2"/>
    <n v="4"/>
    <n v="99999"/>
    <n v="10"/>
    <n v="359996.4"/>
    <n v="4.7"/>
    <n v="20"/>
    <n v="71999.28"/>
    <s v="1 Year"/>
  </r>
  <r>
    <x v="789"/>
    <n v="7823038"/>
    <n v="33"/>
    <x v="0"/>
    <x v="28"/>
    <x v="0"/>
    <x v="3"/>
    <x v="1"/>
    <x v="1"/>
    <x v="1"/>
    <x v="2"/>
    <n v="47"/>
    <n v="4999"/>
    <n v="18"/>
    <n v="192661.46"/>
    <n v="4.4000000000000004"/>
    <n v="20"/>
    <n v="42291.54"/>
    <s v="6 Months"/>
  </r>
  <r>
    <x v="790"/>
    <n v="1437321"/>
    <n v="49"/>
    <x v="0"/>
    <x v="28"/>
    <x v="0"/>
    <x v="2"/>
    <x v="2"/>
    <x v="2"/>
    <x v="1"/>
    <x v="2"/>
    <n v="14"/>
    <n v="24900"/>
    <n v="5"/>
    <n v="331170"/>
    <n v="4.8"/>
    <n v="20"/>
    <n v="62748"/>
    <s v="6 Months"/>
  </r>
  <r>
    <x v="791"/>
    <n v="7153481"/>
    <n v="40"/>
    <x v="0"/>
    <x v="28"/>
    <x v="0"/>
    <x v="3"/>
    <x v="3"/>
    <x v="3"/>
    <x v="0"/>
    <x v="2"/>
    <n v="2"/>
    <n v="84999"/>
    <n v="12"/>
    <n v="149598.24"/>
    <n v="4.5"/>
    <n v="20"/>
    <n v="30599.64"/>
    <s v="1 Year"/>
  </r>
  <r>
    <x v="792"/>
    <n v="1576659"/>
    <n v="24"/>
    <x v="0"/>
    <x v="28"/>
    <x v="1"/>
    <x v="2"/>
    <x v="2"/>
    <x v="4"/>
    <x v="2"/>
    <x v="2"/>
    <n v="5"/>
    <n v="69999"/>
    <n v="8"/>
    <n v="321995.40000000002"/>
    <n v="4.8"/>
    <n v="20"/>
    <n v="62999.1"/>
    <s v="1 Year"/>
  </r>
  <r>
    <x v="793"/>
    <n v="5072383"/>
    <n v="31"/>
    <x v="0"/>
    <x v="28"/>
    <x v="0"/>
    <x v="0"/>
    <x v="1"/>
    <x v="5"/>
    <x v="2"/>
    <x v="2"/>
    <n v="10"/>
    <n v="42999"/>
    <n v="15"/>
    <n v="365491.5"/>
    <n v="4.5999999999999996"/>
    <n v="20"/>
    <n v="77398.2"/>
    <s v="1 Year"/>
  </r>
  <r>
    <x v="794"/>
    <n v="5832764"/>
    <n v="34"/>
    <x v="0"/>
    <x v="28"/>
    <x v="0"/>
    <x v="0"/>
    <x v="0"/>
    <x v="0"/>
    <x v="0"/>
    <x v="3"/>
    <n v="3"/>
    <n v="99999"/>
    <n v="10"/>
    <n v="269997.3"/>
    <n v="4.7"/>
    <n v="20"/>
    <n v="53999.46"/>
    <s v="1 Year"/>
  </r>
  <r>
    <x v="795"/>
    <n v="8588805"/>
    <n v="27"/>
    <x v="0"/>
    <x v="28"/>
    <x v="3"/>
    <x v="4"/>
    <x v="1"/>
    <x v="1"/>
    <x v="1"/>
    <x v="3"/>
    <n v="49"/>
    <n v="4999"/>
    <n v="18"/>
    <n v="200859.82"/>
    <n v="4.4000000000000004"/>
    <n v="20"/>
    <n v="44091.18"/>
    <s v="6 Months"/>
  </r>
  <r>
    <x v="796"/>
    <n v="1545696"/>
    <n v="25"/>
    <x v="0"/>
    <x v="28"/>
    <x v="0"/>
    <x v="2"/>
    <x v="2"/>
    <x v="2"/>
    <x v="1"/>
    <x v="3"/>
    <n v="15"/>
    <n v="24900"/>
    <n v="5"/>
    <n v="354825"/>
    <n v="4.8"/>
    <n v="20"/>
    <n v="67230"/>
    <s v="1 Year"/>
  </r>
  <r>
    <x v="797"/>
    <n v="1757235"/>
    <n v="29"/>
    <x v="0"/>
    <x v="28"/>
    <x v="0"/>
    <x v="2"/>
    <x v="3"/>
    <x v="3"/>
    <x v="0"/>
    <x v="3"/>
    <n v="6"/>
    <n v="84999"/>
    <n v="12"/>
    <n v="448794.72"/>
    <n v="4.5"/>
    <n v="20"/>
    <n v="91798.92"/>
    <s v="6 Months"/>
  </r>
  <r>
    <x v="798"/>
    <n v="448685"/>
    <n v="30"/>
    <x v="0"/>
    <x v="28"/>
    <x v="0"/>
    <x v="2"/>
    <x v="2"/>
    <x v="4"/>
    <x v="2"/>
    <x v="3"/>
    <n v="6"/>
    <n v="69999"/>
    <n v="8"/>
    <n v="386394.48"/>
    <n v="4.8"/>
    <n v="20"/>
    <n v="75598.92"/>
    <s v="6 Months"/>
  </r>
  <r>
    <x v="799"/>
    <n v="1347567"/>
    <n v="26"/>
    <x v="0"/>
    <x v="28"/>
    <x v="1"/>
    <x v="2"/>
    <x v="1"/>
    <x v="5"/>
    <x v="2"/>
    <x v="3"/>
    <n v="8"/>
    <n v="42999"/>
    <n v="15"/>
    <n v="292393.2"/>
    <n v="4.5999999999999996"/>
    <n v="20"/>
    <n v="61918.559999999998"/>
    <s v="6 Months"/>
  </r>
  <r>
    <x v="799"/>
    <n v="1347567"/>
    <n v="46"/>
    <x v="0"/>
    <x v="28"/>
    <x v="1"/>
    <x v="2"/>
    <x v="0"/>
    <x v="0"/>
    <x v="0"/>
    <x v="4"/>
    <n v="4"/>
    <n v="99999"/>
    <n v="10"/>
    <n v="359996.4"/>
    <n v="4.7"/>
    <n v="20"/>
    <n v="71999.28"/>
    <s v="6 Months"/>
  </r>
  <r>
    <x v="800"/>
    <n v="2837536"/>
    <n v="32"/>
    <x v="0"/>
    <x v="28"/>
    <x v="0"/>
    <x v="0"/>
    <x v="1"/>
    <x v="1"/>
    <x v="1"/>
    <x v="4"/>
    <n v="53"/>
    <n v="4999"/>
    <n v="18"/>
    <n v="217256.54"/>
    <n v="4.4000000000000004"/>
    <n v="20"/>
    <n v="47690.46"/>
    <s v="1 Year"/>
  </r>
  <r>
    <x v="801"/>
    <n v="6876247"/>
    <n v="78"/>
    <x v="1"/>
    <x v="28"/>
    <x v="2"/>
    <x v="2"/>
    <x v="2"/>
    <x v="2"/>
    <x v="1"/>
    <x v="4"/>
    <n v="14"/>
    <n v="24900"/>
    <n v="5"/>
    <n v="331170"/>
    <n v="4.8"/>
    <n v="20"/>
    <n v="62748"/>
    <s v="6 Months"/>
  </r>
  <r>
    <x v="802"/>
    <n v="4416097"/>
    <n v="35"/>
    <x v="0"/>
    <x v="28"/>
    <x v="0"/>
    <x v="1"/>
    <x v="3"/>
    <x v="3"/>
    <x v="0"/>
    <x v="4"/>
    <n v="6"/>
    <n v="84999"/>
    <n v="12"/>
    <n v="448794.72"/>
    <n v="4.5"/>
    <n v="20"/>
    <n v="91798.92"/>
    <s v="1 Year"/>
  </r>
  <r>
    <x v="803"/>
    <n v="190504"/>
    <n v="46"/>
    <x v="0"/>
    <x v="28"/>
    <x v="0"/>
    <x v="3"/>
    <x v="2"/>
    <x v="4"/>
    <x v="2"/>
    <x v="4"/>
    <n v="5"/>
    <n v="69999"/>
    <n v="8"/>
    <n v="321995.40000000002"/>
    <n v="4.8"/>
    <n v="20"/>
    <n v="62999.1"/>
    <s v="1 Year"/>
  </r>
  <r>
    <x v="804"/>
    <n v="4803090"/>
    <n v="67"/>
    <x v="1"/>
    <x v="28"/>
    <x v="0"/>
    <x v="2"/>
    <x v="1"/>
    <x v="5"/>
    <x v="2"/>
    <x v="4"/>
    <n v="5"/>
    <n v="42999"/>
    <n v="15"/>
    <n v="182745.75"/>
    <n v="4.5999999999999996"/>
    <n v="20"/>
    <n v="38699.1"/>
    <s v="1 Year"/>
  </r>
  <r>
    <x v="805"/>
    <n v="8571498"/>
    <n v="77"/>
    <x v="1"/>
    <x v="29"/>
    <x v="1"/>
    <x v="0"/>
    <x v="0"/>
    <x v="0"/>
    <x v="0"/>
    <x v="0"/>
    <n v="5"/>
    <n v="99999"/>
    <n v="10"/>
    <n v="449995.5"/>
    <n v="4.7"/>
    <n v="20"/>
    <n v="89999.099999999991"/>
    <s v="1 Year"/>
  </r>
  <r>
    <x v="806"/>
    <n v="5114197"/>
    <n v="25"/>
    <x v="0"/>
    <x v="29"/>
    <x v="0"/>
    <x v="5"/>
    <x v="1"/>
    <x v="1"/>
    <x v="1"/>
    <x v="0"/>
    <n v="49"/>
    <n v="4999"/>
    <n v="18"/>
    <n v="200859.82"/>
    <n v="4.4000000000000004"/>
    <n v="20"/>
    <n v="44091.18"/>
    <s v="1 Year"/>
  </r>
  <r>
    <x v="807"/>
    <n v="1461366"/>
    <n v="33"/>
    <x v="0"/>
    <x v="29"/>
    <x v="0"/>
    <x v="0"/>
    <x v="2"/>
    <x v="2"/>
    <x v="1"/>
    <x v="0"/>
    <n v="7"/>
    <n v="24900"/>
    <n v="5"/>
    <n v="165585"/>
    <n v="4.8"/>
    <n v="20"/>
    <n v="31374"/>
    <s v="6 Months"/>
  </r>
  <r>
    <x v="808"/>
    <n v="7633246"/>
    <n v="72"/>
    <x v="1"/>
    <x v="29"/>
    <x v="0"/>
    <x v="2"/>
    <x v="3"/>
    <x v="3"/>
    <x v="0"/>
    <x v="0"/>
    <n v="6"/>
    <n v="84999"/>
    <n v="12"/>
    <n v="448794.72"/>
    <n v="4.5"/>
    <n v="20"/>
    <n v="91798.92"/>
    <s v="1 Year"/>
  </r>
  <r>
    <x v="809"/>
    <n v="5938534"/>
    <n v="57"/>
    <x v="1"/>
    <x v="29"/>
    <x v="0"/>
    <x v="2"/>
    <x v="2"/>
    <x v="4"/>
    <x v="2"/>
    <x v="0"/>
    <n v="5"/>
    <n v="69999"/>
    <n v="8"/>
    <n v="321995.40000000002"/>
    <n v="4.8"/>
    <n v="20"/>
    <n v="62999.1"/>
    <s v="6 Months"/>
  </r>
  <r>
    <x v="810"/>
    <n v="1289227"/>
    <n v="34"/>
    <x v="0"/>
    <x v="29"/>
    <x v="0"/>
    <x v="1"/>
    <x v="1"/>
    <x v="5"/>
    <x v="2"/>
    <x v="0"/>
    <n v="10"/>
    <n v="42999"/>
    <n v="15"/>
    <n v="365491.5"/>
    <n v="4.5999999999999996"/>
    <n v="20"/>
    <n v="77398.2"/>
    <s v="1 Year"/>
  </r>
  <r>
    <x v="811"/>
    <n v="4143249"/>
    <n v="41"/>
    <x v="0"/>
    <x v="29"/>
    <x v="1"/>
    <x v="2"/>
    <x v="0"/>
    <x v="0"/>
    <x v="0"/>
    <x v="1"/>
    <n v="4"/>
    <n v="99999"/>
    <n v="10"/>
    <n v="359996.4"/>
    <n v="4.7"/>
    <n v="20"/>
    <n v="71999.28"/>
    <s v="6 Months"/>
  </r>
  <r>
    <x v="812"/>
    <n v="3944282"/>
    <n v="47"/>
    <x v="0"/>
    <x v="29"/>
    <x v="0"/>
    <x v="2"/>
    <x v="1"/>
    <x v="1"/>
    <x v="1"/>
    <x v="1"/>
    <n v="53"/>
    <n v="4999"/>
    <n v="18"/>
    <n v="217256.54"/>
    <n v="4.4000000000000004"/>
    <n v="20"/>
    <n v="47690.46"/>
    <s v="1 Year"/>
  </r>
  <r>
    <x v="813"/>
    <n v="8638286"/>
    <n v="30"/>
    <x v="0"/>
    <x v="29"/>
    <x v="0"/>
    <x v="5"/>
    <x v="2"/>
    <x v="2"/>
    <x v="1"/>
    <x v="1"/>
    <n v="5"/>
    <n v="24900"/>
    <n v="5"/>
    <n v="118275"/>
    <n v="4.8"/>
    <n v="20"/>
    <n v="22410"/>
    <s v="1 Year"/>
  </r>
  <r>
    <x v="814"/>
    <n v="2785878"/>
    <n v="40"/>
    <x v="0"/>
    <x v="29"/>
    <x v="0"/>
    <x v="1"/>
    <x v="3"/>
    <x v="3"/>
    <x v="0"/>
    <x v="1"/>
    <n v="4"/>
    <n v="84999"/>
    <n v="12"/>
    <n v="299196.48"/>
    <n v="4.5"/>
    <n v="20"/>
    <n v="61199.28"/>
    <s v="1 Year"/>
  </r>
  <r>
    <x v="815"/>
    <n v="315286"/>
    <n v="45"/>
    <x v="0"/>
    <x v="29"/>
    <x v="0"/>
    <x v="2"/>
    <x v="2"/>
    <x v="4"/>
    <x v="2"/>
    <x v="1"/>
    <n v="6"/>
    <n v="69999"/>
    <n v="8"/>
    <n v="386394.48"/>
    <n v="4.8"/>
    <n v="20"/>
    <n v="75598.92"/>
    <s v="1 Year"/>
  </r>
  <r>
    <x v="816"/>
    <n v="6270083"/>
    <n v="31"/>
    <x v="0"/>
    <x v="29"/>
    <x v="0"/>
    <x v="3"/>
    <x v="1"/>
    <x v="5"/>
    <x v="2"/>
    <x v="1"/>
    <n v="8"/>
    <n v="42999"/>
    <n v="15"/>
    <n v="292393.2"/>
    <n v="4.5999999999999996"/>
    <n v="20"/>
    <n v="61918.559999999998"/>
    <s v="1 Year"/>
  </r>
  <r>
    <x v="817"/>
    <n v="1058080"/>
    <n v="69"/>
    <x v="1"/>
    <x v="29"/>
    <x v="3"/>
    <x v="2"/>
    <x v="0"/>
    <x v="0"/>
    <x v="0"/>
    <x v="2"/>
    <n v="4"/>
    <n v="99999"/>
    <n v="10"/>
    <n v="359996.4"/>
    <n v="4.7"/>
    <n v="20"/>
    <n v="71999.28"/>
    <s v="6 Months"/>
  </r>
  <r>
    <x v="818"/>
    <n v="4628219"/>
    <n v="36"/>
    <x v="0"/>
    <x v="29"/>
    <x v="0"/>
    <x v="2"/>
    <x v="1"/>
    <x v="1"/>
    <x v="1"/>
    <x v="2"/>
    <n v="39"/>
    <n v="4999"/>
    <n v="18"/>
    <n v="159868.02000000002"/>
    <n v="4.4000000000000004"/>
    <n v="20"/>
    <n v="35092.979999999996"/>
    <s v="1 Year"/>
  </r>
  <r>
    <x v="819"/>
    <n v="7413963"/>
    <n v="35"/>
    <x v="0"/>
    <x v="29"/>
    <x v="0"/>
    <x v="0"/>
    <x v="2"/>
    <x v="2"/>
    <x v="1"/>
    <x v="2"/>
    <n v="12"/>
    <n v="24900"/>
    <n v="5"/>
    <n v="283860"/>
    <n v="4.8"/>
    <n v="20"/>
    <n v="53784"/>
    <s v="6 Months"/>
  </r>
  <r>
    <x v="820"/>
    <n v="9606909"/>
    <n v="25"/>
    <x v="0"/>
    <x v="29"/>
    <x v="0"/>
    <x v="1"/>
    <x v="3"/>
    <x v="3"/>
    <x v="0"/>
    <x v="2"/>
    <n v="5"/>
    <n v="84999"/>
    <n v="12"/>
    <n v="373995.6"/>
    <n v="4.5"/>
    <n v="20"/>
    <n v="76499.099999999991"/>
    <s v="6 Months"/>
  </r>
  <r>
    <x v="821"/>
    <n v="9097278"/>
    <n v="37"/>
    <x v="0"/>
    <x v="29"/>
    <x v="0"/>
    <x v="2"/>
    <x v="2"/>
    <x v="4"/>
    <x v="2"/>
    <x v="2"/>
    <n v="3"/>
    <n v="69999"/>
    <n v="8"/>
    <n v="193197.24"/>
    <n v="4.8"/>
    <n v="20"/>
    <n v="37799.46"/>
    <s v="6 Months"/>
  </r>
  <r>
    <x v="822"/>
    <n v="6827896"/>
    <n v="30"/>
    <x v="0"/>
    <x v="29"/>
    <x v="0"/>
    <x v="1"/>
    <x v="1"/>
    <x v="5"/>
    <x v="2"/>
    <x v="2"/>
    <n v="10"/>
    <n v="42999"/>
    <n v="15"/>
    <n v="365491.5"/>
    <n v="4.5999999999999996"/>
    <n v="20"/>
    <n v="77398.2"/>
    <s v="1 Year"/>
  </r>
  <r>
    <x v="823"/>
    <n v="6531661"/>
    <n v="58"/>
    <x v="1"/>
    <x v="29"/>
    <x v="3"/>
    <x v="2"/>
    <x v="0"/>
    <x v="0"/>
    <x v="0"/>
    <x v="3"/>
    <n v="5"/>
    <n v="99999"/>
    <n v="10"/>
    <n v="449995.5"/>
    <n v="4.7"/>
    <n v="20"/>
    <n v="89999.099999999991"/>
    <s v="1 Year"/>
  </r>
  <r>
    <x v="824"/>
    <n v="7474272"/>
    <n v="44"/>
    <x v="0"/>
    <x v="29"/>
    <x v="0"/>
    <x v="2"/>
    <x v="1"/>
    <x v="1"/>
    <x v="1"/>
    <x v="3"/>
    <n v="40"/>
    <n v="4999"/>
    <n v="18"/>
    <n v="163967.20000000001"/>
    <n v="4.4000000000000004"/>
    <n v="20"/>
    <n v="35992.799999999996"/>
    <s v="1 Year"/>
  </r>
  <r>
    <x v="825"/>
    <n v="155203"/>
    <n v="27"/>
    <x v="0"/>
    <x v="29"/>
    <x v="1"/>
    <x v="0"/>
    <x v="2"/>
    <x v="2"/>
    <x v="1"/>
    <x v="3"/>
    <n v="11"/>
    <n v="24900"/>
    <n v="5"/>
    <n v="260205"/>
    <n v="4.8"/>
    <n v="20"/>
    <n v="49302"/>
    <s v="1 Year"/>
  </r>
  <r>
    <x v="826"/>
    <n v="6856164"/>
    <n v="66"/>
    <x v="1"/>
    <x v="29"/>
    <x v="0"/>
    <x v="2"/>
    <x v="3"/>
    <x v="3"/>
    <x v="0"/>
    <x v="3"/>
    <n v="3"/>
    <n v="84999"/>
    <n v="12"/>
    <n v="224397.36"/>
    <n v="4.5"/>
    <n v="20"/>
    <n v="45899.46"/>
    <s v="6 Months"/>
  </r>
  <r>
    <x v="827"/>
    <n v="663538"/>
    <n v="49"/>
    <x v="0"/>
    <x v="29"/>
    <x v="0"/>
    <x v="2"/>
    <x v="2"/>
    <x v="4"/>
    <x v="2"/>
    <x v="3"/>
    <n v="4"/>
    <n v="69999"/>
    <n v="8"/>
    <n v="257596.32"/>
    <n v="4.8"/>
    <n v="20"/>
    <n v="50399.28"/>
    <s v="1 Year"/>
  </r>
  <r>
    <x v="828"/>
    <n v="6572067"/>
    <n v="30"/>
    <x v="0"/>
    <x v="29"/>
    <x v="0"/>
    <x v="4"/>
    <x v="1"/>
    <x v="5"/>
    <x v="2"/>
    <x v="3"/>
    <n v="8"/>
    <n v="42999"/>
    <n v="15"/>
    <n v="292393.2"/>
    <n v="4.5999999999999996"/>
    <n v="20"/>
    <n v="61918.559999999998"/>
    <s v="1 Year"/>
  </r>
  <r>
    <x v="829"/>
    <n v="8676194"/>
    <n v="35"/>
    <x v="0"/>
    <x v="29"/>
    <x v="0"/>
    <x v="2"/>
    <x v="0"/>
    <x v="0"/>
    <x v="0"/>
    <x v="4"/>
    <n v="5"/>
    <n v="99999"/>
    <n v="10"/>
    <n v="449995.5"/>
    <n v="4.7"/>
    <n v="20"/>
    <n v="89999.099999999991"/>
    <s v="1 Year"/>
  </r>
  <r>
    <x v="830"/>
    <n v="6006451"/>
    <n v="38"/>
    <x v="0"/>
    <x v="29"/>
    <x v="0"/>
    <x v="0"/>
    <x v="1"/>
    <x v="1"/>
    <x v="1"/>
    <x v="4"/>
    <n v="59"/>
    <n v="4999"/>
    <n v="18"/>
    <n v="241851.62"/>
    <n v="4.4000000000000004"/>
    <n v="20"/>
    <n v="53089.38"/>
    <s v="1 Year"/>
  </r>
  <r>
    <x v="831"/>
    <n v="1554862"/>
    <n v="48"/>
    <x v="0"/>
    <x v="29"/>
    <x v="0"/>
    <x v="1"/>
    <x v="2"/>
    <x v="2"/>
    <x v="1"/>
    <x v="4"/>
    <n v="13"/>
    <n v="24900"/>
    <n v="5"/>
    <n v="307515"/>
    <n v="4.8"/>
    <n v="20"/>
    <n v="58266"/>
    <s v="1 Year"/>
  </r>
  <r>
    <x v="832"/>
    <n v="3806917"/>
    <n v="23"/>
    <x v="0"/>
    <x v="29"/>
    <x v="0"/>
    <x v="1"/>
    <x v="3"/>
    <x v="3"/>
    <x v="0"/>
    <x v="4"/>
    <n v="4"/>
    <n v="84999"/>
    <n v="12"/>
    <n v="299196.48"/>
    <n v="4.5"/>
    <n v="20"/>
    <n v="61199.28"/>
    <s v="1 Year"/>
  </r>
  <r>
    <x v="833"/>
    <n v="3789491"/>
    <n v="46"/>
    <x v="0"/>
    <x v="29"/>
    <x v="0"/>
    <x v="3"/>
    <x v="2"/>
    <x v="4"/>
    <x v="2"/>
    <x v="4"/>
    <n v="3"/>
    <n v="69999"/>
    <n v="8"/>
    <n v="193197.24"/>
    <n v="4.8"/>
    <n v="20"/>
    <n v="37799.46"/>
    <s v="1 Year"/>
  </r>
  <r>
    <x v="834"/>
    <n v="453363"/>
    <n v="29"/>
    <x v="0"/>
    <x v="29"/>
    <x v="0"/>
    <x v="0"/>
    <x v="1"/>
    <x v="5"/>
    <x v="2"/>
    <x v="4"/>
    <n v="8"/>
    <n v="42999"/>
    <n v="15"/>
    <n v="292393.2"/>
    <n v="4.5999999999999996"/>
    <n v="20"/>
    <n v="61918.559999999998"/>
    <s v="1 Year"/>
  </r>
  <r>
    <x v="835"/>
    <n v="5098546"/>
    <n v="40"/>
    <x v="0"/>
    <x v="30"/>
    <x v="0"/>
    <x v="2"/>
    <x v="0"/>
    <x v="0"/>
    <x v="0"/>
    <x v="0"/>
    <n v="6"/>
    <n v="99999"/>
    <n v="10"/>
    <n v="539994.6"/>
    <n v="4.7"/>
    <n v="20"/>
    <n v="107998.92"/>
    <s v="6 Months"/>
  </r>
  <r>
    <x v="836"/>
    <n v="5300804"/>
    <n v="46"/>
    <x v="0"/>
    <x v="30"/>
    <x v="0"/>
    <x v="2"/>
    <x v="1"/>
    <x v="1"/>
    <x v="1"/>
    <x v="0"/>
    <n v="48"/>
    <n v="4999"/>
    <n v="18"/>
    <n v="196760.64"/>
    <n v="4.4000000000000004"/>
    <n v="20"/>
    <n v="43191.360000000001"/>
    <s v="6 Months"/>
  </r>
  <r>
    <x v="837"/>
    <n v="3662956"/>
    <n v="47"/>
    <x v="0"/>
    <x v="30"/>
    <x v="0"/>
    <x v="2"/>
    <x v="2"/>
    <x v="2"/>
    <x v="1"/>
    <x v="0"/>
    <n v="8"/>
    <n v="24900"/>
    <n v="5"/>
    <n v="189240"/>
    <n v="4.8"/>
    <n v="20"/>
    <n v="35856"/>
    <s v="1 Year"/>
  </r>
  <r>
    <x v="838"/>
    <n v="531561"/>
    <n v="20"/>
    <x v="0"/>
    <x v="30"/>
    <x v="0"/>
    <x v="0"/>
    <x v="3"/>
    <x v="3"/>
    <x v="0"/>
    <x v="0"/>
    <n v="3"/>
    <n v="84999"/>
    <n v="12"/>
    <n v="224397.36"/>
    <n v="4.5"/>
    <n v="20"/>
    <n v="45899.46"/>
    <s v="6 Months"/>
  </r>
  <r>
    <x v="839"/>
    <n v="9833713"/>
    <n v="22"/>
    <x v="0"/>
    <x v="30"/>
    <x v="0"/>
    <x v="3"/>
    <x v="2"/>
    <x v="4"/>
    <x v="2"/>
    <x v="0"/>
    <n v="3"/>
    <n v="69999"/>
    <n v="8"/>
    <n v="193197.24"/>
    <n v="4.8"/>
    <n v="20"/>
    <n v="37799.46"/>
    <s v="1 Year"/>
  </r>
  <r>
    <x v="840"/>
    <n v="1294687"/>
    <n v="27"/>
    <x v="0"/>
    <x v="30"/>
    <x v="0"/>
    <x v="2"/>
    <x v="1"/>
    <x v="5"/>
    <x v="2"/>
    <x v="0"/>
    <n v="7"/>
    <n v="42999"/>
    <n v="15"/>
    <n v="255844.05"/>
    <n v="4.5999999999999996"/>
    <n v="20"/>
    <n v="54178.74"/>
    <s v="1 Year"/>
  </r>
  <r>
    <x v="841"/>
    <n v="6527765"/>
    <n v="69"/>
    <x v="1"/>
    <x v="30"/>
    <x v="0"/>
    <x v="3"/>
    <x v="0"/>
    <x v="0"/>
    <x v="0"/>
    <x v="1"/>
    <n v="6"/>
    <n v="99999"/>
    <n v="10"/>
    <n v="539994.6"/>
    <n v="4.7"/>
    <n v="20"/>
    <n v="107998.92"/>
    <s v="6 Months"/>
  </r>
  <r>
    <x v="842"/>
    <n v="1421330"/>
    <n v="24"/>
    <x v="0"/>
    <x v="30"/>
    <x v="0"/>
    <x v="2"/>
    <x v="1"/>
    <x v="1"/>
    <x v="1"/>
    <x v="1"/>
    <n v="58"/>
    <n v="4999"/>
    <n v="18"/>
    <n v="237752.44"/>
    <n v="4.4000000000000004"/>
    <n v="20"/>
    <n v="52189.56"/>
    <s v="1 Year"/>
  </r>
  <r>
    <x v="843"/>
    <n v="8545866"/>
    <n v="25"/>
    <x v="0"/>
    <x v="30"/>
    <x v="0"/>
    <x v="2"/>
    <x v="2"/>
    <x v="2"/>
    <x v="1"/>
    <x v="1"/>
    <n v="11"/>
    <n v="24900"/>
    <n v="5"/>
    <n v="260205"/>
    <n v="4.8"/>
    <n v="20"/>
    <n v="49302"/>
    <s v="6 Months"/>
  </r>
  <r>
    <x v="844"/>
    <n v="161822"/>
    <n v="42"/>
    <x v="0"/>
    <x v="30"/>
    <x v="0"/>
    <x v="3"/>
    <x v="3"/>
    <x v="3"/>
    <x v="0"/>
    <x v="1"/>
    <n v="5"/>
    <n v="84999"/>
    <n v="12"/>
    <n v="373995.6"/>
    <n v="4.5"/>
    <n v="20"/>
    <n v="76499.099999999991"/>
    <s v="6 Months"/>
  </r>
  <r>
    <x v="845"/>
    <n v="8352525"/>
    <n v="62"/>
    <x v="1"/>
    <x v="30"/>
    <x v="0"/>
    <x v="0"/>
    <x v="2"/>
    <x v="4"/>
    <x v="2"/>
    <x v="1"/>
    <n v="6"/>
    <n v="69999"/>
    <n v="8"/>
    <n v="386394.48"/>
    <n v="4.8"/>
    <n v="20"/>
    <n v="75598.92"/>
    <s v="1 Year"/>
  </r>
  <r>
    <x v="846"/>
    <n v="9889721"/>
    <n v="40"/>
    <x v="0"/>
    <x v="30"/>
    <x v="1"/>
    <x v="3"/>
    <x v="1"/>
    <x v="5"/>
    <x v="2"/>
    <x v="1"/>
    <n v="10"/>
    <n v="42999"/>
    <n v="15"/>
    <n v="365491.5"/>
    <n v="4.5999999999999996"/>
    <n v="20"/>
    <n v="77398.2"/>
    <s v="1 Year"/>
  </r>
  <r>
    <x v="846"/>
    <n v="9889721"/>
    <n v="26"/>
    <x v="0"/>
    <x v="30"/>
    <x v="0"/>
    <x v="3"/>
    <x v="0"/>
    <x v="0"/>
    <x v="0"/>
    <x v="2"/>
    <n v="6"/>
    <n v="99999"/>
    <n v="10"/>
    <n v="539994.6"/>
    <n v="4.7"/>
    <n v="20"/>
    <n v="107998.92"/>
    <s v="6 Months"/>
  </r>
  <r>
    <x v="847"/>
    <n v="2928429"/>
    <n v="33"/>
    <x v="0"/>
    <x v="30"/>
    <x v="0"/>
    <x v="2"/>
    <x v="1"/>
    <x v="1"/>
    <x v="1"/>
    <x v="2"/>
    <n v="59"/>
    <n v="4999"/>
    <n v="18"/>
    <n v="241851.62"/>
    <n v="4.4000000000000004"/>
    <n v="20"/>
    <n v="53089.38"/>
    <s v="6 Months"/>
  </r>
  <r>
    <x v="848"/>
    <n v="4094878"/>
    <n v="22"/>
    <x v="0"/>
    <x v="30"/>
    <x v="0"/>
    <x v="1"/>
    <x v="2"/>
    <x v="2"/>
    <x v="1"/>
    <x v="2"/>
    <n v="7"/>
    <n v="24900"/>
    <n v="5"/>
    <n v="165585"/>
    <n v="4.8"/>
    <n v="20"/>
    <n v="31374"/>
    <s v="1 Year"/>
  </r>
  <r>
    <x v="849"/>
    <n v="3326468"/>
    <n v="42"/>
    <x v="0"/>
    <x v="30"/>
    <x v="0"/>
    <x v="3"/>
    <x v="3"/>
    <x v="3"/>
    <x v="0"/>
    <x v="2"/>
    <n v="6"/>
    <n v="84999"/>
    <n v="12"/>
    <n v="448794.72"/>
    <n v="4.5"/>
    <n v="20"/>
    <n v="91798.92"/>
    <s v="1 Year"/>
  </r>
  <r>
    <x v="850"/>
    <n v="3577335"/>
    <n v="18"/>
    <x v="2"/>
    <x v="30"/>
    <x v="0"/>
    <x v="0"/>
    <x v="2"/>
    <x v="4"/>
    <x v="2"/>
    <x v="2"/>
    <n v="6"/>
    <n v="69999"/>
    <n v="8"/>
    <n v="386394.48"/>
    <n v="4.8"/>
    <n v="20"/>
    <n v="75598.92"/>
    <s v="1 Year"/>
  </r>
  <r>
    <x v="851"/>
    <n v="6008360"/>
    <n v="26"/>
    <x v="0"/>
    <x v="30"/>
    <x v="0"/>
    <x v="3"/>
    <x v="1"/>
    <x v="5"/>
    <x v="2"/>
    <x v="2"/>
    <n v="8"/>
    <n v="42999"/>
    <n v="15"/>
    <n v="292393.2"/>
    <n v="4.5999999999999996"/>
    <n v="20"/>
    <n v="61918.559999999998"/>
    <s v="1 Year"/>
  </r>
  <r>
    <x v="852"/>
    <n v="4041108"/>
    <n v="29"/>
    <x v="0"/>
    <x v="30"/>
    <x v="0"/>
    <x v="1"/>
    <x v="0"/>
    <x v="0"/>
    <x v="0"/>
    <x v="3"/>
    <n v="3"/>
    <n v="99999"/>
    <n v="10"/>
    <n v="269997.3"/>
    <n v="4.7"/>
    <n v="20"/>
    <n v="53999.46"/>
    <s v="6 Months"/>
  </r>
  <r>
    <x v="853"/>
    <n v="412154"/>
    <n v="18"/>
    <x v="2"/>
    <x v="30"/>
    <x v="0"/>
    <x v="2"/>
    <x v="1"/>
    <x v="1"/>
    <x v="1"/>
    <x v="3"/>
    <n v="48"/>
    <n v="4999"/>
    <n v="18"/>
    <n v="196760.64"/>
    <n v="4.4000000000000004"/>
    <n v="20"/>
    <n v="43191.360000000001"/>
    <s v="1 Year"/>
  </r>
  <r>
    <x v="854"/>
    <n v="5774555"/>
    <n v="22"/>
    <x v="0"/>
    <x v="30"/>
    <x v="0"/>
    <x v="0"/>
    <x v="2"/>
    <x v="2"/>
    <x v="1"/>
    <x v="3"/>
    <n v="8"/>
    <n v="24900"/>
    <n v="5"/>
    <n v="189240"/>
    <n v="4.8"/>
    <n v="20"/>
    <n v="35856"/>
    <s v="6 Months"/>
  </r>
  <r>
    <x v="855"/>
    <n v="9793868"/>
    <n v="44"/>
    <x v="0"/>
    <x v="30"/>
    <x v="0"/>
    <x v="3"/>
    <x v="3"/>
    <x v="3"/>
    <x v="0"/>
    <x v="3"/>
    <n v="2"/>
    <n v="84999"/>
    <n v="12"/>
    <n v="149598.24"/>
    <n v="4.5"/>
    <n v="20"/>
    <n v="30599.64"/>
    <s v="6 Months"/>
  </r>
  <r>
    <x v="855"/>
    <n v="9793868"/>
    <n v="76"/>
    <x v="1"/>
    <x v="30"/>
    <x v="0"/>
    <x v="2"/>
    <x v="2"/>
    <x v="4"/>
    <x v="2"/>
    <x v="3"/>
    <n v="2"/>
    <n v="69999"/>
    <n v="8"/>
    <n v="128798.16"/>
    <n v="4.8"/>
    <n v="20"/>
    <n v="25199.64"/>
    <s v="1 Year"/>
  </r>
  <r>
    <x v="856"/>
    <n v="8340679"/>
    <n v="40"/>
    <x v="0"/>
    <x v="30"/>
    <x v="0"/>
    <x v="1"/>
    <x v="1"/>
    <x v="5"/>
    <x v="2"/>
    <x v="3"/>
    <n v="7"/>
    <n v="42999"/>
    <n v="15"/>
    <n v="255844.05"/>
    <n v="4.5999999999999996"/>
    <n v="20"/>
    <n v="54178.74"/>
    <s v="6 Months"/>
  </r>
  <r>
    <x v="857"/>
    <n v="3651024"/>
    <n v="69"/>
    <x v="1"/>
    <x v="30"/>
    <x v="0"/>
    <x v="3"/>
    <x v="0"/>
    <x v="0"/>
    <x v="0"/>
    <x v="4"/>
    <n v="5"/>
    <n v="99999"/>
    <n v="10"/>
    <n v="449995.5"/>
    <n v="4.7"/>
    <n v="20"/>
    <n v="89999.099999999991"/>
    <s v="1 Year"/>
  </r>
  <r>
    <x v="858"/>
    <n v="4086571"/>
    <n v="78"/>
    <x v="1"/>
    <x v="30"/>
    <x v="0"/>
    <x v="3"/>
    <x v="1"/>
    <x v="1"/>
    <x v="1"/>
    <x v="4"/>
    <n v="37"/>
    <n v="4999"/>
    <n v="18"/>
    <n v="151669.66"/>
    <n v="4.4000000000000004"/>
    <n v="20"/>
    <n v="33293.339999999997"/>
    <s v="1 Year"/>
  </r>
  <r>
    <x v="859"/>
    <n v="8101571"/>
    <n v="39"/>
    <x v="0"/>
    <x v="30"/>
    <x v="0"/>
    <x v="0"/>
    <x v="2"/>
    <x v="2"/>
    <x v="1"/>
    <x v="4"/>
    <n v="9"/>
    <n v="24900"/>
    <n v="5"/>
    <n v="212895"/>
    <n v="4.8"/>
    <n v="20"/>
    <n v="40338"/>
    <s v="1 Year"/>
  </r>
  <r>
    <x v="860"/>
    <n v="2494201"/>
    <n v="19"/>
    <x v="2"/>
    <x v="30"/>
    <x v="0"/>
    <x v="0"/>
    <x v="3"/>
    <x v="3"/>
    <x v="0"/>
    <x v="4"/>
    <n v="5"/>
    <n v="84999"/>
    <n v="12"/>
    <n v="373995.6"/>
    <n v="4.5"/>
    <n v="20"/>
    <n v="76499.099999999991"/>
    <s v="1 Year"/>
  </r>
  <r>
    <x v="861"/>
    <n v="2072482"/>
    <n v="34"/>
    <x v="0"/>
    <x v="30"/>
    <x v="0"/>
    <x v="3"/>
    <x v="2"/>
    <x v="4"/>
    <x v="2"/>
    <x v="4"/>
    <n v="2"/>
    <n v="69999"/>
    <n v="8"/>
    <n v="128798.16"/>
    <n v="4.8"/>
    <n v="20"/>
    <n v="25199.64"/>
    <s v="1 Year"/>
  </r>
  <r>
    <x v="862"/>
    <n v="1942302"/>
    <n v="27"/>
    <x v="0"/>
    <x v="30"/>
    <x v="0"/>
    <x v="3"/>
    <x v="1"/>
    <x v="5"/>
    <x v="2"/>
    <x v="4"/>
    <n v="7"/>
    <n v="42999"/>
    <n v="15"/>
    <n v="255844.05"/>
    <n v="4.5999999999999996"/>
    <n v="20"/>
    <n v="54178.74"/>
    <s v="1 Year"/>
  </r>
  <r>
    <x v="863"/>
    <n v="4183814"/>
    <n v="59"/>
    <x v="1"/>
    <x v="31"/>
    <x v="0"/>
    <x v="5"/>
    <x v="0"/>
    <x v="0"/>
    <x v="0"/>
    <x v="0"/>
    <n v="4"/>
    <n v="99999"/>
    <n v="10"/>
    <n v="359996.4"/>
    <n v="4.7"/>
    <n v="20"/>
    <n v="71999.28"/>
    <s v="1 Year"/>
  </r>
  <r>
    <x v="864"/>
    <n v="3629671"/>
    <n v="33"/>
    <x v="0"/>
    <x v="31"/>
    <x v="0"/>
    <x v="3"/>
    <x v="1"/>
    <x v="1"/>
    <x v="1"/>
    <x v="0"/>
    <n v="39"/>
    <n v="4999"/>
    <n v="18"/>
    <n v="159868.02000000002"/>
    <n v="4.4000000000000004"/>
    <n v="20"/>
    <n v="35092.979999999996"/>
    <s v="1 Year"/>
  </r>
  <r>
    <x v="865"/>
    <n v="9941188"/>
    <n v="38"/>
    <x v="0"/>
    <x v="31"/>
    <x v="0"/>
    <x v="3"/>
    <x v="2"/>
    <x v="2"/>
    <x v="1"/>
    <x v="0"/>
    <n v="5"/>
    <n v="24900"/>
    <n v="5"/>
    <n v="118275"/>
    <n v="4.8"/>
    <n v="20"/>
    <n v="22410"/>
    <s v="1 Year"/>
  </r>
  <r>
    <x v="866"/>
    <n v="2975043"/>
    <n v="31"/>
    <x v="0"/>
    <x v="31"/>
    <x v="0"/>
    <x v="3"/>
    <x v="3"/>
    <x v="3"/>
    <x v="0"/>
    <x v="0"/>
    <n v="2"/>
    <n v="84999"/>
    <n v="12"/>
    <n v="149598.24"/>
    <n v="4.5"/>
    <n v="20"/>
    <n v="30599.64"/>
    <s v="1 Year"/>
  </r>
  <r>
    <x v="867"/>
    <n v="909589"/>
    <n v="37"/>
    <x v="0"/>
    <x v="31"/>
    <x v="3"/>
    <x v="3"/>
    <x v="2"/>
    <x v="4"/>
    <x v="2"/>
    <x v="0"/>
    <n v="2"/>
    <n v="69999"/>
    <n v="8"/>
    <n v="128798.16"/>
    <n v="4.8"/>
    <n v="20"/>
    <n v="25199.64"/>
    <s v="1 Year"/>
  </r>
  <r>
    <x v="868"/>
    <n v="1642533"/>
    <n v="27"/>
    <x v="0"/>
    <x v="31"/>
    <x v="0"/>
    <x v="5"/>
    <x v="1"/>
    <x v="5"/>
    <x v="2"/>
    <x v="0"/>
    <n v="5"/>
    <n v="42999"/>
    <n v="15"/>
    <n v="182745.75"/>
    <n v="4.5999999999999996"/>
    <n v="20"/>
    <n v="38699.1"/>
    <s v="6 Months"/>
  </r>
  <r>
    <x v="869"/>
    <n v="8074188"/>
    <n v="26"/>
    <x v="0"/>
    <x v="31"/>
    <x v="0"/>
    <x v="2"/>
    <x v="0"/>
    <x v="0"/>
    <x v="0"/>
    <x v="1"/>
    <n v="5"/>
    <n v="99999"/>
    <n v="10"/>
    <n v="449995.5"/>
    <n v="4.7"/>
    <n v="20"/>
    <n v="89999.099999999991"/>
    <s v="1 Year"/>
  </r>
  <r>
    <x v="870"/>
    <n v="709714"/>
    <n v="37"/>
    <x v="0"/>
    <x v="31"/>
    <x v="0"/>
    <x v="2"/>
    <x v="1"/>
    <x v="1"/>
    <x v="1"/>
    <x v="1"/>
    <n v="57"/>
    <n v="4999"/>
    <n v="18"/>
    <n v="233653.26"/>
    <n v="4.4000000000000004"/>
    <n v="20"/>
    <n v="51289.74"/>
    <s v="6 Months"/>
  </r>
  <r>
    <x v="871"/>
    <n v="6573904"/>
    <n v="72"/>
    <x v="1"/>
    <x v="31"/>
    <x v="0"/>
    <x v="0"/>
    <x v="2"/>
    <x v="2"/>
    <x v="1"/>
    <x v="1"/>
    <n v="6"/>
    <n v="24900"/>
    <n v="5"/>
    <n v="141930"/>
    <n v="4.8"/>
    <n v="20"/>
    <n v="26892"/>
    <s v="1 Year"/>
  </r>
  <r>
    <x v="872"/>
    <n v="8738723"/>
    <n v="34"/>
    <x v="0"/>
    <x v="31"/>
    <x v="0"/>
    <x v="2"/>
    <x v="3"/>
    <x v="3"/>
    <x v="0"/>
    <x v="1"/>
    <n v="4"/>
    <n v="84999"/>
    <n v="12"/>
    <n v="299196.48"/>
    <n v="4.5"/>
    <n v="20"/>
    <n v="61199.28"/>
    <s v="1 Year"/>
  </r>
  <r>
    <x v="873"/>
    <n v="6194318"/>
    <n v="39"/>
    <x v="0"/>
    <x v="31"/>
    <x v="0"/>
    <x v="2"/>
    <x v="2"/>
    <x v="4"/>
    <x v="2"/>
    <x v="1"/>
    <n v="6"/>
    <n v="69999"/>
    <n v="8"/>
    <n v="386394.48"/>
    <n v="4.8"/>
    <n v="20"/>
    <n v="75598.92"/>
    <s v="6 Months"/>
  </r>
  <r>
    <x v="874"/>
    <n v="4038476"/>
    <n v="22"/>
    <x v="0"/>
    <x v="31"/>
    <x v="0"/>
    <x v="3"/>
    <x v="1"/>
    <x v="5"/>
    <x v="2"/>
    <x v="1"/>
    <n v="5"/>
    <n v="42999"/>
    <n v="15"/>
    <n v="182745.75"/>
    <n v="4.5999999999999996"/>
    <n v="20"/>
    <n v="38699.1"/>
    <s v="1 Year"/>
  </r>
  <r>
    <x v="875"/>
    <n v="7440385"/>
    <n v="35"/>
    <x v="0"/>
    <x v="31"/>
    <x v="0"/>
    <x v="5"/>
    <x v="0"/>
    <x v="0"/>
    <x v="0"/>
    <x v="2"/>
    <n v="5"/>
    <n v="99999"/>
    <n v="10"/>
    <n v="449995.5"/>
    <n v="4.7"/>
    <n v="20"/>
    <n v="89999.099999999991"/>
    <s v="1 Year"/>
  </r>
  <r>
    <x v="876"/>
    <n v="6619987"/>
    <n v="19"/>
    <x v="2"/>
    <x v="31"/>
    <x v="0"/>
    <x v="2"/>
    <x v="1"/>
    <x v="1"/>
    <x v="1"/>
    <x v="2"/>
    <n v="32"/>
    <n v="4999"/>
    <n v="18"/>
    <n v="131173.76000000001"/>
    <n v="4.4000000000000004"/>
    <n v="20"/>
    <n v="28794.239999999998"/>
    <s v="6 Months"/>
  </r>
  <r>
    <x v="877"/>
    <n v="9142846"/>
    <n v="28"/>
    <x v="0"/>
    <x v="31"/>
    <x v="0"/>
    <x v="2"/>
    <x v="2"/>
    <x v="2"/>
    <x v="1"/>
    <x v="2"/>
    <n v="6"/>
    <n v="24900"/>
    <n v="5"/>
    <n v="141930"/>
    <n v="4.8"/>
    <n v="20"/>
    <n v="26892"/>
    <s v="1 Year"/>
  </r>
  <r>
    <x v="878"/>
    <n v="2901693"/>
    <n v="28"/>
    <x v="0"/>
    <x v="31"/>
    <x v="0"/>
    <x v="0"/>
    <x v="3"/>
    <x v="3"/>
    <x v="0"/>
    <x v="2"/>
    <n v="3"/>
    <n v="84999"/>
    <n v="12"/>
    <n v="224397.36"/>
    <n v="4.5"/>
    <n v="20"/>
    <n v="45899.46"/>
    <s v="1 Year"/>
  </r>
  <r>
    <x v="879"/>
    <n v="5023447"/>
    <n v="45"/>
    <x v="0"/>
    <x v="31"/>
    <x v="0"/>
    <x v="0"/>
    <x v="2"/>
    <x v="4"/>
    <x v="2"/>
    <x v="2"/>
    <n v="3"/>
    <n v="69999"/>
    <n v="8"/>
    <n v="193197.24"/>
    <n v="4.8"/>
    <n v="20"/>
    <n v="37799.46"/>
    <s v="6 Months"/>
  </r>
  <r>
    <x v="880"/>
    <n v="2197786"/>
    <n v="48"/>
    <x v="0"/>
    <x v="31"/>
    <x v="0"/>
    <x v="5"/>
    <x v="1"/>
    <x v="5"/>
    <x v="2"/>
    <x v="2"/>
    <n v="5"/>
    <n v="42999"/>
    <n v="15"/>
    <n v="182745.75"/>
    <n v="4.5999999999999996"/>
    <n v="20"/>
    <n v="38699.1"/>
    <s v="6 Months"/>
  </r>
  <r>
    <x v="881"/>
    <n v="7351765"/>
    <n v="28"/>
    <x v="0"/>
    <x v="31"/>
    <x v="0"/>
    <x v="0"/>
    <x v="0"/>
    <x v="0"/>
    <x v="0"/>
    <x v="3"/>
    <n v="5"/>
    <n v="99999"/>
    <n v="10"/>
    <n v="449995.5"/>
    <n v="4.7"/>
    <n v="20"/>
    <n v="89999.099999999991"/>
    <s v="1 Year"/>
  </r>
  <r>
    <x v="882"/>
    <n v="8268269"/>
    <n v="35"/>
    <x v="0"/>
    <x v="31"/>
    <x v="0"/>
    <x v="2"/>
    <x v="1"/>
    <x v="1"/>
    <x v="1"/>
    <x v="3"/>
    <n v="51"/>
    <n v="4999"/>
    <n v="18"/>
    <n v="209058.18"/>
    <n v="4.4000000000000004"/>
    <n v="20"/>
    <n v="45890.82"/>
    <s v="6 Months"/>
  </r>
  <r>
    <x v="883"/>
    <n v="7419991"/>
    <n v="46"/>
    <x v="0"/>
    <x v="31"/>
    <x v="0"/>
    <x v="0"/>
    <x v="2"/>
    <x v="2"/>
    <x v="1"/>
    <x v="3"/>
    <n v="13"/>
    <n v="24900"/>
    <n v="5"/>
    <n v="307515"/>
    <n v="4.8"/>
    <n v="20"/>
    <n v="58266"/>
    <s v="1 Year"/>
  </r>
  <r>
    <x v="884"/>
    <n v="4157685"/>
    <n v="41"/>
    <x v="0"/>
    <x v="31"/>
    <x v="0"/>
    <x v="2"/>
    <x v="3"/>
    <x v="3"/>
    <x v="0"/>
    <x v="3"/>
    <n v="3"/>
    <n v="84999"/>
    <n v="12"/>
    <n v="224397.36"/>
    <n v="4.5"/>
    <n v="20"/>
    <n v="45899.46"/>
    <s v="6 Months"/>
  </r>
  <r>
    <x v="885"/>
    <n v="2316020"/>
    <n v="37"/>
    <x v="0"/>
    <x v="31"/>
    <x v="0"/>
    <x v="3"/>
    <x v="2"/>
    <x v="4"/>
    <x v="2"/>
    <x v="3"/>
    <n v="4"/>
    <n v="69999"/>
    <n v="8"/>
    <n v="257596.32"/>
    <n v="4.8"/>
    <n v="20"/>
    <n v="50399.28"/>
    <s v="1 Year"/>
  </r>
  <r>
    <x v="886"/>
    <n v="776342"/>
    <n v="28"/>
    <x v="0"/>
    <x v="31"/>
    <x v="0"/>
    <x v="3"/>
    <x v="1"/>
    <x v="5"/>
    <x v="2"/>
    <x v="3"/>
    <n v="5"/>
    <n v="42999"/>
    <n v="15"/>
    <n v="182745.75"/>
    <n v="4.5999999999999996"/>
    <n v="20"/>
    <n v="38699.1"/>
    <s v="1 Year"/>
  </r>
  <r>
    <x v="887"/>
    <n v="2200412"/>
    <n v="34"/>
    <x v="0"/>
    <x v="31"/>
    <x v="0"/>
    <x v="5"/>
    <x v="0"/>
    <x v="0"/>
    <x v="0"/>
    <x v="4"/>
    <n v="3"/>
    <n v="99999"/>
    <n v="10"/>
    <n v="269997.3"/>
    <n v="4.7"/>
    <n v="20"/>
    <n v="53999.46"/>
    <s v="1 Year"/>
  </r>
  <r>
    <x v="888"/>
    <n v="8221697"/>
    <n v="32"/>
    <x v="0"/>
    <x v="31"/>
    <x v="0"/>
    <x v="0"/>
    <x v="1"/>
    <x v="1"/>
    <x v="1"/>
    <x v="4"/>
    <n v="56"/>
    <n v="4999"/>
    <n v="18"/>
    <n v="229554.08000000002"/>
    <n v="4.4000000000000004"/>
    <n v="20"/>
    <n v="50389.919999999998"/>
    <s v="6 Months"/>
  </r>
  <r>
    <x v="889"/>
    <n v="5267552"/>
    <n v="20"/>
    <x v="0"/>
    <x v="31"/>
    <x v="0"/>
    <x v="3"/>
    <x v="2"/>
    <x v="2"/>
    <x v="1"/>
    <x v="4"/>
    <n v="7"/>
    <n v="24900"/>
    <n v="5"/>
    <n v="165585"/>
    <n v="4.8"/>
    <n v="20"/>
    <n v="31374"/>
    <s v="1 Year"/>
  </r>
  <r>
    <x v="890"/>
    <n v="3885317"/>
    <n v="39"/>
    <x v="0"/>
    <x v="31"/>
    <x v="0"/>
    <x v="2"/>
    <x v="3"/>
    <x v="3"/>
    <x v="0"/>
    <x v="4"/>
    <n v="5"/>
    <n v="84999"/>
    <n v="12"/>
    <n v="373995.6"/>
    <n v="4.5"/>
    <n v="20"/>
    <n v="76499.099999999991"/>
    <s v="1 Year"/>
  </r>
  <r>
    <x v="891"/>
    <n v="1465947"/>
    <n v="47"/>
    <x v="0"/>
    <x v="31"/>
    <x v="0"/>
    <x v="3"/>
    <x v="2"/>
    <x v="4"/>
    <x v="2"/>
    <x v="4"/>
    <n v="5"/>
    <n v="69999"/>
    <n v="8"/>
    <n v="321995.40000000002"/>
    <n v="4.8"/>
    <n v="20"/>
    <n v="62999.1"/>
    <s v="1 Year"/>
  </r>
  <r>
    <x v="892"/>
    <n v="6465978"/>
    <n v="41"/>
    <x v="0"/>
    <x v="31"/>
    <x v="0"/>
    <x v="5"/>
    <x v="1"/>
    <x v="5"/>
    <x v="2"/>
    <x v="4"/>
    <n v="11"/>
    <n v="42999"/>
    <n v="15"/>
    <n v="402040.65"/>
    <n v="4.5999999999999996"/>
    <n v="20"/>
    <n v="85138.02"/>
    <s v="1 Year"/>
  </r>
  <r>
    <x v="893"/>
    <n v="9783452"/>
    <n v="21"/>
    <x v="0"/>
    <x v="32"/>
    <x v="0"/>
    <x v="3"/>
    <x v="0"/>
    <x v="0"/>
    <x v="0"/>
    <x v="0"/>
    <n v="5"/>
    <n v="99999"/>
    <n v="10"/>
    <n v="449995.5"/>
    <n v="4.7"/>
    <n v="20"/>
    <n v="89999.099999999991"/>
    <s v="6 Months"/>
  </r>
  <r>
    <x v="894"/>
    <n v="3213670"/>
    <n v="19"/>
    <x v="2"/>
    <x v="32"/>
    <x v="0"/>
    <x v="2"/>
    <x v="1"/>
    <x v="1"/>
    <x v="1"/>
    <x v="0"/>
    <n v="55"/>
    <n v="4999"/>
    <n v="18"/>
    <n v="225454.9"/>
    <n v="4.4000000000000004"/>
    <n v="20"/>
    <n v="49490.1"/>
    <s v="1 Year"/>
  </r>
  <r>
    <x v="895"/>
    <n v="3339810"/>
    <n v="39"/>
    <x v="0"/>
    <x v="32"/>
    <x v="2"/>
    <x v="0"/>
    <x v="2"/>
    <x v="2"/>
    <x v="1"/>
    <x v="0"/>
    <n v="12"/>
    <n v="24900"/>
    <n v="5"/>
    <n v="283860"/>
    <n v="4.8"/>
    <n v="20"/>
    <n v="53784"/>
    <s v="1 Year"/>
  </r>
  <r>
    <x v="896"/>
    <n v="9980990"/>
    <n v="34"/>
    <x v="0"/>
    <x v="32"/>
    <x v="2"/>
    <x v="3"/>
    <x v="3"/>
    <x v="3"/>
    <x v="0"/>
    <x v="0"/>
    <n v="3"/>
    <n v="84999"/>
    <n v="12"/>
    <n v="224397.36"/>
    <n v="4.5"/>
    <n v="20"/>
    <n v="45899.46"/>
    <s v="1 Year"/>
  </r>
  <r>
    <x v="897"/>
    <n v="2826022"/>
    <n v="41"/>
    <x v="0"/>
    <x v="32"/>
    <x v="0"/>
    <x v="2"/>
    <x v="2"/>
    <x v="4"/>
    <x v="2"/>
    <x v="0"/>
    <n v="6"/>
    <n v="69999"/>
    <n v="8"/>
    <n v="386394.48"/>
    <n v="4.8"/>
    <n v="20"/>
    <n v="75598.92"/>
    <s v="1 Year"/>
  </r>
  <r>
    <x v="898"/>
    <n v="9556007"/>
    <n v="21"/>
    <x v="0"/>
    <x v="32"/>
    <x v="0"/>
    <x v="0"/>
    <x v="1"/>
    <x v="5"/>
    <x v="2"/>
    <x v="0"/>
    <n v="10"/>
    <n v="42999"/>
    <n v="15"/>
    <n v="365491.5"/>
    <n v="4.5999999999999996"/>
    <n v="20"/>
    <n v="77398.2"/>
    <s v="6 Months"/>
  </r>
  <r>
    <x v="899"/>
    <n v="7910008"/>
    <n v="25"/>
    <x v="0"/>
    <x v="32"/>
    <x v="0"/>
    <x v="1"/>
    <x v="0"/>
    <x v="0"/>
    <x v="0"/>
    <x v="1"/>
    <n v="3"/>
    <n v="99999"/>
    <n v="10"/>
    <n v="269997.3"/>
    <n v="4.7"/>
    <n v="20"/>
    <n v="53999.46"/>
    <s v="6 Months"/>
  </r>
  <r>
    <x v="900"/>
    <n v="3401875"/>
    <n v="19"/>
    <x v="2"/>
    <x v="32"/>
    <x v="0"/>
    <x v="0"/>
    <x v="1"/>
    <x v="1"/>
    <x v="1"/>
    <x v="1"/>
    <n v="46"/>
    <n v="4999"/>
    <n v="18"/>
    <n v="188562.28"/>
    <n v="4.4000000000000004"/>
    <n v="20"/>
    <n v="41391.72"/>
    <s v="1 Year"/>
  </r>
  <r>
    <x v="901"/>
    <n v="9281615"/>
    <n v="52"/>
    <x v="1"/>
    <x v="32"/>
    <x v="0"/>
    <x v="3"/>
    <x v="2"/>
    <x v="2"/>
    <x v="1"/>
    <x v="1"/>
    <n v="12"/>
    <n v="24900"/>
    <n v="5"/>
    <n v="283860"/>
    <n v="4.8"/>
    <n v="20"/>
    <n v="53784"/>
    <s v="1 Year"/>
  </r>
  <r>
    <x v="902"/>
    <n v="2556651"/>
    <n v="43"/>
    <x v="0"/>
    <x v="32"/>
    <x v="0"/>
    <x v="2"/>
    <x v="3"/>
    <x v="3"/>
    <x v="0"/>
    <x v="1"/>
    <n v="3"/>
    <n v="84999"/>
    <n v="12"/>
    <n v="224397.36"/>
    <n v="4.5"/>
    <n v="20"/>
    <n v="45899.46"/>
    <s v="1 Year"/>
  </r>
  <r>
    <x v="903"/>
    <n v="6980134"/>
    <n v="39"/>
    <x v="0"/>
    <x v="32"/>
    <x v="0"/>
    <x v="0"/>
    <x v="2"/>
    <x v="4"/>
    <x v="2"/>
    <x v="1"/>
    <n v="2"/>
    <n v="69999"/>
    <n v="8"/>
    <n v="128798.16"/>
    <n v="4.8"/>
    <n v="20"/>
    <n v="25199.64"/>
    <s v="1 Year"/>
  </r>
  <r>
    <x v="904"/>
    <n v="7043825"/>
    <n v="21"/>
    <x v="0"/>
    <x v="32"/>
    <x v="0"/>
    <x v="2"/>
    <x v="1"/>
    <x v="5"/>
    <x v="2"/>
    <x v="1"/>
    <n v="6"/>
    <n v="42999"/>
    <n v="15"/>
    <n v="219294.9"/>
    <n v="4.5999999999999996"/>
    <n v="20"/>
    <n v="46438.92"/>
    <s v="1 Year"/>
  </r>
  <r>
    <x v="905"/>
    <n v="9943161"/>
    <n v="43"/>
    <x v="0"/>
    <x v="32"/>
    <x v="0"/>
    <x v="2"/>
    <x v="0"/>
    <x v="0"/>
    <x v="0"/>
    <x v="2"/>
    <n v="3"/>
    <n v="99999"/>
    <n v="10"/>
    <n v="269997.3"/>
    <n v="4.7"/>
    <n v="20"/>
    <n v="53999.46"/>
    <s v="1 Year"/>
  </r>
  <r>
    <x v="906"/>
    <n v="6161501"/>
    <n v="41"/>
    <x v="0"/>
    <x v="32"/>
    <x v="0"/>
    <x v="5"/>
    <x v="1"/>
    <x v="1"/>
    <x v="1"/>
    <x v="2"/>
    <n v="35"/>
    <n v="4999"/>
    <n v="18"/>
    <n v="143471.29999999999"/>
    <n v="4.4000000000000004"/>
    <n v="20"/>
    <n v="31493.699999999997"/>
    <s v="6 Months"/>
  </r>
  <r>
    <x v="907"/>
    <n v="1800054"/>
    <n v="27"/>
    <x v="0"/>
    <x v="32"/>
    <x v="0"/>
    <x v="2"/>
    <x v="2"/>
    <x v="2"/>
    <x v="1"/>
    <x v="2"/>
    <n v="11"/>
    <n v="24900"/>
    <n v="5"/>
    <n v="260205"/>
    <n v="4.8"/>
    <n v="20"/>
    <n v="49302"/>
    <s v="1 Year"/>
  </r>
  <r>
    <x v="908"/>
    <n v="3817375"/>
    <n v="22"/>
    <x v="0"/>
    <x v="32"/>
    <x v="0"/>
    <x v="2"/>
    <x v="3"/>
    <x v="3"/>
    <x v="0"/>
    <x v="2"/>
    <n v="2"/>
    <n v="84999"/>
    <n v="12"/>
    <n v="149598.24"/>
    <n v="4.5"/>
    <n v="20"/>
    <n v="30599.64"/>
    <s v="1 Year"/>
  </r>
  <r>
    <x v="909"/>
    <n v="8094337"/>
    <n v="57"/>
    <x v="1"/>
    <x v="32"/>
    <x v="0"/>
    <x v="4"/>
    <x v="2"/>
    <x v="4"/>
    <x v="2"/>
    <x v="2"/>
    <n v="4"/>
    <n v="69999"/>
    <n v="8"/>
    <n v="257596.32"/>
    <n v="4.8"/>
    <n v="20"/>
    <n v="50399.28"/>
    <s v="6 Months"/>
  </r>
  <r>
    <x v="910"/>
    <n v="409481"/>
    <n v="32"/>
    <x v="0"/>
    <x v="32"/>
    <x v="0"/>
    <x v="0"/>
    <x v="1"/>
    <x v="5"/>
    <x v="2"/>
    <x v="2"/>
    <n v="4"/>
    <n v="42999"/>
    <n v="15"/>
    <n v="146196.6"/>
    <n v="4.5999999999999996"/>
    <n v="20"/>
    <n v="30959.279999999999"/>
    <s v="1 Year"/>
  </r>
  <r>
    <x v="911"/>
    <n v="5631828"/>
    <n v="44"/>
    <x v="0"/>
    <x v="32"/>
    <x v="0"/>
    <x v="0"/>
    <x v="0"/>
    <x v="0"/>
    <x v="0"/>
    <x v="3"/>
    <n v="6"/>
    <n v="99999"/>
    <n v="10"/>
    <n v="539994.6"/>
    <n v="4.7"/>
    <n v="20"/>
    <n v="107998.92"/>
    <s v="6 Months"/>
  </r>
  <r>
    <x v="912"/>
    <n v="4300105"/>
    <n v="54"/>
    <x v="1"/>
    <x v="32"/>
    <x v="0"/>
    <x v="3"/>
    <x v="1"/>
    <x v="1"/>
    <x v="1"/>
    <x v="3"/>
    <n v="46"/>
    <n v="4999"/>
    <n v="18"/>
    <n v="188562.28"/>
    <n v="4.4000000000000004"/>
    <n v="20"/>
    <n v="41391.72"/>
    <s v="1 Year"/>
  </r>
  <r>
    <x v="913"/>
    <n v="2276792"/>
    <n v="77"/>
    <x v="1"/>
    <x v="32"/>
    <x v="0"/>
    <x v="3"/>
    <x v="2"/>
    <x v="2"/>
    <x v="1"/>
    <x v="3"/>
    <n v="7"/>
    <n v="24900"/>
    <n v="5"/>
    <n v="165585"/>
    <n v="4.8"/>
    <n v="20"/>
    <n v="31374"/>
    <s v="1 Year"/>
  </r>
  <r>
    <x v="914"/>
    <n v="5665972"/>
    <n v="22"/>
    <x v="0"/>
    <x v="32"/>
    <x v="0"/>
    <x v="0"/>
    <x v="3"/>
    <x v="3"/>
    <x v="0"/>
    <x v="3"/>
    <n v="5"/>
    <n v="84999"/>
    <n v="12"/>
    <n v="373995.6"/>
    <n v="4.5"/>
    <n v="20"/>
    <n v="76499.099999999991"/>
    <s v="1 Year"/>
  </r>
  <r>
    <x v="915"/>
    <n v="9452126"/>
    <n v="21"/>
    <x v="0"/>
    <x v="32"/>
    <x v="0"/>
    <x v="1"/>
    <x v="2"/>
    <x v="4"/>
    <x v="2"/>
    <x v="3"/>
    <n v="2"/>
    <n v="69999"/>
    <n v="8"/>
    <n v="128798.16"/>
    <n v="4.8"/>
    <n v="20"/>
    <n v="25199.64"/>
    <s v="1 Year"/>
  </r>
  <r>
    <x v="916"/>
    <n v="103546"/>
    <n v="47"/>
    <x v="0"/>
    <x v="32"/>
    <x v="0"/>
    <x v="1"/>
    <x v="1"/>
    <x v="5"/>
    <x v="2"/>
    <x v="3"/>
    <n v="5"/>
    <n v="42999"/>
    <n v="15"/>
    <n v="182745.75"/>
    <n v="4.5999999999999996"/>
    <n v="20"/>
    <n v="38699.1"/>
    <s v="1 Year"/>
  </r>
  <r>
    <x v="917"/>
    <n v="2218153"/>
    <n v="44"/>
    <x v="0"/>
    <x v="32"/>
    <x v="0"/>
    <x v="2"/>
    <x v="0"/>
    <x v="0"/>
    <x v="0"/>
    <x v="4"/>
    <n v="4"/>
    <n v="99999"/>
    <n v="10"/>
    <n v="359996.4"/>
    <n v="4.7"/>
    <n v="20"/>
    <n v="71999.28"/>
    <s v="1 Year"/>
  </r>
  <r>
    <x v="918"/>
    <n v="7470771"/>
    <n v="36"/>
    <x v="0"/>
    <x v="32"/>
    <x v="0"/>
    <x v="3"/>
    <x v="1"/>
    <x v="1"/>
    <x v="1"/>
    <x v="4"/>
    <n v="47"/>
    <n v="4999"/>
    <n v="18"/>
    <n v="192661.46"/>
    <n v="4.4000000000000004"/>
    <n v="20"/>
    <n v="42291.54"/>
    <s v="6 Months"/>
  </r>
  <r>
    <x v="919"/>
    <n v="8008371"/>
    <n v="63"/>
    <x v="1"/>
    <x v="32"/>
    <x v="0"/>
    <x v="4"/>
    <x v="2"/>
    <x v="2"/>
    <x v="1"/>
    <x v="4"/>
    <n v="12"/>
    <n v="24900"/>
    <n v="5"/>
    <n v="283860"/>
    <n v="4.8"/>
    <n v="20"/>
    <n v="53784"/>
    <s v="1 Year"/>
  </r>
  <r>
    <x v="920"/>
    <n v="5525005"/>
    <n v="44"/>
    <x v="0"/>
    <x v="32"/>
    <x v="0"/>
    <x v="2"/>
    <x v="3"/>
    <x v="3"/>
    <x v="0"/>
    <x v="4"/>
    <n v="3"/>
    <n v="84999"/>
    <n v="12"/>
    <n v="224397.36"/>
    <n v="4.5"/>
    <n v="20"/>
    <n v="45899.46"/>
    <s v="1 Year"/>
  </r>
  <r>
    <x v="921"/>
    <n v="6713711"/>
    <n v="26"/>
    <x v="0"/>
    <x v="32"/>
    <x v="0"/>
    <x v="3"/>
    <x v="2"/>
    <x v="4"/>
    <x v="2"/>
    <x v="4"/>
    <n v="3"/>
    <n v="69999"/>
    <n v="8"/>
    <n v="193197.24"/>
    <n v="4.8"/>
    <n v="20"/>
    <n v="37799.46"/>
    <s v="1 Year"/>
  </r>
  <r>
    <x v="922"/>
    <n v="3459640"/>
    <n v="22"/>
    <x v="0"/>
    <x v="32"/>
    <x v="0"/>
    <x v="2"/>
    <x v="1"/>
    <x v="5"/>
    <x v="2"/>
    <x v="4"/>
    <n v="6"/>
    <n v="42999"/>
    <n v="15"/>
    <n v="219294.9"/>
    <n v="4.5999999999999996"/>
    <n v="20"/>
    <n v="46438.92"/>
    <s v="1 Year"/>
  </r>
  <r>
    <x v="923"/>
    <n v="1139880"/>
    <n v="46"/>
    <x v="0"/>
    <x v="33"/>
    <x v="0"/>
    <x v="2"/>
    <x v="0"/>
    <x v="0"/>
    <x v="0"/>
    <x v="0"/>
    <n v="4"/>
    <n v="99999"/>
    <n v="10"/>
    <n v="359996.4"/>
    <n v="4.7"/>
    <n v="20"/>
    <n v="71999.28"/>
    <s v="6 Months"/>
  </r>
  <r>
    <x v="924"/>
    <n v="2147768"/>
    <n v="24"/>
    <x v="0"/>
    <x v="33"/>
    <x v="0"/>
    <x v="2"/>
    <x v="1"/>
    <x v="1"/>
    <x v="1"/>
    <x v="0"/>
    <n v="44"/>
    <n v="4999"/>
    <n v="18"/>
    <n v="180363.91999999998"/>
    <n v="4.4000000000000004"/>
    <n v="20"/>
    <n v="39592.080000000002"/>
    <s v="1 Year"/>
  </r>
  <r>
    <x v="925"/>
    <n v="1713962"/>
    <n v="32"/>
    <x v="0"/>
    <x v="33"/>
    <x v="0"/>
    <x v="3"/>
    <x v="2"/>
    <x v="2"/>
    <x v="1"/>
    <x v="0"/>
    <n v="9"/>
    <n v="24900"/>
    <n v="5"/>
    <n v="212895"/>
    <n v="4.8"/>
    <n v="20"/>
    <n v="40338"/>
    <s v="1 Year"/>
  </r>
  <r>
    <x v="926"/>
    <n v="2775921"/>
    <n v="32"/>
    <x v="0"/>
    <x v="33"/>
    <x v="0"/>
    <x v="2"/>
    <x v="3"/>
    <x v="3"/>
    <x v="0"/>
    <x v="0"/>
    <n v="4"/>
    <n v="84999"/>
    <n v="12"/>
    <n v="299196.48"/>
    <n v="4.5"/>
    <n v="20"/>
    <n v="61199.28"/>
    <s v="1 Year"/>
  </r>
  <r>
    <x v="927"/>
    <n v="6729877"/>
    <n v="72"/>
    <x v="1"/>
    <x v="33"/>
    <x v="0"/>
    <x v="0"/>
    <x v="2"/>
    <x v="4"/>
    <x v="2"/>
    <x v="0"/>
    <n v="5"/>
    <n v="69999"/>
    <n v="8"/>
    <n v="321995.40000000002"/>
    <n v="4.8"/>
    <n v="20"/>
    <n v="62999.1"/>
    <s v="6 Months"/>
  </r>
  <r>
    <x v="928"/>
    <n v="7452370"/>
    <n v="32"/>
    <x v="0"/>
    <x v="33"/>
    <x v="0"/>
    <x v="3"/>
    <x v="1"/>
    <x v="5"/>
    <x v="2"/>
    <x v="0"/>
    <n v="10"/>
    <n v="42999"/>
    <n v="15"/>
    <n v="365491.5"/>
    <n v="4.5999999999999996"/>
    <n v="20"/>
    <n v="77398.2"/>
    <s v="1 Year"/>
  </r>
  <r>
    <x v="929"/>
    <n v="4610802"/>
    <n v="31"/>
    <x v="0"/>
    <x v="33"/>
    <x v="3"/>
    <x v="2"/>
    <x v="0"/>
    <x v="0"/>
    <x v="0"/>
    <x v="1"/>
    <n v="3"/>
    <n v="99999"/>
    <n v="10"/>
    <n v="269997.3"/>
    <n v="4.7"/>
    <n v="20"/>
    <n v="53999.46"/>
    <s v="6 Months"/>
  </r>
  <r>
    <x v="930"/>
    <n v="8201411"/>
    <n v="22"/>
    <x v="0"/>
    <x v="33"/>
    <x v="0"/>
    <x v="1"/>
    <x v="1"/>
    <x v="1"/>
    <x v="1"/>
    <x v="1"/>
    <n v="56"/>
    <n v="4999"/>
    <n v="18"/>
    <n v="229554.08000000002"/>
    <n v="4.4000000000000004"/>
    <n v="20"/>
    <n v="50389.919999999998"/>
    <s v="6 Months"/>
  </r>
  <r>
    <x v="931"/>
    <n v="3221405"/>
    <n v="38"/>
    <x v="0"/>
    <x v="33"/>
    <x v="0"/>
    <x v="2"/>
    <x v="2"/>
    <x v="2"/>
    <x v="1"/>
    <x v="1"/>
    <n v="9"/>
    <n v="24900"/>
    <n v="5"/>
    <n v="212895"/>
    <n v="4.8"/>
    <n v="20"/>
    <n v="40338"/>
    <s v="6 Months"/>
  </r>
  <r>
    <x v="932"/>
    <n v="2037089"/>
    <n v="26"/>
    <x v="0"/>
    <x v="33"/>
    <x v="0"/>
    <x v="4"/>
    <x v="3"/>
    <x v="3"/>
    <x v="0"/>
    <x v="1"/>
    <n v="6"/>
    <n v="84999"/>
    <n v="12"/>
    <n v="448794.72"/>
    <n v="4.5"/>
    <n v="20"/>
    <n v="91798.92"/>
    <s v="1 Year"/>
  </r>
  <r>
    <x v="933"/>
    <n v="7557394"/>
    <n v="31"/>
    <x v="0"/>
    <x v="33"/>
    <x v="0"/>
    <x v="3"/>
    <x v="2"/>
    <x v="4"/>
    <x v="2"/>
    <x v="1"/>
    <n v="2"/>
    <n v="69999"/>
    <n v="8"/>
    <n v="128798.16"/>
    <n v="4.8"/>
    <n v="20"/>
    <n v="25199.64"/>
    <s v="6 Months"/>
  </r>
  <r>
    <x v="934"/>
    <n v="3323074"/>
    <n v="19"/>
    <x v="2"/>
    <x v="33"/>
    <x v="0"/>
    <x v="2"/>
    <x v="1"/>
    <x v="5"/>
    <x v="2"/>
    <x v="1"/>
    <n v="6"/>
    <n v="42999"/>
    <n v="15"/>
    <n v="219294.9"/>
    <n v="4.5999999999999996"/>
    <n v="20"/>
    <n v="46438.92"/>
    <s v="1 Year"/>
  </r>
  <r>
    <x v="935"/>
    <n v="102795"/>
    <n v="29"/>
    <x v="0"/>
    <x v="33"/>
    <x v="0"/>
    <x v="2"/>
    <x v="0"/>
    <x v="0"/>
    <x v="0"/>
    <x v="2"/>
    <n v="4"/>
    <n v="99999"/>
    <n v="10"/>
    <n v="359996.4"/>
    <n v="4.7"/>
    <n v="20"/>
    <n v="71999.28"/>
    <s v="1 Year"/>
  </r>
  <r>
    <x v="936"/>
    <n v="3147509"/>
    <n v="37"/>
    <x v="0"/>
    <x v="33"/>
    <x v="0"/>
    <x v="3"/>
    <x v="1"/>
    <x v="1"/>
    <x v="1"/>
    <x v="2"/>
    <n v="35"/>
    <n v="4999"/>
    <n v="18"/>
    <n v="143471.29999999999"/>
    <n v="4.4000000000000004"/>
    <n v="20"/>
    <n v="31493.699999999997"/>
    <s v="1 Year"/>
  </r>
  <r>
    <x v="937"/>
    <n v="4438368"/>
    <n v="22"/>
    <x v="0"/>
    <x v="33"/>
    <x v="0"/>
    <x v="0"/>
    <x v="2"/>
    <x v="2"/>
    <x v="1"/>
    <x v="2"/>
    <n v="4"/>
    <n v="24900"/>
    <n v="5"/>
    <n v="94620"/>
    <n v="4.8"/>
    <n v="20"/>
    <n v="17928"/>
    <s v="1 Year"/>
  </r>
  <r>
    <x v="938"/>
    <n v="5800044"/>
    <n v="33"/>
    <x v="0"/>
    <x v="33"/>
    <x v="0"/>
    <x v="3"/>
    <x v="3"/>
    <x v="3"/>
    <x v="0"/>
    <x v="2"/>
    <n v="4"/>
    <n v="84999"/>
    <n v="12"/>
    <n v="299196.48"/>
    <n v="4.5"/>
    <n v="20"/>
    <n v="61199.28"/>
    <s v="6 Months"/>
  </r>
  <r>
    <x v="939"/>
    <n v="6654250"/>
    <n v="43"/>
    <x v="0"/>
    <x v="33"/>
    <x v="0"/>
    <x v="2"/>
    <x v="2"/>
    <x v="4"/>
    <x v="2"/>
    <x v="2"/>
    <n v="3"/>
    <n v="69999"/>
    <n v="8"/>
    <n v="193197.24"/>
    <n v="4.8"/>
    <n v="20"/>
    <n v="37799.46"/>
    <s v="1 Year"/>
  </r>
  <r>
    <x v="940"/>
    <n v="7682756"/>
    <n v="64"/>
    <x v="1"/>
    <x v="33"/>
    <x v="0"/>
    <x v="2"/>
    <x v="1"/>
    <x v="5"/>
    <x v="2"/>
    <x v="2"/>
    <n v="9"/>
    <n v="42999"/>
    <n v="15"/>
    <n v="328942.34999999998"/>
    <n v="4.5999999999999996"/>
    <n v="20"/>
    <n v="69658.38"/>
    <s v="6 Months"/>
  </r>
  <r>
    <x v="941"/>
    <n v="9785816"/>
    <n v="25"/>
    <x v="0"/>
    <x v="33"/>
    <x v="0"/>
    <x v="1"/>
    <x v="0"/>
    <x v="0"/>
    <x v="0"/>
    <x v="3"/>
    <n v="5"/>
    <n v="99999"/>
    <n v="10"/>
    <n v="449995.5"/>
    <n v="4.7"/>
    <n v="20"/>
    <n v="89999.099999999991"/>
    <s v="1 Year"/>
  </r>
  <r>
    <x v="942"/>
    <n v="2365972"/>
    <n v="41"/>
    <x v="0"/>
    <x v="33"/>
    <x v="0"/>
    <x v="3"/>
    <x v="1"/>
    <x v="1"/>
    <x v="1"/>
    <x v="3"/>
    <n v="52"/>
    <n v="4999"/>
    <n v="18"/>
    <n v="213157.36"/>
    <n v="4.4000000000000004"/>
    <n v="20"/>
    <n v="46790.64"/>
    <s v="6 Months"/>
  </r>
  <r>
    <x v="943"/>
    <n v="6050123"/>
    <n v="38"/>
    <x v="0"/>
    <x v="33"/>
    <x v="3"/>
    <x v="2"/>
    <x v="2"/>
    <x v="2"/>
    <x v="1"/>
    <x v="3"/>
    <n v="9"/>
    <n v="24900"/>
    <n v="5"/>
    <n v="212895"/>
    <n v="4.8"/>
    <n v="20"/>
    <n v="40338"/>
    <s v="1 Year"/>
  </r>
  <r>
    <x v="944"/>
    <n v="4846280"/>
    <n v="20"/>
    <x v="0"/>
    <x v="33"/>
    <x v="0"/>
    <x v="2"/>
    <x v="3"/>
    <x v="3"/>
    <x v="0"/>
    <x v="3"/>
    <n v="2"/>
    <n v="84999"/>
    <n v="12"/>
    <n v="149598.24"/>
    <n v="4.5"/>
    <n v="20"/>
    <n v="30599.64"/>
    <s v="1 Year"/>
  </r>
  <r>
    <x v="945"/>
    <n v="5531302"/>
    <n v="42"/>
    <x v="0"/>
    <x v="33"/>
    <x v="0"/>
    <x v="1"/>
    <x v="2"/>
    <x v="4"/>
    <x v="2"/>
    <x v="3"/>
    <n v="5"/>
    <n v="69999"/>
    <n v="8"/>
    <n v="321995.40000000002"/>
    <n v="4.8"/>
    <n v="20"/>
    <n v="62999.1"/>
    <s v="1 Year"/>
  </r>
  <r>
    <x v="946"/>
    <n v="5403329"/>
    <n v="20"/>
    <x v="0"/>
    <x v="33"/>
    <x v="0"/>
    <x v="2"/>
    <x v="1"/>
    <x v="5"/>
    <x v="2"/>
    <x v="3"/>
    <n v="6"/>
    <n v="42999"/>
    <n v="15"/>
    <n v="219294.9"/>
    <n v="4.5999999999999996"/>
    <n v="20"/>
    <n v="46438.92"/>
    <s v="1 Year"/>
  </r>
  <r>
    <x v="947"/>
    <n v="1327021"/>
    <n v="47"/>
    <x v="0"/>
    <x v="33"/>
    <x v="0"/>
    <x v="2"/>
    <x v="0"/>
    <x v="0"/>
    <x v="0"/>
    <x v="4"/>
    <n v="6"/>
    <n v="99999"/>
    <n v="10"/>
    <n v="539994.6"/>
    <n v="4.7"/>
    <n v="20"/>
    <n v="107998.92"/>
    <s v="1 Year"/>
  </r>
  <r>
    <x v="947"/>
    <n v="1327021"/>
    <n v="40"/>
    <x v="0"/>
    <x v="33"/>
    <x v="0"/>
    <x v="2"/>
    <x v="1"/>
    <x v="1"/>
    <x v="1"/>
    <x v="4"/>
    <n v="58"/>
    <n v="4999"/>
    <n v="18"/>
    <n v="237752.44"/>
    <n v="4.4000000000000004"/>
    <n v="20"/>
    <n v="52189.56"/>
    <s v="6 Months"/>
  </r>
  <r>
    <x v="948"/>
    <n v="2338187"/>
    <n v="38"/>
    <x v="0"/>
    <x v="33"/>
    <x v="0"/>
    <x v="2"/>
    <x v="2"/>
    <x v="2"/>
    <x v="1"/>
    <x v="4"/>
    <n v="9"/>
    <n v="24900"/>
    <n v="5"/>
    <n v="212895"/>
    <n v="4.8"/>
    <n v="20"/>
    <n v="40338"/>
    <s v="6 Months"/>
  </r>
  <r>
    <x v="949"/>
    <n v="1476514"/>
    <n v="27"/>
    <x v="0"/>
    <x v="33"/>
    <x v="0"/>
    <x v="3"/>
    <x v="3"/>
    <x v="3"/>
    <x v="0"/>
    <x v="4"/>
    <n v="2"/>
    <n v="84999"/>
    <n v="12"/>
    <n v="149598.24"/>
    <n v="4.5"/>
    <n v="20"/>
    <n v="30599.64"/>
    <s v="1 Year"/>
  </r>
  <r>
    <x v="950"/>
    <n v="9067431"/>
    <n v="51"/>
    <x v="1"/>
    <x v="33"/>
    <x v="0"/>
    <x v="2"/>
    <x v="2"/>
    <x v="4"/>
    <x v="2"/>
    <x v="4"/>
    <n v="5"/>
    <n v="69999"/>
    <n v="8"/>
    <n v="321995.40000000002"/>
    <n v="4.8"/>
    <n v="20"/>
    <n v="62999.1"/>
    <s v="1 Year"/>
  </r>
  <r>
    <x v="951"/>
    <n v="3080765"/>
    <n v="75"/>
    <x v="1"/>
    <x v="33"/>
    <x v="0"/>
    <x v="4"/>
    <x v="1"/>
    <x v="5"/>
    <x v="2"/>
    <x v="4"/>
    <n v="10"/>
    <n v="42999"/>
    <n v="15"/>
    <n v="365491.5"/>
    <n v="4.5999999999999996"/>
    <n v="20"/>
    <n v="77398.2"/>
    <s v="1 Year"/>
  </r>
  <r>
    <x v="952"/>
    <n v="4984515"/>
    <n v="26"/>
    <x v="0"/>
    <x v="34"/>
    <x v="0"/>
    <x v="2"/>
    <x v="0"/>
    <x v="0"/>
    <x v="0"/>
    <x v="0"/>
    <n v="5"/>
    <n v="99999"/>
    <n v="10"/>
    <n v="449995.5"/>
    <n v="4.7"/>
    <n v="20"/>
    <n v="89999.099999999991"/>
    <s v="6 Months"/>
  </r>
  <r>
    <x v="952"/>
    <n v="4984515"/>
    <n v="65"/>
    <x v="1"/>
    <x v="34"/>
    <x v="0"/>
    <x v="2"/>
    <x v="1"/>
    <x v="1"/>
    <x v="1"/>
    <x v="0"/>
    <n v="33"/>
    <n v="4999"/>
    <n v="18"/>
    <n v="135272.94"/>
    <n v="4.4000000000000004"/>
    <n v="20"/>
    <n v="29694.059999999998"/>
    <s v="1 Year"/>
  </r>
  <r>
    <x v="952"/>
    <n v="4984515"/>
    <n v="33"/>
    <x v="0"/>
    <x v="34"/>
    <x v="0"/>
    <x v="2"/>
    <x v="2"/>
    <x v="2"/>
    <x v="1"/>
    <x v="0"/>
    <n v="12"/>
    <n v="24900"/>
    <n v="5"/>
    <n v="283860"/>
    <n v="4.8"/>
    <n v="20"/>
    <n v="53784"/>
    <s v="1 Year"/>
  </r>
  <r>
    <x v="952"/>
    <n v="4984515"/>
    <n v="43"/>
    <x v="0"/>
    <x v="34"/>
    <x v="0"/>
    <x v="5"/>
    <x v="3"/>
    <x v="3"/>
    <x v="0"/>
    <x v="0"/>
    <n v="5"/>
    <n v="84999"/>
    <n v="12"/>
    <n v="373995.6"/>
    <n v="4.5"/>
    <n v="20"/>
    <n v="76499.099999999991"/>
    <s v="1 Year"/>
  </r>
  <r>
    <x v="952"/>
    <n v="4984515"/>
    <n v="58"/>
    <x v="1"/>
    <x v="34"/>
    <x v="0"/>
    <x v="3"/>
    <x v="2"/>
    <x v="4"/>
    <x v="2"/>
    <x v="0"/>
    <n v="4"/>
    <n v="69999"/>
    <n v="8"/>
    <n v="257596.32"/>
    <n v="4.8"/>
    <n v="20"/>
    <n v="50399.28"/>
    <s v="1 Year"/>
  </r>
  <r>
    <x v="952"/>
    <n v="4984515"/>
    <n v="32"/>
    <x v="0"/>
    <x v="34"/>
    <x v="0"/>
    <x v="2"/>
    <x v="1"/>
    <x v="5"/>
    <x v="2"/>
    <x v="0"/>
    <n v="9"/>
    <n v="42999"/>
    <n v="15"/>
    <n v="328942.34999999998"/>
    <n v="4.5999999999999996"/>
    <n v="20"/>
    <n v="69658.38"/>
    <s v="6 Months"/>
  </r>
  <r>
    <x v="952"/>
    <n v="4984515"/>
    <n v="25"/>
    <x v="0"/>
    <x v="34"/>
    <x v="0"/>
    <x v="2"/>
    <x v="0"/>
    <x v="0"/>
    <x v="0"/>
    <x v="1"/>
    <n v="5"/>
    <n v="99999"/>
    <n v="10"/>
    <n v="449995.5"/>
    <n v="4.7"/>
    <n v="20"/>
    <n v="89999.099999999991"/>
    <s v="1 Year"/>
  </r>
  <r>
    <x v="952"/>
    <n v="4984515"/>
    <n v="70"/>
    <x v="1"/>
    <x v="34"/>
    <x v="0"/>
    <x v="2"/>
    <x v="1"/>
    <x v="1"/>
    <x v="1"/>
    <x v="1"/>
    <n v="46"/>
    <n v="4999"/>
    <n v="18"/>
    <n v="188562.28"/>
    <n v="4.4000000000000004"/>
    <n v="20"/>
    <n v="41391.72"/>
    <s v="6 Months"/>
  </r>
  <r>
    <x v="952"/>
    <n v="4984515"/>
    <n v="49"/>
    <x v="0"/>
    <x v="34"/>
    <x v="0"/>
    <x v="3"/>
    <x v="2"/>
    <x v="2"/>
    <x v="1"/>
    <x v="1"/>
    <n v="9"/>
    <n v="24900"/>
    <n v="5"/>
    <n v="212895"/>
    <n v="4.8"/>
    <n v="20"/>
    <n v="40338"/>
    <s v="6 Months"/>
  </r>
  <r>
    <x v="952"/>
    <n v="4984515"/>
    <n v="36"/>
    <x v="0"/>
    <x v="34"/>
    <x v="0"/>
    <x v="3"/>
    <x v="3"/>
    <x v="3"/>
    <x v="0"/>
    <x v="1"/>
    <n v="2"/>
    <n v="84999"/>
    <n v="12"/>
    <n v="149598.24"/>
    <n v="4.5"/>
    <n v="20"/>
    <n v="30599.64"/>
    <s v="6 Months"/>
  </r>
  <r>
    <x v="952"/>
    <n v="4984515"/>
    <n v="30"/>
    <x v="0"/>
    <x v="34"/>
    <x v="0"/>
    <x v="2"/>
    <x v="2"/>
    <x v="4"/>
    <x v="2"/>
    <x v="1"/>
    <n v="2"/>
    <n v="69999"/>
    <n v="8"/>
    <n v="128798.16"/>
    <n v="4.8"/>
    <n v="20"/>
    <n v="25199.64"/>
    <s v="1 Year"/>
  </r>
  <r>
    <x v="952"/>
    <n v="4984515"/>
    <n v="46"/>
    <x v="0"/>
    <x v="34"/>
    <x v="0"/>
    <x v="0"/>
    <x v="1"/>
    <x v="5"/>
    <x v="2"/>
    <x v="1"/>
    <n v="5"/>
    <n v="42999"/>
    <n v="15"/>
    <n v="182745.75"/>
    <n v="4.5999999999999996"/>
    <n v="20"/>
    <n v="38699.1"/>
    <s v="1 Year"/>
  </r>
  <r>
    <x v="953"/>
    <n v="173977"/>
    <n v="50"/>
    <x v="1"/>
    <x v="34"/>
    <x v="0"/>
    <x v="2"/>
    <x v="0"/>
    <x v="0"/>
    <x v="0"/>
    <x v="2"/>
    <n v="5"/>
    <n v="99999"/>
    <n v="10"/>
    <n v="449995.5"/>
    <n v="4.7"/>
    <n v="20"/>
    <n v="89999.099999999991"/>
    <s v="1 Year"/>
  </r>
  <r>
    <x v="953"/>
    <n v="173977"/>
    <n v="41"/>
    <x v="0"/>
    <x v="34"/>
    <x v="0"/>
    <x v="2"/>
    <x v="1"/>
    <x v="1"/>
    <x v="1"/>
    <x v="2"/>
    <n v="26"/>
    <n v="4999"/>
    <n v="18"/>
    <n v="106578.68"/>
    <n v="4.4000000000000004"/>
    <n v="20"/>
    <n v="23395.32"/>
    <s v="1 Year"/>
  </r>
  <r>
    <x v="953"/>
    <n v="173977"/>
    <n v="29"/>
    <x v="0"/>
    <x v="34"/>
    <x v="0"/>
    <x v="2"/>
    <x v="2"/>
    <x v="2"/>
    <x v="1"/>
    <x v="2"/>
    <n v="8"/>
    <n v="24900"/>
    <n v="5"/>
    <n v="189240"/>
    <n v="4.8"/>
    <n v="20"/>
    <n v="35856"/>
    <s v="1 Year"/>
  </r>
  <r>
    <x v="953"/>
    <n v="173977"/>
    <n v="62"/>
    <x v="1"/>
    <x v="34"/>
    <x v="0"/>
    <x v="3"/>
    <x v="3"/>
    <x v="3"/>
    <x v="0"/>
    <x v="2"/>
    <n v="3"/>
    <n v="84999"/>
    <n v="12"/>
    <n v="224397.36"/>
    <n v="4.5"/>
    <n v="20"/>
    <n v="45899.46"/>
    <s v="1 Year"/>
  </r>
  <r>
    <x v="953"/>
    <n v="173977"/>
    <n v="23"/>
    <x v="0"/>
    <x v="34"/>
    <x v="0"/>
    <x v="0"/>
    <x v="2"/>
    <x v="4"/>
    <x v="2"/>
    <x v="2"/>
    <n v="1"/>
    <n v="69999"/>
    <n v="8"/>
    <n v="64399.08"/>
    <n v="4.8"/>
    <n v="20"/>
    <n v="12599.82"/>
    <s v="1 Year"/>
  </r>
  <r>
    <x v="953"/>
    <n v="173977"/>
    <n v="68"/>
    <x v="1"/>
    <x v="34"/>
    <x v="0"/>
    <x v="2"/>
    <x v="1"/>
    <x v="5"/>
    <x v="2"/>
    <x v="2"/>
    <n v="1"/>
    <n v="42999"/>
    <n v="15"/>
    <n v="36549.15"/>
    <n v="4.5999999999999996"/>
    <n v="20"/>
    <n v="7739.82"/>
    <s v="1 Year"/>
  </r>
  <r>
    <x v="953"/>
    <n v="173977"/>
    <n v="25"/>
    <x v="0"/>
    <x v="34"/>
    <x v="0"/>
    <x v="3"/>
    <x v="0"/>
    <x v="0"/>
    <x v="0"/>
    <x v="3"/>
    <n v="5"/>
    <n v="99999"/>
    <n v="10"/>
    <n v="449995.5"/>
    <n v="4.7"/>
    <n v="20"/>
    <n v="89999.099999999991"/>
    <s v="1 Year"/>
  </r>
  <r>
    <x v="953"/>
    <n v="173977"/>
    <n v="25"/>
    <x v="0"/>
    <x v="34"/>
    <x v="0"/>
    <x v="2"/>
    <x v="1"/>
    <x v="1"/>
    <x v="1"/>
    <x v="3"/>
    <n v="58"/>
    <n v="4999"/>
    <n v="18"/>
    <n v="237752.44"/>
    <n v="4.4000000000000004"/>
    <n v="20"/>
    <n v="52189.56"/>
    <s v="1 Year"/>
  </r>
  <r>
    <x v="953"/>
    <n v="173977"/>
    <n v="24"/>
    <x v="0"/>
    <x v="34"/>
    <x v="0"/>
    <x v="5"/>
    <x v="2"/>
    <x v="2"/>
    <x v="1"/>
    <x v="3"/>
    <n v="13"/>
    <n v="24900"/>
    <n v="5"/>
    <n v="307515"/>
    <n v="4.8"/>
    <n v="20"/>
    <n v="58266"/>
    <s v="1 Year"/>
  </r>
  <r>
    <x v="953"/>
    <n v="173977"/>
    <n v="39"/>
    <x v="0"/>
    <x v="34"/>
    <x v="0"/>
    <x v="0"/>
    <x v="3"/>
    <x v="3"/>
    <x v="0"/>
    <x v="3"/>
    <n v="5"/>
    <n v="84999"/>
    <n v="12"/>
    <n v="373995.6"/>
    <n v="4.5"/>
    <n v="20"/>
    <n v="76499.099999999991"/>
    <s v="6 Months"/>
  </r>
  <r>
    <x v="953"/>
    <n v="173977"/>
    <n v="30"/>
    <x v="0"/>
    <x v="34"/>
    <x v="0"/>
    <x v="5"/>
    <x v="2"/>
    <x v="4"/>
    <x v="2"/>
    <x v="3"/>
    <n v="5"/>
    <n v="69999"/>
    <n v="8"/>
    <n v="321995.40000000002"/>
    <n v="4.8"/>
    <n v="20"/>
    <n v="62999.1"/>
    <s v="6 Months"/>
  </r>
  <r>
    <x v="954"/>
    <n v="3781773"/>
    <n v="23"/>
    <x v="0"/>
    <x v="34"/>
    <x v="0"/>
    <x v="0"/>
    <x v="1"/>
    <x v="5"/>
    <x v="2"/>
    <x v="3"/>
    <n v="11"/>
    <n v="42999"/>
    <n v="15"/>
    <n v="402040.65"/>
    <n v="4.5999999999999996"/>
    <n v="20"/>
    <n v="85138.02"/>
    <s v="1 Year"/>
  </r>
  <r>
    <x v="955"/>
    <n v="8901446"/>
    <n v="58"/>
    <x v="1"/>
    <x v="34"/>
    <x v="0"/>
    <x v="0"/>
    <x v="0"/>
    <x v="0"/>
    <x v="0"/>
    <x v="4"/>
    <n v="5"/>
    <n v="99999"/>
    <n v="10"/>
    <n v="449995.5"/>
    <n v="4.7"/>
    <n v="20"/>
    <n v="89999.099999999991"/>
    <s v="6 Months"/>
  </r>
  <r>
    <x v="956"/>
    <n v="6347718"/>
    <n v="58"/>
    <x v="1"/>
    <x v="34"/>
    <x v="0"/>
    <x v="1"/>
    <x v="1"/>
    <x v="1"/>
    <x v="1"/>
    <x v="4"/>
    <n v="32"/>
    <n v="4999"/>
    <n v="18"/>
    <n v="131173.76000000001"/>
    <n v="4.4000000000000004"/>
    <n v="20"/>
    <n v="28794.239999999998"/>
    <s v="1 Year"/>
  </r>
  <r>
    <x v="957"/>
    <n v="9825843"/>
    <n v="33"/>
    <x v="0"/>
    <x v="34"/>
    <x v="0"/>
    <x v="0"/>
    <x v="2"/>
    <x v="2"/>
    <x v="1"/>
    <x v="4"/>
    <n v="9"/>
    <n v="24900"/>
    <n v="5"/>
    <n v="212895"/>
    <n v="4.8"/>
    <n v="20"/>
    <n v="40338"/>
    <s v="1 Year"/>
  </r>
  <r>
    <x v="958"/>
    <n v="7186513"/>
    <n v="43"/>
    <x v="0"/>
    <x v="34"/>
    <x v="0"/>
    <x v="2"/>
    <x v="3"/>
    <x v="3"/>
    <x v="0"/>
    <x v="4"/>
    <n v="3"/>
    <n v="84999"/>
    <n v="12"/>
    <n v="224397.36"/>
    <n v="4.5"/>
    <n v="20"/>
    <n v="45899.46"/>
    <s v="1 Year"/>
  </r>
  <r>
    <x v="959"/>
    <n v="3240121"/>
    <n v="41"/>
    <x v="0"/>
    <x v="34"/>
    <x v="2"/>
    <x v="4"/>
    <x v="2"/>
    <x v="4"/>
    <x v="2"/>
    <x v="4"/>
    <n v="2"/>
    <n v="69999"/>
    <n v="8"/>
    <n v="128798.16"/>
    <n v="4.8"/>
    <n v="20"/>
    <n v="25199.64"/>
    <s v="1 Year"/>
  </r>
  <r>
    <x v="960"/>
    <n v="9995247"/>
    <n v="28"/>
    <x v="0"/>
    <x v="34"/>
    <x v="0"/>
    <x v="0"/>
    <x v="1"/>
    <x v="5"/>
    <x v="2"/>
    <x v="4"/>
    <n v="11"/>
    <n v="42999"/>
    <n v="15"/>
    <n v="402040.65"/>
    <n v="4.5999999999999996"/>
    <n v="20"/>
    <n v="85138.02"/>
    <s v="1 Year"/>
  </r>
  <r>
    <x v="961"/>
    <n v="2713312"/>
    <n v="30"/>
    <x v="0"/>
    <x v="35"/>
    <x v="2"/>
    <x v="4"/>
    <x v="0"/>
    <x v="0"/>
    <x v="0"/>
    <x v="0"/>
    <n v="4"/>
    <n v="99999"/>
    <n v="10"/>
    <n v="359996.4"/>
    <n v="4.7"/>
    <n v="20"/>
    <n v="71999.28"/>
    <s v="6 Months"/>
  </r>
  <r>
    <x v="962"/>
    <n v="8150725"/>
    <n v="42"/>
    <x v="0"/>
    <x v="35"/>
    <x v="0"/>
    <x v="0"/>
    <x v="1"/>
    <x v="1"/>
    <x v="1"/>
    <x v="0"/>
    <n v="32"/>
    <n v="4999"/>
    <n v="18"/>
    <n v="131173.76000000001"/>
    <n v="4.4000000000000004"/>
    <n v="20"/>
    <n v="28794.239999999998"/>
    <s v="6 Months"/>
  </r>
  <r>
    <x v="963"/>
    <n v="5211914"/>
    <n v="65"/>
    <x v="1"/>
    <x v="35"/>
    <x v="0"/>
    <x v="3"/>
    <x v="2"/>
    <x v="2"/>
    <x v="1"/>
    <x v="0"/>
    <n v="12"/>
    <n v="24900"/>
    <n v="5"/>
    <n v="283860"/>
    <n v="4.8"/>
    <n v="20"/>
    <n v="53784"/>
    <s v="6 Months"/>
  </r>
  <r>
    <x v="964"/>
    <n v="3446819"/>
    <n v="21"/>
    <x v="0"/>
    <x v="35"/>
    <x v="0"/>
    <x v="1"/>
    <x v="3"/>
    <x v="3"/>
    <x v="0"/>
    <x v="0"/>
    <n v="2"/>
    <n v="84999"/>
    <n v="12"/>
    <n v="149598.24"/>
    <n v="4.5"/>
    <n v="20"/>
    <n v="30599.64"/>
    <s v="1 Year"/>
  </r>
  <r>
    <x v="964"/>
    <n v="3446819"/>
    <n v="22"/>
    <x v="0"/>
    <x v="35"/>
    <x v="0"/>
    <x v="3"/>
    <x v="2"/>
    <x v="4"/>
    <x v="2"/>
    <x v="0"/>
    <n v="6"/>
    <n v="69999"/>
    <n v="8"/>
    <n v="386394.48"/>
    <n v="4.8"/>
    <n v="20"/>
    <n v="75598.92"/>
    <s v="6 Months"/>
  </r>
  <r>
    <x v="965"/>
    <n v="507148"/>
    <n v="32"/>
    <x v="0"/>
    <x v="35"/>
    <x v="0"/>
    <x v="0"/>
    <x v="1"/>
    <x v="5"/>
    <x v="2"/>
    <x v="0"/>
    <n v="9"/>
    <n v="42999"/>
    <n v="15"/>
    <n v="328942.34999999998"/>
    <n v="4.5999999999999996"/>
    <n v="20"/>
    <n v="69658.38"/>
    <s v="6 Months"/>
  </r>
  <r>
    <x v="965"/>
    <n v="507148"/>
    <n v="69"/>
    <x v="1"/>
    <x v="35"/>
    <x v="0"/>
    <x v="2"/>
    <x v="0"/>
    <x v="0"/>
    <x v="0"/>
    <x v="1"/>
    <n v="6"/>
    <n v="99999"/>
    <n v="10"/>
    <n v="539994.6"/>
    <n v="4.7"/>
    <n v="20"/>
    <n v="107998.92"/>
    <s v="1 Year"/>
  </r>
  <r>
    <x v="966"/>
    <n v="1462525"/>
    <n v="37"/>
    <x v="0"/>
    <x v="35"/>
    <x v="0"/>
    <x v="3"/>
    <x v="1"/>
    <x v="1"/>
    <x v="1"/>
    <x v="1"/>
    <n v="59"/>
    <n v="4999"/>
    <n v="18"/>
    <n v="241851.62"/>
    <n v="4.4000000000000004"/>
    <n v="20"/>
    <n v="53089.38"/>
    <s v="1 Year"/>
  </r>
  <r>
    <x v="967"/>
    <n v="5162864"/>
    <n v="20"/>
    <x v="0"/>
    <x v="35"/>
    <x v="0"/>
    <x v="2"/>
    <x v="2"/>
    <x v="2"/>
    <x v="1"/>
    <x v="1"/>
    <n v="5"/>
    <n v="24900"/>
    <n v="5"/>
    <n v="118275"/>
    <n v="4.8"/>
    <n v="20"/>
    <n v="22410"/>
    <s v="1 Year"/>
  </r>
  <r>
    <x v="968"/>
    <n v="277376"/>
    <n v="50"/>
    <x v="1"/>
    <x v="35"/>
    <x v="0"/>
    <x v="0"/>
    <x v="3"/>
    <x v="3"/>
    <x v="0"/>
    <x v="1"/>
    <n v="3"/>
    <n v="84999"/>
    <n v="12"/>
    <n v="224397.36"/>
    <n v="4.5"/>
    <n v="20"/>
    <n v="45899.46"/>
    <s v="1 Year"/>
  </r>
  <r>
    <x v="969"/>
    <n v="822699"/>
    <n v="41"/>
    <x v="0"/>
    <x v="35"/>
    <x v="0"/>
    <x v="1"/>
    <x v="2"/>
    <x v="4"/>
    <x v="2"/>
    <x v="1"/>
    <n v="3"/>
    <n v="69999"/>
    <n v="8"/>
    <n v="193197.24"/>
    <n v="4.8"/>
    <n v="20"/>
    <n v="37799.46"/>
    <s v="6 Months"/>
  </r>
  <r>
    <x v="970"/>
    <n v="5091416"/>
    <n v="48"/>
    <x v="0"/>
    <x v="35"/>
    <x v="0"/>
    <x v="2"/>
    <x v="1"/>
    <x v="5"/>
    <x v="2"/>
    <x v="1"/>
    <n v="8"/>
    <n v="42999"/>
    <n v="15"/>
    <n v="292393.2"/>
    <n v="4.5999999999999996"/>
    <n v="20"/>
    <n v="61918.559999999998"/>
    <s v="1 Year"/>
  </r>
  <r>
    <x v="971"/>
    <n v="9647815"/>
    <n v="33"/>
    <x v="0"/>
    <x v="35"/>
    <x v="0"/>
    <x v="2"/>
    <x v="0"/>
    <x v="0"/>
    <x v="0"/>
    <x v="2"/>
    <n v="6"/>
    <n v="99999"/>
    <n v="10"/>
    <n v="539994.6"/>
    <n v="4.7"/>
    <n v="20"/>
    <n v="107998.92"/>
    <s v="6 Months"/>
  </r>
  <r>
    <x v="972"/>
    <n v="159818"/>
    <n v="38"/>
    <x v="0"/>
    <x v="35"/>
    <x v="0"/>
    <x v="2"/>
    <x v="1"/>
    <x v="1"/>
    <x v="1"/>
    <x v="2"/>
    <n v="45"/>
    <n v="4999"/>
    <n v="18"/>
    <n v="184463.1"/>
    <n v="4.4000000000000004"/>
    <n v="20"/>
    <n v="40491.9"/>
    <s v="6 Months"/>
  </r>
  <r>
    <x v="973"/>
    <n v="9772395"/>
    <n v="67"/>
    <x v="1"/>
    <x v="35"/>
    <x v="0"/>
    <x v="2"/>
    <x v="2"/>
    <x v="2"/>
    <x v="1"/>
    <x v="2"/>
    <n v="6"/>
    <n v="24900"/>
    <n v="5"/>
    <n v="141930"/>
    <n v="4.8"/>
    <n v="20"/>
    <n v="26892"/>
    <s v="6 Months"/>
  </r>
  <r>
    <x v="974"/>
    <n v="6798354"/>
    <n v="27"/>
    <x v="0"/>
    <x v="35"/>
    <x v="0"/>
    <x v="3"/>
    <x v="3"/>
    <x v="3"/>
    <x v="0"/>
    <x v="2"/>
    <n v="4"/>
    <n v="84999"/>
    <n v="12"/>
    <n v="299196.48"/>
    <n v="4.5"/>
    <n v="20"/>
    <n v="61199.28"/>
    <s v="6 Months"/>
  </r>
  <r>
    <x v="975"/>
    <n v="1332654"/>
    <n v="29"/>
    <x v="0"/>
    <x v="35"/>
    <x v="0"/>
    <x v="4"/>
    <x v="2"/>
    <x v="4"/>
    <x v="2"/>
    <x v="2"/>
    <n v="3"/>
    <n v="69999"/>
    <n v="8"/>
    <n v="193197.24"/>
    <n v="4.8"/>
    <n v="20"/>
    <n v="37799.46"/>
    <s v="1 Year"/>
  </r>
  <r>
    <x v="976"/>
    <n v="525055"/>
    <n v="68"/>
    <x v="1"/>
    <x v="35"/>
    <x v="3"/>
    <x v="4"/>
    <x v="1"/>
    <x v="5"/>
    <x v="2"/>
    <x v="2"/>
    <n v="5"/>
    <n v="42999"/>
    <n v="15"/>
    <n v="182745.75"/>
    <n v="4.5999999999999996"/>
    <n v="20"/>
    <n v="38699.1"/>
    <s v="6 Months"/>
  </r>
  <r>
    <x v="977"/>
    <n v="4949647"/>
    <n v="25"/>
    <x v="0"/>
    <x v="35"/>
    <x v="0"/>
    <x v="0"/>
    <x v="0"/>
    <x v="0"/>
    <x v="0"/>
    <x v="3"/>
    <n v="5"/>
    <n v="99999"/>
    <n v="10"/>
    <n v="449995.5"/>
    <n v="4.7"/>
    <n v="20"/>
    <n v="89999.099999999991"/>
    <s v="1 Year"/>
  </r>
  <r>
    <x v="978"/>
    <n v="5718861"/>
    <n v="39"/>
    <x v="0"/>
    <x v="35"/>
    <x v="0"/>
    <x v="2"/>
    <x v="1"/>
    <x v="1"/>
    <x v="1"/>
    <x v="3"/>
    <n v="31"/>
    <n v="4999"/>
    <n v="18"/>
    <n v="127074.58"/>
    <n v="4.4000000000000004"/>
    <n v="20"/>
    <n v="27894.42"/>
    <s v="1 Year"/>
  </r>
  <r>
    <x v="979"/>
    <n v="2491025"/>
    <n v="43"/>
    <x v="0"/>
    <x v="35"/>
    <x v="0"/>
    <x v="0"/>
    <x v="2"/>
    <x v="2"/>
    <x v="1"/>
    <x v="3"/>
    <n v="6"/>
    <n v="24900"/>
    <n v="5"/>
    <n v="141930"/>
    <n v="4.8"/>
    <n v="20"/>
    <n v="26892"/>
    <s v="1 Year"/>
  </r>
  <r>
    <x v="979"/>
    <n v="2491025"/>
    <n v="25"/>
    <x v="0"/>
    <x v="35"/>
    <x v="0"/>
    <x v="0"/>
    <x v="3"/>
    <x v="3"/>
    <x v="0"/>
    <x v="3"/>
    <n v="4"/>
    <n v="84999"/>
    <n v="12"/>
    <n v="299196.48"/>
    <n v="4.5"/>
    <n v="20"/>
    <n v="61199.28"/>
    <s v="1 Year"/>
  </r>
  <r>
    <x v="980"/>
    <n v="3017669"/>
    <n v="44"/>
    <x v="0"/>
    <x v="35"/>
    <x v="0"/>
    <x v="0"/>
    <x v="2"/>
    <x v="4"/>
    <x v="2"/>
    <x v="3"/>
    <n v="6"/>
    <n v="69999"/>
    <n v="8"/>
    <n v="386394.48"/>
    <n v="4.8"/>
    <n v="20"/>
    <n v="75598.92"/>
    <s v="1 Year"/>
  </r>
  <r>
    <x v="981"/>
    <n v="490921"/>
    <n v="35"/>
    <x v="0"/>
    <x v="35"/>
    <x v="0"/>
    <x v="0"/>
    <x v="1"/>
    <x v="5"/>
    <x v="2"/>
    <x v="3"/>
    <n v="10"/>
    <n v="42999"/>
    <n v="15"/>
    <n v="365491.5"/>
    <n v="4.5999999999999996"/>
    <n v="20"/>
    <n v="77398.2"/>
    <s v="6 Months"/>
  </r>
  <r>
    <x v="982"/>
    <n v="5444548"/>
    <n v="29"/>
    <x v="0"/>
    <x v="35"/>
    <x v="0"/>
    <x v="5"/>
    <x v="0"/>
    <x v="0"/>
    <x v="0"/>
    <x v="4"/>
    <n v="5"/>
    <n v="99999"/>
    <n v="10"/>
    <n v="449995.5"/>
    <n v="4.7"/>
    <n v="20"/>
    <n v="89999.099999999991"/>
    <s v="1 Year"/>
  </r>
  <r>
    <x v="983"/>
    <n v="5737174"/>
    <n v="62"/>
    <x v="1"/>
    <x v="35"/>
    <x v="0"/>
    <x v="5"/>
    <x v="1"/>
    <x v="1"/>
    <x v="1"/>
    <x v="4"/>
    <n v="39"/>
    <n v="4999"/>
    <n v="18"/>
    <n v="159868.02000000002"/>
    <n v="4.4000000000000004"/>
    <n v="20"/>
    <n v="35092.979999999996"/>
    <s v="6 Months"/>
  </r>
  <r>
    <x v="984"/>
    <n v="8548158"/>
    <n v="75"/>
    <x v="1"/>
    <x v="35"/>
    <x v="0"/>
    <x v="2"/>
    <x v="2"/>
    <x v="2"/>
    <x v="1"/>
    <x v="4"/>
    <n v="11"/>
    <n v="24900"/>
    <n v="5"/>
    <n v="260205"/>
    <n v="4.8"/>
    <n v="20"/>
    <n v="49302"/>
    <s v="1 Year"/>
  </r>
  <r>
    <x v="985"/>
    <n v="9974851"/>
    <n v="31"/>
    <x v="0"/>
    <x v="35"/>
    <x v="2"/>
    <x v="0"/>
    <x v="3"/>
    <x v="3"/>
    <x v="0"/>
    <x v="4"/>
    <n v="3"/>
    <n v="84999"/>
    <n v="12"/>
    <n v="224397.36"/>
    <n v="4.5"/>
    <n v="20"/>
    <n v="45899.46"/>
    <s v="6 Months"/>
  </r>
  <r>
    <x v="986"/>
    <n v="2220793"/>
    <n v="28"/>
    <x v="0"/>
    <x v="35"/>
    <x v="0"/>
    <x v="0"/>
    <x v="2"/>
    <x v="4"/>
    <x v="2"/>
    <x v="4"/>
    <n v="4"/>
    <n v="69999"/>
    <n v="8"/>
    <n v="257596.32"/>
    <n v="4.8"/>
    <n v="20"/>
    <n v="50399.28"/>
    <s v="1 Year"/>
  </r>
  <r>
    <x v="987"/>
    <n v="9155153"/>
    <n v="35"/>
    <x v="0"/>
    <x v="35"/>
    <x v="0"/>
    <x v="1"/>
    <x v="1"/>
    <x v="5"/>
    <x v="2"/>
    <x v="4"/>
    <n v="9"/>
    <n v="42999"/>
    <n v="15"/>
    <n v="328942.34999999998"/>
    <n v="4.5999999999999996"/>
    <n v="20"/>
    <n v="69658.38"/>
    <s v="1 Year"/>
  </r>
  <r>
    <x v="988"/>
    <n v="5595188"/>
    <n v="23"/>
    <x v="0"/>
    <x v="36"/>
    <x v="0"/>
    <x v="1"/>
    <x v="0"/>
    <x v="0"/>
    <x v="0"/>
    <x v="0"/>
    <n v="3"/>
    <n v="99999"/>
    <n v="10"/>
    <n v="269997.3"/>
    <n v="4.7"/>
    <n v="20"/>
    <n v="53999.46"/>
    <s v="1 Year"/>
  </r>
  <r>
    <x v="989"/>
    <n v="6760345"/>
    <n v="20"/>
    <x v="0"/>
    <x v="36"/>
    <x v="0"/>
    <x v="0"/>
    <x v="1"/>
    <x v="1"/>
    <x v="1"/>
    <x v="0"/>
    <n v="57"/>
    <n v="4999"/>
    <n v="18"/>
    <n v="233653.26"/>
    <n v="4.4000000000000004"/>
    <n v="20"/>
    <n v="51289.74"/>
    <s v="1 Year"/>
  </r>
  <r>
    <x v="990"/>
    <n v="3569139"/>
    <n v="76"/>
    <x v="1"/>
    <x v="36"/>
    <x v="0"/>
    <x v="5"/>
    <x v="2"/>
    <x v="2"/>
    <x v="1"/>
    <x v="0"/>
    <n v="13"/>
    <n v="24900"/>
    <n v="5"/>
    <n v="307515"/>
    <n v="4.8"/>
    <n v="20"/>
    <n v="58266"/>
    <s v="1 Year"/>
  </r>
  <r>
    <x v="991"/>
    <n v="5016171"/>
    <n v="40"/>
    <x v="0"/>
    <x v="36"/>
    <x v="0"/>
    <x v="2"/>
    <x v="3"/>
    <x v="3"/>
    <x v="0"/>
    <x v="0"/>
    <n v="4"/>
    <n v="84999"/>
    <n v="12"/>
    <n v="299196.48"/>
    <n v="4.5"/>
    <n v="20"/>
    <n v="61199.28"/>
    <s v="6 Months"/>
  </r>
  <r>
    <x v="992"/>
    <n v="9184688"/>
    <n v="31"/>
    <x v="0"/>
    <x v="36"/>
    <x v="3"/>
    <x v="0"/>
    <x v="2"/>
    <x v="4"/>
    <x v="2"/>
    <x v="0"/>
    <n v="6"/>
    <n v="69999"/>
    <n v="8"/>
    <n v="386394.48"/>
    <n v="4.8"/>
    <n v="20"/>
    <n v="75598.92"/>
    <s v="1 Year"/>
  </r>
  <r>
    <x v="993"/>
    <n v="1196333"/>
    <n v="18"/>
    <x v="2"/>
    <x v="36"/>
    <x v="0"/>
    <x v="0"/>
    <x v="1"/>
    <x v="5"/>
    <x v="2"/>
    <x v="0"/>
    <n v="7"/>
    <n v="42999"/>
    <n v="15"/>
    <n v="255844.05"/>
    <n v="4.5999999999999996"/>
    <n v="20"/>
    <n v="54178.74"/>
    <s v="6 Months"/>
  </r>
  <r>
    <x v="994"/>
    <n v="9978425"/>
    <n v="34"/>
    <x v="0"/>
    <x v="36"/>
    <x v="0"/>
    <x v="4"/>
    <x v="0"/>
    <x v="0"/>
    <x v="0"/>
    <x v="1"/>
    <n v="5"/>
    <n v="99999"/>
    <n v="10"/>
    <n v="449995.5"/>
    <n v="4.7"/>
    <n v="20"/>
    <n v="89999.099999999991"/>
    <s v="6 Months"/>
  </r>
  <r>
    <x v="995"/>
    <n v="9569162"/>
    <n v="23"/>
    <x v="0"/>
    <x v="36"/>
    <x v="0"/>
    <x v="0"/>
    <x v="1"/>
    <x v="1"/>
    <x v="1"/>
    <x v="1"/>
    <n v="40"/>
    <n v="4999"/>
    <n v="18"/>
    <n v="163967.20000000001"/>
    <n v="4.4000000000000004"/>
    <n v="20"/>
    <n v="35992.799999999996"/>
    <s v="6 Months"/>
  </r>
  <r>
    <x v="996"/>
    <n v="7208859"/>
    <n v="32"/>
    <x v="0"/>
    <x v="36"/>
    <x v="0"/>
    <x v="0"/>
    <x v="2"/>
    <x v="2"/>
    <x v="1"/>
    <x v="1"/>
    <n v="13"/>
    <n v="24900"/>
    <n v="5"/>
    <n v="307515"/>
    <n v="4.8"/>
    <n v="20"/>
    <n v="58266"/>
    <s v="1 Year"/>
  </r>
  <r>
    <x v="997"/>
    <n v="9116386"/>
    <n v="48"/>
    <x v="0"/>
    <x v="36"/>
    <x v="3"/>
    <x v="1"/>
    <x v="3"/>
    <x v="3"/>
    <x v="0"/>
    <x v="1"/>
    <n v="3"/>
    <n v="84999"/>
    <n v="12"/>
    <n v="224397.36"/>
    <n v="4.5"/>
    <n v="20"/>
    <n v="45899.46"/>
    <s v="1 Year"/>
  </r>
  <r>
    <x v="998"/>
    <n v="7286119"/>
    <n v="69"/>
    <x v="1"/>
    <x v="36"/>
    <x v="0"/>
    <x v="1"/>
    <x v="2"/>
    <x v="4"/>
    <x v="2"/>
    <x v="1"/>
    <n v="2"/>
    <n v="69999"/>
    <n v="8"/>
    <n v="128798.16"/>
    <n v="4.8"/>
    <n v="20"/>
    <n v="25199.64"/>
    <s v="1 Year"/>
  </r>
  <r>
    <x v="999"/>
    <n v="2546275"/>
    <n v="30"/>
    <x v="0"/>
    <x v="36"/>
    <x v="0"/>
    <x v="3"/>
    <x v="1"/>
    <x v="5"/>
    <x v="2"/>
    <x v="1"/>
    <n v="11"/>
    <n v="42999"/>
    <n v="15"/>
    <n v="402040.65"/>
    <n v="4.5999999999999996"/>
    <n v="20"/>
    <n v="85138.02"/>
    <s v="1 Year"/>
  </r>
  <r>
    <x v="1000"/>
    <n v="5135320"/>
    <n v="25"/>
    <x v="0"/>
    <x v="36"/>
    <x v="0"/>
    <x v="3"/>
    <x v="0"/>
    <x v="0"/>
    <x v="0"/>
    <x v="2"/>
    <n v="4"/>
    <n v="99999"/>
    <n v="10"/>
    <n v="359996.4"/>
    <n v="4.7"/>
    <n v="20"/>
    <n v="71999.28"/>
    <s v="6 Months"/>
  </r>
  <r>
    <x v="1001"/>
    <n v="9884525"/>
    <n v="45"/>
    <x v="0"/>
    <x v="36"/>
    <x v="0"/>
    <x v="2"/>
    <x v="1"/>
    <x v="1"/>
    <x v="1"/>
    <x v="2"/>
    <n v="26"/>
    <n v="4999"/>
    <n v="18"/>
    <n v="106578.68"/>
    <n v="4.4000000000000004"/>
    <n v="20"/>
    <n v="23395.32"/>
    <s v="1 Year"/>
  </r>
  <r>
    <x v="1002"/>
    <n v="5628966"/>
    <n v="31"/>
    <x v="0"/>
    <x v="36"/>
    <x v="0"/>
    <x v="0"/>
    <x v="2"/>
    <x v="2"/>
    <x v="1"/>
    <x v="2"/>
    <n v="11"/>
    <n v="24900"/>
    <n v="5"/>
    <n v="260205"/>
    <n v="4.8"/>
    <n v="20"/>
    <n v="49302"/>
    <s v="1 Year"/>
  </r>
  <r>
    <x v="1003"/>
    <n v="6138380"/>
    <n v="39"/>
    <x v="0"/>
    <x v="36"/>
    <x v="3"/>
    <x v="2"/>
    <x v="3"/>
    <x v="3"/>
    <x v="0"/>
    <x v="2"/>
    <n v="4"/>
    <n v="84999"/>
    <n v="12"/>
    <n v="299196.48"/>
    <n v="4.5"/>
    <n v="20"/>
    <n v="61199.28"/>
    <s v="1 Year"/>
  </r>
  <r>
    <x v="1004"/>
    <n v="159112"/>
    <n v="42"/>
    <x v="0"/>
    <x v="36"/>
    <x v="1"/>
    <x v="5"/>
    <x v="2"/>
    <x v="4"/>
    <x v="2"/>
    <x v="2"/>
    <n v="3"/>
    <n v="69999"/>
    <n v="8"/>
    <n v="193197.24"/>
    <n v="4.8"/>
    <n v="20"/>
    <n v="37799.46"/>
    <s v="1 Year"/>
  </r>
  <r>
    <x v="1005"/>
    <n v="1960238"/>
    <n v="25"/>
    <x v="0"/>
    <x v="36"/>
    <x v="0"/>
    <x v="1"/>
    <x v="1"/>
    <x v="5"/>
    <x v="2"/>
    <x v="2"/>
    <n v="6"/>
    <n v="42999"/>
    <n v="15"/>
    <n v="219294.9"/>
    <n v="4.5999999999999996"/>
    <n v="20"/>
    <n v="46438.92"/>
    <s v="1 Year"/>
  </r>
  <r>
    <x v="1006"/>
    <n v="9188859"/>
    <n v="30"/>
    <x v="0"/>
    <x v="36"/>
    <x v="0"/>
    <x v="2"/>
    <x v="0"/>
    <x v="0"/>
    <x v="0"/>
    <x v="3"/>
    <n v="3"/>
    <n v="99999"/>
    <n v="10"/>
    <n v="269997.3"/>
    <n v="4.7"/>
    <n v="20"/>
    <n v="53999.46"/>
    <s v="1 Year"/>
  </r>
  <r>
    <x v="1007"/>
    <n v="5563976"/>
    <n v="23"/>
    <x v="0"/>
    <x v="36"/>
    <x v="0"/>
    <x v="0"/>
    <x v="1"/>
    <x v="1"/>
    <x v="1"/>
    <x v="3"/>
    <n v="44"/>
    <n v="4999"/>
    <n v="18"/>
    <n v="180363.91999999998"/>
    <n v="4.4000000000000004"/>
    <n v="20"/>
    <n v="39592.080000000002"/>
    <s v="1 Year"/>
  </r>
  <r>
    <x v="1008"/>
    <n v="3204934"/>
    <n v="46"/>
    <x v="0"/>
    <x v="36"/>
    <x v="0"/>
    <x v="0"/>
    <x v="2"/>
    <x v="2"/>
    <x v="1"/>
    <x v="3"/>
    <n v="11"/>
    <n v="24900"/>
    <n v="5"/>
    <n v="260205"/>
    <n v="4.8"/>
    <n v="20"/>
    <n v="49302"/>
    <s v="1 Year"/>
  </r>
  <r>
    <x v="1009"/>
    <n v="3227935"/>
    <n v="71"/>
    <x v="1"/>
    <x v="36"/>
    <x v="0"/>
    <x v="3"/>
    <x v="3"/>
    <x v="3"/>
    <x v="0"/>
    <x v="3"/>
    <n v="4"/>
    <n v="84999"/>
    <n v="12"/>
    <n v="299196.48"/>
    <n v="4.5"/>
    <n v="20"/>
    <n v="61199.28"/>
    <s v="6 Months"/>
  </r>
  <r>
    <x v="1010"/>
    <n v="5187364"/>
    <n v="25"/>
    <x v="0"/>
    <x v="36"/>
    <x v="1"/>
    <x v="2"/>
    <x v="2"/>
    <x v="4"/>
    <x v="2"/>
    <x v="3"/>
    <n v="4"/>
    <n v="69999"/>
    <n v="8"/>
    <n v="257596.32"/>
    <n v="4.8"/>
    <n v="20"/>
    <n v="50399.28"/>
    <s v="6 Months"/>
  </r>
  <r>
    <x v="1011"/>
    <n v="8698294"/>
    <n v="68"/>
    <x v="1"/>
    <x v="36"/>
    <x v="0"/>
    <x v="0"/>
    <x v="1"/>
    <x v="5"/>
    <x v="2"/>
    <x v="3"/>
    <n v="9"/>
    <n v="42999"/>
    <n v="15"/>
    <n v="328942.34999999998"/>
    <n v="4.5999999999999996"/>
    <n v="20"/>
    <n v="69658.38"/>
    <s v="1 Year"/>
  </r>
  <r>
    <x v="1012"/>
    <n v="2360764"/>
    <n v="46"/>
    <x v="0"/>
    <x v="36"/>
    <x v="0"/>
    <x v="2"/>
    <x v="0"/>
    <x v="0"/>
    <x v="0"/>
    <x v="4"/>
    <n v="6"/>
    <n v="99999"/>
    <n v="10"/>
    <n v="539994.6"/>
    <n v="4.7"/>
    <n v="20"/>
    <n v="107998.92"/>
    <s v="6 Months"/>
  </r>
  <r>
    <x v="1013"/>
    <n v="3600740"/>
    <n v="38"/>
    <x v="0"/>
    <x v="36"/>
    <x v="0"/>
    <x v="2"/>
    <x v="1"/>
    <x v="1"/>
    <x v="1"/>
    <x v="4"/>
    <n v="49"/>
    <n v="4999"/>
    <n v="18"/>
    <n v="200859.82"/>
    <n v="4.4000000000000004"/>
    <n v="20"/>
    <n v="44091.18"/>
    <s v="1 Year"/>
  </r>
  <r>
    <x v="1014"/>
    <n v="4102435"/>
    <n v="40"/>
    <x v="0"/>
    <x v="36"/>
    <x v="0"/>
    <x v="0"/>
    <x v="2"/>
    <x v="2"/>
    <x v="1"/>
    <x v="4"/>
    <n v="15"/>
    <n v="24900"/>
    <n v="5"/>
    <n v="354825"/>
    <n v="4.8"/>
    <n v="20"/>
    <n v="67230"/>
    <s v="1 Year"/>
  </r>
  <r>
    <x v="1015"/>
    <n v="1197282"/>
    <n v="22"/>
    <x v="0"/>
    <x v="36"/>
    <x v="0"/>
    <x v="2"/>
    <x v="3"/>
    <x v="3"/>
    <x v="0"/>
    <x v="4"/>
    <n v="6"/>
    <n v="84999"/>
    <n v="12"/>
    <n v="448794.72"/>
    <n v="4.5"/>
    <n v="20"/>
    <n v="91798.92"/>
    <s v="6 Months"/>
  </r>
  <r>
    <x v="1015"/>
    <n v="1197282"/>
    <n v="31"/>
    <x v="0"/>
    <x v="36"/>
    <x v="0"/>
    <x v="2"/>
    <x v="2"/>
    <x v="4"/>
    <x v="2"/>
    <x v="4"/>
    <n v="4"/>
    <n v="69999"/>
    <n v="8"/>
    <n v="257596.32"/>
    <n v="4.8"/>
    <n v="20"/>
    <n v="50399.28"/>
    <s v="1 Year"/>
  </r>
  <r>
    <x v="1016"/>
    <n v="8315179"/>
    <n v="55"/>
    <x v="1"/>
    <x v="36"/>
    <x v="0"/>
    <x v="1"/>
    <x v="1"/>
    <x v="5"/>
    <x v="2"/>
    <x v="4"/>
    <n v="5"/>
    <n v="42999"/>
    <n v="15"/>
    <n v="182745.75"/>
    <n v="4.5999999999999996"/>
    <n v="20"/>
    <n v="38699.1"/>
    <s v="6 Months"/>
  </r>
  <r>
    <x v="1017"/>
    <n v="5956376"/>
    <n v="77"/>
    <x v="1"/>
    <x v="37"/>
    <x v="0"/>
    <x v="2"/>
    <x v="0"/>
    <x v="0"/>
    <x v="0"/>
    <x v="0"/>
    <n v="5"/>
    <n v="99999"/>
    <n v="10"/>
    <n v="449995.5"/>
    <n v="4.7"/>
    <n v="20"/>
    <n v="89999.099999999991"/>
    <s v="6 Months"/>
  </r>
  <r>
    <x v="1018"/>
    <n v="781625"/>
    <n v="18"/>
    <x v="2"/>
    <x v="37"/>
    <x v="0"/>
    <x v="3"/>
    <x v="1"/>
    <x v="1"/>
    <x v="1"/>
    <x v="0"/>
    <n v="32"/>
    <n v="4999"/>
    <n v="18"/>
    <n v="131173.76000000001"/>
    <n v="4.4000000000000004"/>
    <n v="20"/>
    <n v="28794.239999999998"/>
    <s v="1 Year"/>
  </r>
  <r>
    <x v="1019"/>
    <n v="9106012"/>
    <n v="35"/>
    <x v="0"/>
    <x v="37"/>
    <x v="0"/>
    <x v="1"/>
    <x v="2"/>
    <x v="2"/>
    <x v="1"/>
    <x v="0"/>
    <n v="10"/>
    <n v="24900"/>
    <n v="5"/>
    <n v="236550"/>
    <n v="4.8"/>
    <n v="20"/>
    <n v="44820"/>
    <s v="1 Year"/>
  </r>
  <r>
    <x v="1020"/>
    <n v="8784631"/>
    <n v="28"/>
    <x v="0"/>
    <x v="37"/>
    <x v="0"/>
    <x v="2"/>
    <x v="3"/>
    <x v="3"/>
    <x v="0"/>
    <x v="0"/>
    <n v="3"/>
    <n v="84999"/>
    <n v="12"/>
    <n v="224397.36"/>
    <n v="4.5"/>
    <n v="20"/>
    <n v="45899.46"/>
    <s v="6 Months"/>
  </r>
  <r>
    <x v="1021"/>
    <n v="6382984"/>
    <n v="41"/>
    <x v="0"/>
    <x v="37"/>
    <x v="0"/>
    <x v="3"/>
    <x v="2"/>
    <x v="4"/>
    <x v="2"/>
    <x v="0"/>
    <n v="2"/>
    <n v="69999"/>
    <n v="8"/>
    <n v="128798.16"/>
    <n v="4.8"/>
    <n v="20"/>
    <n v="25199.64"/>
    <s v="6 Months"/>
  </r>
  <r>
    <x v="1021"/>
    <n v="6382984"/>
    <n v="38"/>
    <x v="0"/>
    <x v="37"/>
    <x v="0"/>
    <x v="2"/>
    <x v="1"/>
    <x v="5"/>
    <x v="2"/>
    <x v="0"/>
    <n v="5"/>
    <n v="42999"/>
    <n v="15"/>
    <n v="182745.75"/>
    <n v="4.5999999999999996"/>
    <n v="20"/>
    <n v="38699.1"/>
    <s v="1 Year"/>
  </r>
  <r>
    <x v="1022"/>
    <n v="3409162"/>
    <n v="29"/>
    <x v="0"/>
    <x v="37"/>
    <x v="0"/>
    <x v="1"/>
    <x v="0"/>
    <x v="0"/>
    <x v="0"/>
    <x v="1"/>
    <n v="6"/>
    <n v="99999"/>
    <n v="10"/>
    <n v="539994.6"/>
    <n v="4.7"/>
    <n v="20"/>
    <n v="107998.92"/>
    <s v="1 Year"/>
  </r>
  <r>
    <x v="1023"/>
    <n v="268369"/>
    <n v="75"/>
    <x v="1"/>
    <x v="37"/>
    <x v="0"/>
    <x v="0"/>
    <x v="1"/>
    <x v="1"/>
    <x v="1"/>
    <x v="1"/>
    <n v="37"/>
    <n v="4999"/>
    <n v="18"/>
    <n v="151669.66"/>
    <n v="4.4000000000000004"/>
    <n v="20"/>
    <n v="33293.339999999997"/>
    <s v="1 Year"/>
  </r>
  <r>
    <x v="1024"/>
    <n v="7747946"/>
    <n v="18"/>
    <x v="2"/>
    <x v="37"/>
    <x v="0"/>
    <x v="2"/>
    <x v="2"/>
    <x v="2"/>
    <x v="1"/>
    <x v="1"/>
    <n v="9"/>
    <n v="24900"/>
    <n v="5"/>
    <n v="212895"/>
    <n v="4.8"/>
    <n v="20"/>
    <n v="40338"/>
    <s v="1 Year"/>
  </r>
  <r>
    <x v="1025"/>
    <n v="4576235"/>
    <n v="34"/>
    <x v="0"/>
    <x v="37"/>
    <x v="0"/>
    <x v="4"/>
    <x v="3"/>
    <x v="3"/>
    <x v="0"/>
    <x v="1"/>
    <n v="2"/>
    <n v="84999"/>
    <n v="12"/>
    <n v="149598.24"/>
    <n v="4.5"/>
    <n v="20"/>
    <n v="30599.64"/>
    <s v="6 Months"/>
  </r>
  <r>
    <x v="1026"/>
    <n v="9819217"/>
    <n v="28"/>
    <x v="0"/>
    <x v="37"/>
    <x v="0"/>
    <x v="2"/>
    <x v="2"/>
    <x v="4"/>
    <x v="2"/>
    <x v="1"/>
    <n v="2"/>
    <n v="69999"/>
    <n v="8"/>
    <n v="128798.16"/>
    <n v="4.8"/>
    <n v="20"/>
    <n v="25199.64"/>
    <s v="1 Year"/>
  </r>
  <r>
    <x v="1027"/>
    <n v="9419371"/>
    <n v="45"/>
    <x v="0"/>
    <x v="37"/>
    <x v="0"/>
    <x v="2"/>
    <x v="1"/>
    <x v="5"/>
    <x v="2"/>
    <x v="1"/>
    <n v="7"/>
    <n v="42999"/>
    <n v="15"/>
    <n v="255844.05"/>
    <n v="4.5999999999999996"/>
    <n v="20"/>
    <n v="54178.74"/>
    <s v="6 Months"/>
  </r>
  <r>
    <x v="1028"/>
    <n v="2984947"/>
    <n v="69"/>
    <x v="1"/>
    <x v="37"/>
    <x v="0"/>
    <x v="1"/>
    <x v="0"/>
    <x v="0"/>
    <x v="0"/>
    <x v="2"/>
    <n v="5"/>
    <n v="99999"/>
    <n v="10"/>
    <n v="449995.5"/>
    <n v="4.7"/>
    <n v="20"/>
    <n v="89999.099999999991"/>
    <s v="6 Months"/>
  </r>
  <r>
    <x v="1029"/>
    <n v="4088819"/>
    <n v="26"/>
    <x v="0"/>
    <x v="37"/>
    <x v="0"/>
    <x v="1"/>
    <x v="1"/>
    <x v="1"/>
    <x v="1"/>
    <x v="2"/>
    <n v="26"/>
    <n v="4999"/>
    <n v="18"/>
    <n v="106578.68"/>
    <n v="4.4000000000000004"/>
    <n v="20"/>
    <n v="23395.32"/>
    <s v="1 Year"/>
  </r>
  <r>
    <x v="1030"/>
    <n v="7200684"/>
    <n v="40"/>
    <x v="0"/>
    <x v="37"/>
    <x v="0"/>
    <x v="3"/>
    <x v="2"/>
    <x v="2"/>
    <x v="1"/>
    <x v="2"/>
    <n v="5"/>
    <n v="24900"/>
    <n v="5"/>
    <n v="118275"/>
    <n v="4.8"/>
    <n v="20"/>
    <n v="22410"/>
    <s v="6 Months"/>
  </r>
  <r>
    <x v="1031"/>
    <n v="6143193"/>
    <n v="23"/>
    <x v="0"/>
    <x v="37"/>
    <x v="0"/>
    <x v="0"/>
    <x v="3"/>
    <x v="3"/>
    <x v="0"/>
    <x v="2"/>
    <n v="6"/>
    <n v="84999"/>
    <n v="12"/>
    <n v="448794.72"/>
    <n v="4.5"/>
    <n v="20"/>
    <n v="91798.92"/>
    <s v="1 Year"/>
  </r>
  <r>
    <x v="1032"/>
    <n v="2913362"/>
    <n v="35"/>
    <x v="0"/>
    <x v="37"/>
    <x v="0"/>
    <x v="2"/>
    <x v="2"/>
    <x v="4"/>
    <x v="2"/>
    <x v="2"/>
    <n v="5"/>
    <n v="69999"/>
    <n v="8"/>
    <n v="321995.40000000002"/>
    <n v="4.8"/>
    <n v="20"/>
    <n v="62999.1"/>
    <s v="1 Year"/>
  </r>
  <r>
    <x v="1033"/>
    <n v="3137600"/>
    <n v="45"/>
    <x v="0"/>
    <x v="37"/>
    <x v="0"/>
    <x v="3"/>
    <x v="1"/>
    <x v="5"/>
    <x v="2"/>
    <x v="2"/>
    <n v="5"/>
    <n v="42999"/>
    <n v="15"/>
    <n v="182745.75"/>
    <n v="4.5999999999999996"/>
    <n v="20"/>
    <n v="38699.1"/>
    <s v="1 Year"/>
  </r>
  <r>
    <x v="1034"/>
    <n v="957621"/>
    <n v="78"/>
    <x v="1"/>
    <x v="37"/>
    <x v="0"/>
    <x v="2"/>
    <x v="0"/>
    <x v="0"/>
    <x v="0"/>
    <x v="3"/>
    <n v="3"/>
    <n v="99999"/>
    <n v="10"/>
    <n v="269997.3"/>
    <n v="4.7"/>
    <n v="20"/>
    <n v="53999.46"/>
    <s v="1 Year"/>
  </r>
  <r>
    <x v="1035"/>
    <n v="3447197"/>
    <n v="28"/>
    <x v="0"/>
    <x v="37"/>
    <x v="0"/>
    <x v="0"/>
    <x v="1"/>
    <x v="1"/>
    <x v="1"/>
    <x v="3"/>
    <n v="31"/>
    <n v="4999"/>
    <n v="18"/>
    <n v="127074.58"/>
    <n v="4.4000000000000004"/>
    <n v="20"/>
    <n v="27894.42"/>
    <s v="1 Year"/>
  </r>
  <r>
    <x v="1036"/>
    <n v="1705244"/>
    <n v="74"/>
    <x v="1"/>
    <x v="37"/>
    <x v="0"/>
    <x v="1"/>
    <x v="2"/>
    <x v="2"/>
    <x v="1"/>
    <x v="3"/>
    <n v="8"/>
    <n v="24900"/>
    <n v="5"/>
    <n v="189240"/>
    <n v="4.8"/>
    <n v="20"/>
    <n v="35856"/>
    <s v="1 Year"/>
  </r>
  <r>
    <x v="1037"/>
    <n v="9614792"/>
    <n v="27"/>
    <x v="0"/>
    <x v="37"/>
    <x v="0"/>
    <x v="0"/>
    <x v="3"/>
    <x v="3"/>
    <x v="0"/>
    <x v="3"/>
    <n v="4"/>
    <n v="84999"/>
    <n v="12"/>
    <n v="299196.48"/>
    <n v="4.5"/>
    <n v="20"/>
    <n v="61199.28"/>
    <s v="1 Year"/>
  </r>
  <r>
    <x v="1038"/>
    <n v="8301835"/>
    <n v="59"/>
    <x v="1"/>
    <x v="37"/>
    <x v="0"/>
    <x v="1"/>
    <x v="2"/>
    <x v="4"/>
    <x v="2"/>
    <x v="3"/>
    <n v="6"/>
    <n v="69999"/>
    <n v="8"/>
    <n v="386394.48"/>
    <n v="4.8"/>
    <n v="20"/>
    <n v="75598.92"/>
    <s v="1 Year"/>
  </r>
  <r>
    <x v="1039"/>
    <n v="2627419"/>
    <n v="41"/>
    <x v="0"/>
    <x v="37"/>
    <x v="0"/>
    <x v="2"/>
    <x v="1"/>
    <x v="5"/>
    <x v="2"/>
    <x v="3"/>
    <n v="11"/>
    <n v="42999"/>
    <n v="15"/>
    <n v="402040.65"/>
    <n v="4.5999999999999996"/>
    <n v="20"/>
    <n v="85138.02"/>
    <s v="1 Year"/>
  </r>
  <r>
    <x v="1040"/>
    <n v="3515311"/>
    <n v="37"/>
    <x v="0"/>
    <x v="37"/>
    <x v="0"/>
    <x v="0"/>
    <x v="0"/>
    <x v="0"/>
    <x v="0"/>
    <x v="4"/>
    <n v="5"/>
    <n v="99999"/>
    <n v="10"/>
    <n v="449995.5"/>
    <n v="4.7"/>
    <n v="20"/>
    <n v="89999.099999999991"/>
    <s v="1 Year"/>
  </r>
  <r>
    <x v="1041"/>
    <n v="3198986"/>
    <n v="45"/>
    <x v="0"/>
    <x v="37"/>
    <x v="0"/>
    <x v="3"/>
    <x v="1"/>
    <x v="1"/>
    <x v="1"/>
    <x v="4"/>
    <n v="33"/>
    <n v="4999"/>
    <n v="18"/>
    <n v="135272.94"/>
    <n v="4.4000000000000004"/>
    <n v="20"/>
    <n v="29694.059999999998"/>
    <s v="1 Year"/>
  </r>
  <r>
    <x v="1041"/>
    <n v="3198986"/>
    <n v="27"/>
    <x v="0"/>
    <x v="37"/>
    <x v="0"/>
    <x v="3"/>
    <x v="2"/>
    <x v="2"/>
    <x v="1"/>
    <x v="4"/>
    <n v="6"/>
    <n v="24900"/>
    <n v="5"/>
    <n v="141930"/>
    <n v="4.8"/>
    <n v="20"/>
    <n v="26892"/>
    <s v="6 Months"/>
  </r>
  <r>
    <x v="1042"/>
    <n v="6279164"/>
    <n v="65"/>
    <x v="1"/>
    <x v="37"/>
    <x v="0"/>
    <x v="2"/>
    <x v="3"/>
    <x v="3"/>
    <x v="0"/>
    <x v="4"/>
    <n v="6"/>
    <n v="84999"/>
    <n v="12"/>
    <n v="448794.72"/>
    <n v="4.5"/>
    <n v="20"/>
    <n v="91798.92"/>
    <s v="1 Year"/>
  </r>
  <r>
    <x v="1043"/>
    <n v="9749497"/>
    <n v="39"/>
    <x v="0"/>
    <x v="37"/>
    <x v="1"/>
    <x v="0"/>
    <x v="2"/>
    <x v="4"/>
    <x v="2"/>
    <x v="4"/>
    <n v="5"/>
    <n v="69999"/>
    <n v="8"/>
    <n v="321995.40000000002"/>
    <n v="4.8"/>
    <n v="20"/>
    <n v="62999.1"/>
    <s v="6 Months"/>
  </r>
  <r>
    <x v="1044"/>
    <n v="9660150"/>
    <n v="72"/>
    <x v="1"/>
    <x v="37"/>
    <x v="0"/>
    <x v="0"/>
    <x v="1"/>
    <x v="5"/>
    <x v="2"/>
    <x v="4"/>
    <n v="10"/>
    <n v="42999"/>
    <n v="15"/>
    <n v="365491.5"/>
    <n v="4.5999999999999996"/>
    <n v="20"/>
    <n v="77398.2"/>
    <s v="1 Year"/>
  </r>
  <r>
    <x v="1045"/>
    <n v="8382670"/>
    <n v="38"/>
    <x v="0"/>
    <x v="38"/>
    <x v="1"/>
    <x v="0"/>
    <x v="0"/>
    <x v="0"/>
    <x v="0"/>
    <x v="0"/>
    <n v="5"/>
    <n v="99999"/>
    <n v="10"/>
    <n v="449995.5"/>
    <n v="4.7"/>
    <n v="20"/>
    <n v="89999.099999999991"/>
    <s v="1 Year"/>
  </r>
  <r>
    <x v="1046"/>
    <n v="3434817"/>
    <n v="47"/>
    <x v="0"/>
    <x v="38"/>
    <x v="0"/>
    <x v="0"/>
    <x v="1"/>
    <x v="1"/>
    <x v="1"/>
    <x v="0"/>
    <n v="34"/>
    <n v="4999"/>
    <n v="18"/>
    <n v="139372.12"/>
    <n v="4.4000000000000004"/>
    <n v="20"/>
    <n v="30593.879999999997"/>
    <s v="6 Months"/>
  </r>
  <r>
    <x v="1047"/>
    <n v="9026178"/>
    <n v="39"/>
    <x v="0"/>
    <x v="38"/>
    <x v="0"/>
    <x v="3"/>
    <x v="2"/>
    <x v="2"/>
    <x v="1"/>
    <x v="0"/>
    <n v="11"/>
    <n v="24900"/>
    <n v="5"/>
    <n v="260205"/>
    <n v="4.8"/>
    <n v="20"/>
    <n v="49302"/>
    <s v="1 Year"/>
  </r>
  <r>
    <x v="1048"/>
    <n v="1772770"/>
    <n v="40"/>
    <x v="0"/>
    <x v="38"/>
    <x v="2"/>
    <x v="2"/>
    <x v="3"/>
    <x v="3"/>
    <x v="0"/>
    <x v="0"/>
    <n v="3"/>
    <n v="84999"/>
    <n v="12"/>
    <n v="224397.36"/>
    <n v="4.5"/>
    <n v="20"/>
    <n v="45899.46"/>
    <s v="1 Year"/>
  </r>
  <r>
    <x v="1049"/>
    <n v="4810346"/>
    <n v="62"/>
    <x v="1"/>
    <x v="38"/>
    <x v="1"/>
    <x v="3"/>
    <x v="2"/>
    <x v="4"/>
    <x v="2"/>
    <x v="0"/>
    <n v="6"/>
    <n v="69999"/>
    <n v="8"/>
    <n v="386394.48"/>
    <n v="4.8"/>
    <n v="20"/>
    <n v="75598.92"/>
    <s v="6 Months"/>
  </r>
  <r>
    <x v="1050"/>
    <n v="5036499"/>
    <n v="58"/>
    <x v="1"/>
    <x v="38"/>
    <x v="0"/>
    <x v="2"/>
    <x v="1"/>
    <x v="5"/>
    <x v="2"/>
    <x v="0"/>
    <n v="9"/>
    <n v="42999"/>
    <n v="15"/>
    <n v="328942.34999999998"/>
    <n v="4.5999999999999996"/>
    <n v="20"/>
    <n v="69658.38"/>
    <s v="1 Year"/>
  </r>
  <r>
    <x v="1051"/>
    <n v="9923193"/>
    <n v="49"/>
    <x v="0"/>
    <x v="38"/>
    <x v="0"/>
    <x v="2"/>
    <x v="0"/>
    <x v="0"/>
    <x v="0"/>
    <x v="1"/>
    <n v="3"/>
    <n v="99999"/>
    <n v="10"/>
    <n v="269997.3"/>
    <n v="4.7"/>
    <n v="20"/>
    <n v="53999.46"/>
    <s v="1 Year"/>
  </r>
  <r>
    <x v="1052"/>
    <n v="8994624"/>
    <n v="56"/>
    <x v="1"/>
    <x v="38"/>
    <x v="0"/>
    <x v="3"/>
    <x v="1"/>
    <x v="1"/>
    <x v="1"/>
    <x v="1"/>
    <n v="32"/>
    <n v="4999"/>
    <n v="18"/>
    <n v="131173.76000000001"/>
    <n v="4.4000000000000004"/>
    <n v="20"/>
    <n v="28794.239999999998"/>
    <s v="6 Months"/>
  </r>
  <r>
    <x v="1053"/>
    <n v="1943998"/>
    <n v="33"/>
    <x v="0"/>
    <x v="38"/>
    <x v="0"/>
    <x v="0"/>
    <x v="2"/>
    <x v="2"/>
    <x v="1"/>
    <x v="1"/>
    <n v="14"/>
    <n v="24900"/>
    <n v="5"/>
    <n v="331170"/>
    <n v="4.8"/>
    <n v="20"/>
    <n v="62748"/>
    <s v="6 Months"/>
  </r>
  <r>
    <x v="1054"/>
    <n v="4121086"/>
    <n v="26"/>
    <x v="0"/>
    <x v="38"/>
    <x v="0"/>
    <x v="2"/>
    <x v="3"/>
    <x v="3"/>
    <x v="0"/>
    <x v="1"/>
    <n v="5"/>
    <n v="84999"/>
    <n v="12"/>
    <n v="373995.6"/>
    <n v="4.5"/>
    <n v="20"/>
    <n v="76499.099999999991"/>
    <s v="1 Year"/>
  </r>
  <r>
    <x v="1055"/>
    <n v="7921257"/>
    <n v="20"/>
    <x v="0"/>
    <x v="38"/>
    <x v="0"/>
    <x v="3"/>
    <x v="2"/>
    <x v="4"/>
    <x v="2"/>
    <x v="1"/>
    <n v="6"/>
    <n v="69999"/>
    <n v="8"/>
    <n v="386394.48"/>
    <n v="4.8"/>
    <n v="20"/>
    <n v="75598.92"/>
    <s v="6 Months"/>
  </r>
  <r>
    <x v="1056"/>
    <n v="5616318"/>
    <n v="63"/>
    <x v="1"/>
    <x v="38"/>
    <x v="0"/>
    <x v="1"/>
    <x v="1"/>
    <x v="5"/>
    <x v="2"/>
    <x v="1"/>
    <n v="6"/>
    <n v="42999"/>
    <n v="15"/>
    <n v="219294.9"/>
    <n v="4.5999999999999996"/>
    <n v="20"/>
    <n v="46438.92"/>
    <s v="1 Year"/>
  </r>
  <r>
    <x v="1057"/>
    <n v="9642932"/>
    <n v="28"/>
    <x v="0"/>
    <x v="38"/>
    <x v="0"/>
    <x v="0"/>
    <x v="0"/>
    <x v="0"/>
    <x v="0"/>
    <x v="2"/>
    <n v="4"/>
    <n v="99999"/>
    <n v="10"/>
    <n v="359996.4"/>
    <n v="4.7"/>
    <n v="20"/>
    <n v="71999.28"/>
    <s v="6 Months"/>
  </r>
  <r>
    <x v="1058"/>
    <n v="5276879"/>
    <n v="39"/>
    <x v="0"/>
    <x v="38"/>
    <x v="1"/>
    <x v="2"/>
    <x v="1"/>
    <x v="1"/>
    <x v="1"/>
    <x v="2"/>
    <n v="26"/>
    <n v="4999"/>
    <n v="18"/>
    <n v="106578.68"/>
    <n v="4.4000000000000004"/>
    <n v="20"/>
    <n v="23395.32"/>
    <s v="1 Year"/>
  </r>
  <r>
    <x v="1059"/>
    <n v="1075951"/>
    <n v="67"/>
    <x v="1"/>
    <x v="38"/>
    <x v="0"/>
    <x v="3"/>
    <x v="2"/>
    <x v="2"/>
    <x v="1"/>
    <x v="2"/>
    <n v="11"/>
    <n v="24900"/>
    <n v="5"/>
    <n v="260205"/>
    <n v="4.8"/>
    <n v="20"/>
    <n v="49302"/>
    <s v="1 Year"/>
  </r>
  <r>
    <x v="1060"/>
    <n v="1392839"/>
    <n v="30"/>
    <x v="0"/>
    <x v="38"/>
    <x v="1"/>
    <x v="0"/>
    <x v="3"/>
    <x v="3"/>
    <x v="0"/>
    <x v="2"/>
    <n v="5"/>
    <n v="84999"/>
    <n v="12"/>
    <n v="373995.6"/>
    <n v="4.5"/>
    <n v="20"/>
    <n v="76499.099999999991"/>
    <s v="1 Year"/>
  </r>
  <r>
    <x v="1061"/>
    <n v="892155"/>
    <n v="24"/>
    <x v="0"/>
    <x v="38"/>
    <x v="1"/>
    <x v="2"/>
    <x v="2"/>
    <x v="4"/>
    <x v="2"/>
    <x v="2"/>
    <n v="5"/>
    <n v="69999"/>
    <n v="8"/>
    <n v="321995.40000000002"/>
    <n v="4.8"/>
    <n v="20"/>
    <n v="62999.1"/>
    <s v="6 Months"/>
  </r>
  <r>
    <x v="1062"/>
    <n v="6036845"/>
    <n v="19"/>
    <x v="2"/>
    <x v="38"/>
    <x v="1"/>
    <x v="2"/>
    <x v="1"/>
    <x v="5"/>
    <x v="2"/>
    <x v="2"/>
    <n v="11"/>
    <n v="42999"/>
    <n v="15"/>
    <n v="402040.65"/>
    <n v="4.5999999999999996"/>
    <n v="20"/>
    <n v="85138.02"/>
    <s v="1 Year"/>
  </r>
  <r>
    <x v="1063"/>
    <n v="2877315"/>
    <n v="45"/>
    <x v="0"/>
    <x v="38"/>
    <x v="0"/>
    <x v="2"/>
    <x v="0"/>
    <x v="0"/>
    <x v="0"/>
    <x v="3"/>
    <n v="6"/>
    <n v="99999"/>
    <n v="10"/>
    <n v="539994.6"/>
    <n v="4.7"/>
    <n v="20"/>
    <n v="107998.92"/>
    <s v="1 Year"/>
  </r>
  <r>
    <x v="1064"/>
    <n v="6460858"/>
    <n v="25"/>
    <x v="0"/>
    <x v="38"/>
    <x v="0"/>
    <x v="1"/>
    <x v="1"/>
    <x v="1"/>
    <x v="1"/>
    <x v="3"/>
    <n v="33"/>
    <n v="4999"/>
    <n v="18"/>
    <n v="135272.94"/>
    <n v="4.4000000000000004"/>
    <n v="20"/>
    <n v="29694.059999999998"/>
    <s v="1 Year"/>
  </r>
  <r>
    <x v="1064"/>
    <n v="6460858"/>
    <n v="32"/>
    <x v="0"/>
    <x v="38"/>
    <x v="0"/>
    <x v="1"/>
    <x v="2"/>
    <x v="2"/>
    <x v="1"/>
    <x v="3"/>
    <n v="12"/>
    <n v="24900"/>
    <n v="5"/>
    <n v="283860"/>
    <n v="4.8"/>
    <n v="20"/>
    <n v="53784"/>
    <s v="1 Year"/>
  </r>
  <r>
    <x v="1065"/>
    <n v="1944603"/>
    <n v="42"/>
    <x v="0"/>
    <x v="38"/>
    <x v="0"/>
    <x v="1"/>
    <x v="3"/>
    <x v="3"/>
    <x v="0"/>
    <x v="3"/>
    <n v="2"/>
    <n v="84999"/>
    <n v="12"/>
    <n v="149598.24"/>
    <n v="4.5"/>
    <n v="20"/>
    <n v="30599.64"/>
    <s v="6 Months"/>
  </r>
  <r>
    <x v="1066"/>
    <n v="250238"/>
    <n v="27"/>
    <x v="0"/>
    <x v="38"/>
    <x v="0"/>
    <x v="2"/>
    <x v="2"/>
    <x v="4"/>
    <x v="2"/>
    <x v="3"/>
    <n v="4"/>
    <n v="69999"/>
    <n v="8"/>
    <n v="257596.32"/>
    <n v="4.8"/>
    <n v="20"/>
    <n v="50399.28"/>
    <s v="1 Year"/>
  </r>
  <r>
    <x v="1067"/>
    <n v="9499050"/>
    <n v="56"/>
    <x v="1"/>
    <x v="38"/>
    <x v="0"/>
    <x v="2"/>
    <x v="1"/>
    <x v="5"/>
    <x v="2"/>
    <x v="3"/>
    <n v="6"/>
    <n v="42999"/>
    <n v="15"/>
    <n v="219294.9"/>
    <n v="4.5999999999999996"/>
    <n v="20"/>
    <n v="46438.92"/>
    <s v="1 Year"/>
  </r>
  <r>
    <x v="1068"/>
    <n v="222189"/>
    <n v="47"/>
    <x v="0"/>
    <x v="38"/>
    <x v="0"/>
    <x v="0"/>
    <x v="0"/>
    <x v="0"/>
    <x v="0"/>
    <x v="4"/>
    <n v="5"/>
    <n v="99999"/>
    <n v="10"/>
    <n v="449995.5"/>
    <n v="4.7"/>
    <n v="20"/>
    <n v="89999.099999999991"/>
    <s v="1 Year"/>
  </r>
  <r>
    <x v="1069"/>
    <n v="5663565"/>
    <n v="41"/>
    <x v="0"/>
    <x v="38"/>
    <x v="0"/>
    <x v="2"/>
    <x v="1"/>
    <x v="1"/>
    <x v="1"/>
    <x v="4"/>
    <n v="44"/>
    <n v="4999"/>
    <n v="18"/>
    <n v="180363.91999999998"/>
    <n v="4.4000000000000004"/>
    <n v="20"/>
    <n v="39592.080000000002"/>
    <s v="1 Year"/>
  </r>
  <r>
    <x v="1070"/>
    <n v="1606875"/>
    <n v="18"/>
    <x v="2"/>
    <x v="38"/>
    <x v="0"/>
    <x v="1"/>
    <x v="2"/>
    <x v="2"/>
    <x v="1"/>
    <x v="4"/>
    <n v="13"/>
    <n v="24900"/>
    <n v="5"/>
    <n v="307515"/>
    <n v="4.8"/>
    <n v="20"/>
    <n v="58266"/>
    <s v="6 Months"/>
  </r>
  <r>
    <x v="1071"/>
    <n v="1299137"/>
    <n v="33"/>
    <x v="0"/>
    <x v="38"/>
    <x v="0"/>
    <x v="1"/>
    <x v="3"/>
    <x v="3"/>
    <x v="0"/>
    <x v="4"/>
    <n v="3"/>
    <n v="84999"/>
    <n v="12"/>
    <n v="224397.36"/>
    <n v="4.5"/>
    <n v="20"/>
    <n v="45899.46"/>
    <s v="6 Months"/>
  </r>
  <r>
    <x v="1072"/>
    <n v="426424"/>
    <n v="20"/>
    <x v="0"/>
    <x v="38"/>
    <x v="0"/>
    <x v="0"/>
    <x v="2"/>
    <x v="4"/>
    <x v="2"/>
    <x v="4"/>
    <n v="3"/>
    <n v="69999"/>
    <n v="8"/>
    <n v="193197.24"/>
    <n v="4.8"/>
    <n v="20"/>
    <n v="37799.46"/>
    <s v="1 Year"/>
  </r>
  <r>
    <x v="1073"/>
    <n v="5696671"/>
    <n v="42"/>
    <x v="0"/>
    <x v="38"/>
    <x v="1"/>
    <x v="2"/>
    <x v="1"/>
    <x v="5"/>
    <x v="2"/>
    <x v="4"/>
    <n v="7"/>
    <n v="42999"/>
    <n v="15"/>
    <n v="255844.05"/>
    <n v="4.5999999999999996"/>
    <n v="20"/>
    <n v="54178.74"/>
    <s v="1 Year"/>
  </r>
  <r>
    <x v="1074"/>
    <n v="9603913"/>
    <n v="18"/>
    <x v="2"/>
    <x v="39"/>
    <x v="1"/>
    <x v="2"/>
    <x v="0"/>
    <x v="0"/>
    <x v="0"/>
    <x v="0"/>
    <n v="6"/>
    <n v="99999"/>
    <n v="10"/>
    <n v="539994.6"/>
    <n v="4.7"/>
    <n v="20"/>
    <n v="107998.92"/>
    <s v="1 Year"/>
  </r>
  <r>
    <x v="1075"/>
    <n v="8089566"/>
    <n v="21"/>
    <x v="0"/>
    <x v="39"/>
    <x v="1"/>
    <x v="2"/>
    <x v="1"/>
    <x v="1"/>
    <x v="1"/>
    <x v="0"/>
    <n v="43"/>
    <n v="4999"/>
    <n v="18"/>
    <n v="176264.74"/>
    <n v="4.4000000000000004"/>
    <n v="20"/>
    <n v="38692.26"/>
    <s v="1 Year"/>
  </r>
  <r>
    <x v="1076"/>
    <n v="2717249"/>
    <n v="22"/>
    <x v="0"/>
    <x v="39"/>
    <x v="0"/>
    <x v="0"/>
    <x v="2"/>
    <x v="2"/>
    <x v="1"/>
    <x v="0"/>
    <n v="5"/>
    <n v="24900"/>
    <n v="5"/>
    <n v="118275"/>
    <n v="4.8"/>
    <n v="20"/>
    <n v="22410"/>
    <s v="1 Year"/>
  </r>
  <r>
    <x v="1077"/>
    <n v="158981"/>
    <n v="29"/>
    <x v="0"/>
    <x v="39"/>
    <x v="0"/>
    <x v="0"/>
    <x v="3"/>
    <x v="3"/>
    <x v="0"/>
    <x v="0"/>
    <n v="3"/>
    <n v="84999"/>
    <n v="12"/>
    <n v="224397.36"/>
    <n v="4.5"/>
    <n v="20"/>
    <n v="45899.46"/>
    <s v="1 Year"/>
  </r>
  <r>
    <x v="1078"/>
    <n v="6141946"/>
    <n v="36"/>
    <x v="0"/>
    <x v="39"/>
    <x v="0"/>
    <x v="2"/>
    <x v="2"/>
    <x v="4"/>
    <x v="2"/>
    <x v="0"/>
    <n v="2"/>
    <n v="69999"/>
    <n v="8"/>
    <n v="128798.16"/>
    <n v="4.8"/>
    <n v="20"/>
    <n v="25199.64"/>
    <s v="6 Months"/>
  </r>
  <r>
    <x v="1079"/>
    <n v="3264468"/>
    <n v="36"/>
    <x v="0"/>
    <x v="39"/>
    <x v="0"/>
    <x v="2"/>
    <x v="1"/>
    <x v="5"/>
    <x v="2"/>
    <x v="0"/>
    <n v="8"/>
    <n v="42999"/>
    <n v="15"/>
    <n v="292393.2"/>
    <n v="4.5999999999999996"/>
    <n v="20"/>
    <n v="61918.559999999998"/>
    <s v="1 Year"/>
  </r>
  <r>
    <x v="1080"/>
    <n v="9977490"/>
    <n v="33"/>
    <x v="0"/>
    <x v="39"/>
    <x v="0"/>
    <x v="3"/>
    <x v="0"/>
    <x v="0"/>
    <x v="0"/>
    <x v="1"/>
    <n v="6"/>
    <n v="99999"/>
    <n v="10"/>
    <n v="539994.6"/>
    <n v="4.7"/>
    <n v="20"/>
    <n v="107998.92"/>
    <s v="1 Year"/>
  </r>
  <r>
    <x v="1081"/>
    <n v="4597589"/>
    <n v="27"/>
    <x v="0"/>
    <x v="39"/>
    <x v="1"/>
    <x v="1"/>
    <x v="1"/>
    <x v="1"/>
    <x v="1"/>
    <x v="1"/>
    <n v="53"/>
    <n v="4999"/>
    <n v="18"/>
    <n v="217256.54"/>
    <n v="4.4000000000000004"/>
    <n v="20"/>
    <n v="47690.46"/>
    <s v="6 Months"/>
  </r>
  <r>
    <x v="1082"/>
    <n v="2544564"/>
    <n v="54"/>
    <x v="1"/>
    <x v="39"/>
    <x v="0"/>
    <x v="0"/>
    <x v="2"/>
    <x v="2"/>
    <x v="1"/>
    <x v="1"/>
    <n v="10"/>
    <n v="24900"/>
    <n v="5"/>
    <n v="236550"/>
    <n v="4.8"/>
    <n v="20"/>
    <n v="44820"/>
    <s v="1 Year"/>
  </r>
  <r>
    <x v="1083"/>
    <n v="4833870"/>
    <n v="26"/>
    <x v="0"/>
    <x v="39"/>
    <x v="0"/>
    <x v="3"/>
    <x v="3"/>
    <x v="3"/>
    <x v="0"/>
    <x v="1"/>
    <n v="6"/>
    <n v="84999"/>
    <n v="12"/>
    <n v="448794.72"/>
    <n v="4.5"/>
    <n v="20"/>
    <n v="91798.92"/>
    <s v="6 Months"/>
  </r>
  <r>
    <x v="1084"/>
    <n v="7010898"/>
    <n v="31"/>
    <x v="0"/>
    <x v="39"/>
    <x v="0"/>
    <x v="2"/>
    <x v="2"/>
    <x v="4"/>
    <x v="2"/>
    <x v="1"/>
    <n v="4"/>
    <n v="69999"/>
    <n v="8"/>
    <n v="257596.32"/>
    <n v="4.8"/>
    <n v="20"/>
    <n v="50399.28"/>
    <s v="1 Year"/>
  </r>
  <r>
    <x v="1085"/>
    <n v="9967268"/>
    <n v="64"/>
    <x v="1"/>
    <x v="39"/>
    <x v="0"/>
    <x v="2"/>
    <x v="1"/>
    <x v="5"/>
    <x v="2"/>
    <x v="1"/>
    <n v="7"/>
    <n v="42999"/>
    <n v="15"/>
    <n v="255844.05"/>
    <n v="4.5999999999999996"/>
    <n v="20"/>
    <n v="54178.74"/>
    <s v="1 Year"/>
  </r>
  <r>
    <x v="1086"/>
    <n v="1897745"/>
    <n v="61"/>
    <x v="1"/>
    <x v="39"/>
    <x v="1"/>
    <x v="2"/>
    <x v="0"/>
    <x v="0"/>
    <x v="0"/>
    <x v="2"/>
    <n v="6"/>
    <n v="99999"/>
    <n v="10"/>
    <n v="539994.6"/>
    <n v="4.7"/>
    <n v="20"/>
    <n v="107998.92"/>
    <s v="1 Year"/>
  </r>
  <r>
    <x v="1087"/>
    <n v="4450198"/>
    <n v="28"/>
    <x v="0"/>
    <x v="39"/>
    <x v="0"/>
    <x v="0"/>
    <x v="1"/>
    <x v="1"/>
    <x v="1"/>
    <x v="2"/>
    <n v="35"/>
    <n v="4999"/>
    <n v="18"/>
    <n v="143471.29999999999"/>
    <n v="4.4000000000000004"/>
    <n v="20"/>
    <n v="31493.699999999997"/>
    <s v="1 Year"/>
  </r>
  <r>
    <x v="1088"/>
    <n v="8761336"/>
    <n v="27"/>
    <x v="0"/>
    <x v="39"/>
    <x v="0"/>
    <x v="4"/>
    <x v="2"/>
    <x v="2"/>
    <x v="1"/>
    <x v="2"/>
    <n v="8"/>
    <n v="24900"/>
    <n v="5"/>
    <n v="189240"/>
    <n v="4.8"/>
    <n v="20"/>
    <n v="35856"/>
    <s v="1 Year"/>
  </r>
  <r>
    <x v="1089"/>
    <n v="3528677"/>
    <n v="42"/>
    <x v="0"/>
    <x v="39"/>
    <x v="0"/>
    <x v="2"/>
    <x v="3"/>
    <x v="3"/>
    <x v="0"/>
    <x v="2"/>
    <n v="4"/>
    <n v="84999"/>
    <n v="12"/>
    <n v="299196.48"/>
    <n v="4.5"/>
    <n v="20"/>
    <n v="61199.28"/>
    <s v="1 Year"/>
  </r>
  <r>
    <x v="1090"/>
    <n v="8373738"/>
    <n v="34"/>
    <x v="0"/>
    <x v="39"/>
    <x v="0"/>
    <x v="2"/>
    <x v="2"/>
    <x v="4"/>
    <x v="2"/>
    <x v="2"/>
    <n v="6"/>
    <n v="69999"/>
    <n v="8"/>
    <n v="386394.48"/>
    <n v="4.8"/>
    <n v="20"/>
    <n v="75598.92"/>
    <s v="6 Months"/>
  </r>
  <r>
    <x v="1091"/>
    <n v="1366596"/>
    <n v="23"/>
    <x v="0"/>
    <x v="39"/>
    <x v="0"/>
    <x v="0"/>
    <x v="1"/>
    <x v="5"/>
    <x v="2"/>
    <x v="2"/>
    <n v="8"/>
    <n v="42999"/>
    <n v="15"/>
    <n v="292393.2"/>
    <n v="4.5999999999999996"/>
    <n v="20"/>
    <n v="61918.559999999998"/>
    <s v="1 Year"/>
  </r>
  <r>
    <x v="1092"/>
    <n v="6229553"/>
    <n v="35"/>
    <x v="0"/>
    <x v="39"/>
    <x v="0"/>
    <x v="2"/>
    <x v="0"/>
    <x v="0"/>
    <x v="0"/>
    <x v="3"/>
    <n v="6"/>
    <n v="99999"/>
    <n v="10"/>
    <n v="539994.6"/>
    <n v="4.7"/>
    <n v="20"/>
    <n v="107998.92"/>
    <s v="1 Year"/>
  </r>
  <r>
    <x v="1093"/>
    <n v="4989878"/>
    <n v="49"/>
    <x v="0"/>
    <x v="39"/>
    <x v="0"/>
    <x v="2"/>
    <x v="1"/>
    <x v="1"/>
    <x v="1"/>
    <x v="3"/>
    <n v="52"/>
    <n v="4999"/>
    <n v="18"/>
    <n v="213157.36"/>
    <n v="4.4000000000000004"/>
    <n v="20"/>
    <n v="46790.64"/>
    <s v="1 Year"/>
  </r>
  <r>
    <x v="1094"/>
    <n v="5176395"/>
    <n v="21"/>
    <x v="0"/>
    <x v="39"/>
    <x v="0"/>
    <x v="2"/>
    <x v="2"/>
    <x v="2"/>
    <x v="1"/>
    <x v="3"/>
    <n v="14"/>
    <n v="24900"/>
    <n v="5"/>
    <n v="331170"/>
    <n v="4.8"/>
    <n v="20"/>
    <n v="62748"/>
    <s v="1 Year"/>
  </r>
  <r>
    <x v="1095"/>
    <n v="2470347"/>
    <n v="41"/>
    <x v="0"/>
    <x v="39"/>
    <x v="0"/>
    <x v="0"/>
    <x v="3"/>
    <x v="3"/>
    <x v="0"/>
    <x v="3"/>
    <n v="6"/>
    <n v="84999"/>
    <n v="12"/>
    <n v="448794.72"/>
    <n v="4.5"/>
    <n v="20"/>
    <n v="91798.92"/>
    <s v="6 Months"/>
  </r>
  <r>
    <x v="1096"/>
    <n v="8121668"/>
    <n v="45"/>
    <x v="0"/>
    <x v="39"/>
    <x v="0"/>
    <x v="2"/>
    <x v="2"/>
    <x v="4"/>
    <x v="2"/>
    <x v="3"/>
    <n v="5"/>
    <n v="69999"/>
    <n v="8"/>
    <n v="321995.40000000002"/>
    <n v="4.8"/>
    <n v="20"/>
    <n v="62999.1"/>
    <s v="1 Year"/>
  </r>
  <r>
    <x v="1097"/>
    <n v="1484330"/>
    <n v="32"/>
    <x v="0"/>
    <x v="39"/>
    <x v="0"/>
    <x v="2"/>
    <x v="1"/>
    <x v="5"/>
    <x v="2"/>
    <x v="3"/>
    <n v="9"/>
    <n v="42999"/>
    <n v="15"/>
    <n v="328942.34999999998"/>
    <n v="4.5999999999999996"/>
    <n v="20"/>
    <n v="69658.38"/>
    <s v="1 Year"/>
  </r>
  <r>
    <x v="1098"/>
    <n v="1753921"/>
    <n v="31"/>
    <x v="0"/>
    <x v="39"/>
    <x v="0"/>
    <x v="3"/>
    <x v="0"/>
    <x v="0"/>
    <x v="0"/>
    <x v="4"/>
    <n v="6"/>
    <n v="99999"/>
    <n v="10"/>
    <n v="539994.6"/>
    <n v="4.7"/>
    <n v="20"/>
    <n v="107998.92"/>
    <s v="1 Year"/>
  </r>
  <r>
    <x v="1099"/>
    <n v="6968357"/>
    <n v="45"/>
    <x v="0"/>
    <x v="39"/>
    <x v="3"/>
    <x v="4"/>
    <x v="1"/>
    <x v="1"/>
    <x v="1"/>
    <x v="4"/>
    <n v="58"/>
    <n v="4999"/>
    <n v="18"/>
    <n v="237752.44"/>
    <n v="4.4000000000000004"/>
    <n v="20"/>
    <n v="52189.56"/>
    <s v="6 Months"/>
  </r>
  <r>
    <x v="1100"/>
    <n v="5809177"/>
    <n v="47"/>
    <x v="0"/>
    <x v="39"/>
    <x v="3"/>
    <x v="2"/>
    <x v="2"/>
    <x v="2"/>
    <x v="1"/>
    <x v="4"/>
    <n v="8"/>
    <n v="24900"/>
    <n v="5"/>
    <n v="189240"/>
    <n v="4.8"/>
    <n v="20"/>
    <n v="35856"/>
    <s v="1 Year"/>
  </r>
  <r>
    <x v="1101"/>
    <n v="1398058"/>
    <n v="26"/>
    <x v="0"/>
    <x v="39"/>
    <x v="0"/>
    <x v="2"/>
    <x v="3"/>
    <x v="3"/>
    <x v="0"/>
    <x v="4"/>
    <n v="4"/>
    <n v="84999"/>
    <n v="12"/>
    <n v="299196.48"/>
    <n v="4.5"/>
    <n v="20"/>
    <n v="61199.28"/>
    <s v="6 Months"/>
  </r>
  <r>
    <x v="1102"/>
    <n v="8829622"/>
    <n v="41"/>
    <x v="0"/>
    <x v="39"/>
    <x v="1"/>
    <x v="2"/>
    <x v="2"/>
    <x v="4"/>
    <x v="2"/>
    <x v="4"/>
    <n v="5"/>
    <n v="69999"/>
    <n v="8"/>
    <n v="321995.40000000002"/>
    <n v="4.8"/>
    <n v="20"/>
    <n v="62999.1"/>
    <s v="6 Months"/>
  </r>
  <r>
    <x v="1103"/>
    <n v="4573619"/>
    <n v="39"/>
    <x v="0"/>
    <x v="39"/>
    <x v="0"/>
    <x v="0"/>
    <x v="1"/>
    <x v="5"/>
    <x v="2"/>
    <x v="4"/>
    <n v="7"/>
    <n v="42999"/>
    <n v="15"/>
    <n v="255844.05"/>
    <n v="4.5999999999999996"/>
    <n v="20"/>
    <n v="54178.74"/>
    <s v="6 Months"/>
  </r>
  <r>
    <x v="1104"/>
    <n v="9927746"/>
    <n v="26"/>
    <x v="0"/>
    <x v="40"/>
    <x v="0"/>
    <x v="4"/>
    <x v="0"/>
    <x v="0"/>
    <x v="0"/>
    <x v="0"/>
    <n v="5"/>
    <n v="99999"/>
    <n v="10"/>
    <n v="449995.5"/>
    <n v="4.7"/>
    <n v="20"/>
    <n v="89999.099999999991"/>
    <s v="1 Year"/>
  </r>
  <r>
    <x v="1105"/>
    <n v="4786933"/>
    <n v="72"/>
    <x v="1"/>
    <x v="40"/>
    <x v="0"/>
    <x v="2"/>
    <x v="1"/>
    <x v="1"/>
    <x v="1"/>
    <x v="0"/>
    <n v="36"/>
    <n v="4999"/>
    <n v="18"/>
    <n v="147570.48000000001"/>
    <n v="4.4000000000000004"/>
    <n v="20"/>
    <n v="32393.52"/>
    <s v="6 Months"/>
  </r>
  <r>
    <x v="1105"/>
    <n v="4786933"/>
    <n v="21"/>
    <x v="0"/>
    <x v="40"/>
    <x v="0"/>
    <x v="0"/>
    <x v="2"/>
    <x v="2"/>
    <x v="1"/>
    <x v="0"/>
    <n v="12"/>
    <n v="24900"/>
    <n v="5"/>
    <n v="283860"/>
    <n v="4.8"/>
    <n v="20"/>
    <n v="53784"/>
    <s v="1 Year"/>
  </r>
  <r>
    <x v="1105"/>
    <n v="4786933"/>
    <n v="30"/>
    <x v="0"/>
    <x v="40"/>
    <x v="0"/>
    <x v="0"/>
    <x v="3"/>
    <x v="3"/>
    <x v="0"/>
    <x v="0"/>
    <n v="4"/>
    <n v="84999"/>
    <n v="12"/>
    <n v="299196.48"/>
    <n v="4.5"/>
    <n v="20"/>
    <n v="61199.28"/>
    <s v="1 Year"/>
  </r>
  <r>
    <x v="1105"/>
    <n v="4786933"/>
    <n v="71"/>
    <x v="1"/>
    <x v="40"/>
    <x v="0"/>
    <x v="2"/>
    <x v="2"/>
    <x v="4"/>
    <x v="2"/>
    <x v="0"/>
    <n v="3"/>
    <n v="69999"/>
    <n v="8"/>
    <n v="193197.24"/>
    <n v="4.8"/>
    <n v="20"/>
    <n v="37799.46"/>
    <s v="1 Year"/>
  </r>
  <r>
    <x v="1106"/>
    <n v="7002542"/>
    <n v="22"/>
    <x v="0"/>
    <x v="40"/>
    <x v="0"/>
    <x v="2"/>
    <x v="1"/>
    <x v="5"/>
    <x v="2"/>
    <x v="0"/>
    <n v="9"/>
    <n v="42999"/>
    <n v="15"/>
    <n v="328942.34999999998"/>
    <n v="4.5999999999999996"/>
    <n v="20"/>
    <n v="69658.38"/>
    <s v="1 Year"/>
  </r>
  <r>
    <x v="1107"/>
    <n v="6834677"/>
    <n v="32"/>
    <x v="0"/>
    <x v="40"/>
    <x v="0"/>
    <x v="2"/>
    <x v="0"/>
    <x v="0"/>
    <x v="0"/>
    <x v="1"/>
    <n v="5"/>
    <n v="99999"/>
    <n v="10"/>
    <n v="449995.5"/>
    <n v="4.7"/>
    <n v="20"/>
    <n v="89999.099999999991"/>
    <s v="6 Months"/>
  </r>
  <r>
    <x v="1108"/>
    <n v="5535723"/>
    <n v="71"/>
    <x v="1"/>
    <x v="40"/>
    <x v="0"/>
    <x v="3"/>
    <x v="1"/>
    <x v="1"/>
    <x v="1"/>
    <x v="1"/>
    <n v="33"/>
    <n v="4999"/>
    <n v="18"/>
    <n v="135272.94"/>
    <n v="4.4000000000000004"/>
    <n v="20"/>
    <n v="29694.059999999998"/>
    <s v="1 Year"/>
  </r>
  <r>
    <x v="1109"/>
    <n v="8979469"/>
    <n v="76"/>
    <x v="1"/>
    <x v="40"/>
    <x v="0"/>
    <x v="2"/>
    <x v="2"/>
    <x v="2"/>
    <x v="1"/>
    <x v="1"/>
    <n v="10"/>
    <n v="24900"/>
    <n v="5"/>
    <n v="236550"/>
    <n v="4.8"/>
    <n v="20"/>
    <n v="44820"/>
    <s v="6 Months"/>
  </r>
  <r>
    <x v="1110"/>
    <n v="7768870"/>
    <n v="30"/>
    <x v="0"/>
    <x v="40"/>
    <x v="1"/>
    <x v="3"/>
    <x v="3"/>
    <x v="3"/>
    <x v="0"/>
    <x v="1"/>
    <n v="3"/>
    <n v="84999"/>
    <n v="12"/>
    <n v="224397.36"/>
    <n v="4.5"/>
    <n v="20"/>
    <n v="45899.46"/>
    <s v="1 Year"/>
  </r>
  <r>
    <x v="1111"/>
    <n v="2713833"/>
    <n v="32"/>
    <x v="0"/>
    <x v="40"/>
    <x v="0"/>
    <x v="2"/>
    <x v="2"/>
    <x v="4"/>
    <x v="2"/>
    <x v="1"/>
    <n v="3"/>
    <n v="69999"/>
    <n v="8"/>
    <n v="193197.24"/>
    <n v="4.8"/>
    <n v="20"/>
    <n v="37799.46"/>
    <s v="6 Months"/>
  </r>
  <r>
    <x v="1112"/>
    <n v="4803692"/>
    <n v="39"/>
    <x v="0"/>
    <x v="40"/>
    <x v="0"/>
    <x v="3"/>
    <x v="1"/>
    <x v="5"/>
    <x v="2"/>
    <x v="1"/>
    <n v="9"/>
    <n v="42999"/>
    <n v="15"/>
    <n v="328942.34999999998"/>
    <n v="4.5999999999999996"/>
    <n v="20"/>
    <n v="69658.38"/>
    <s v="1 Year"/>
  </r>
  <r>
    <x v="1113"/>
    <n v="3727132"/>
    <n v="26"/>
    <x v="0"/>
    <x v="40"/>
    <x v="0"/>
    <x v="3"/>
    <x v="0"/>
    <x v="0"/>
    <x v="0"/>
    <x v="2"/>
    <n v="6"/>
    <n v="99999"/>
    <n v="10"/>
    <n v="539994.6"/>
    <n v="4.7"/>
    <n v="20"/>
    <n v="107998.92"/>
    <s v="1 Year"/>
  </r>
  <r>
    <x v="1114"/>
    <n v="2714485"/>
    <n v="39"/>
    <x v="0"/>
    <x v="40"/>
    <x v="0"/>
    <x v="3"/>
    <x v="1"/>
    <x v="1"/>
    <x v="1"/>
    <x v="2"/>
    <n v="26"/>
    <n v="4999"/>
    <n v="18"/>
    <n v="106578.68"/>
    <n v="4.4000000000000004"/>
    <n v="20"/>
    <n v="23395.32"/>
    <s v="1 Year"/>
  </r>
  <r>
    <x v="1115"/>
    <n v="1518509"/>
    <n v="32"/>
    <x v="0"/>
    <x v="40"/>
    <x v="0"/>
    <x v="0"/>
    <x v="2"/>
    <x v="2"/>
    <x v="1"/>
    <x v="2"/>
    <n v="11"/>
    <n v="24900"/>
    <n v="5"/>
    <n v="260205"/>
    <n v="4.8"/>
    <n v="20"/>
    <n v="49302"/>
    <s v="1 Year"/>
  </r>
  <r>
    <x v="1116"/>
    <n v="8172172"/>
    <n v="43"/>
    <x v="0"/>
    <x v="40"/>
    <x v="0"/>
    <x v="2"/>
    <x v="3"/>
    <x v="3"/>
    <x v="0"/>
    <x v="2"/>
    <n v="4"/>
    <n v="84999"/>
    <n v="12"/>
    <n v="299196.48"/>
    <n v="4.5"/>
    <n v="20"/>
    <n v="61199.28"/>
    <s v="1 Year"/>
  </r>
  <r>
    <x v="1117"/>
    <n v="2616604"/>
    <n v="45"/>
    <x v="0"/>
    <x v="40"/>
    <x v="2"/>
    <x v="3"/>
    <x v="2"/>
    <x v="4"/>
    <x v="2"/>
    <x v="2"/>
    <n v="3"/>
    <n v="69999"/>
    <n v="8"/>
    <n v="193197.24"/>
    <n v="4.8"/>
    <n v="20"/>
    <n v="37799.46"/>
    <s v="6 Months"/>
  </r>
  <r>
    <x v="1118"/>
    <n v="6767779"/>
    <n v="23"/>
    <x v="0"/>
    <x v="40"/>
    <x v="0"/>
    <x v="1"/>
    <x v="1"/>
    <x v="5"/>
    <x v="2"/>
    <x v="2"/>
    <n v="8"/>
    <n v="42999"/>
    <n v="15"/>
    <n v="292393.2"/>
    <n v="4.5999999999999996"/>
    <n v="20"/>
    <n v="61918.559999999998"/>
    <s v="6 Months"/>
  </r>
  <r>
    <x v="1119"/>
    <n v="3501607"/>
    <n v="35"/>
    <x v="0"/>
    <x v="40"/>
    <x v="0"/>
    <x v="2"/>
    <x v="0"/>
    <x v="0"/>
    <x v="0"/>
    <x v="3"/>
    <n v="3"/>
    <n v="99999"/>
    <n v="10"/>
    <n v="269997.3"/>
    <n v="4.7"/>
    <n v="20"/>
    <n v="53999.46"/>
    <s v="1 Year"/>
  </r>
  <r>
    <x v="1120"/>
    <n v="3838385"/>
    <n v="48"/>
    <x v="0"/>
    <x v="40"/>
    <x v="0"/>
    <x v="2"/>
    <x v="1"/>
    <x v="1"/>
    <x v="1"/>
    <x v="3"/>
    <n v="41"/>
    <n v="4999"/>
    <n v="18"/>
    <n v="168066.38"/>
    <n v="4.4000000000000004"/>
    <n v="20"/>
    <n v="36892.619999999995"/>
    <s v="1 Year"/>
  </r>
  <r>
    <x v="1121"/>
    <n v="6957650"/>
    <n v="22"/>
    <x v="0"/>
    <x v="40"/>
    <x v="0"/>
    <x v="2"/>
    <x v="2"/>
    <x v="2"/>
    <x v="1"/>
    <x v="3"/>
    <n v="8"/>
    <n v="24900"/>
    <n v="5"/>
    <n v="189240"/>
    <n v="4.8"/>
    <n v="20"/>
    <n v="35856"/>
    <s v="1 Year"/>
  </r>
  <r>
    <x v="1122"/>
    <n v="4245640"/>
    <n v="26"/>
    <x v="0"/>
    <x v="40"/>
    <x v="0"/>
    <x v="2"/>
    <x v="3"/>
    <x v="3"/>
    <x v="0"/>
    <x v="3"/>
    <n v="5"/>
    <n v="84999"/>
    <n v="12"/>
    <n v="373995.6"/>
    <n v="4.5"/>
    <n v="20"/>
    <n v="76499.099999999991"/>
    <s v="6 Months"/>
  </r>
  <r>
    <x v="1123"/>
    <n v="3967649"/>
    <n v="20"/>
    <x v="0"/>
    <x v="40"/>
    <x v="0"/>
    <x v="2"/>
    <x v="2"/>
    <x v="4"/>
    <x v="2"/>
    <x v="3"/>
    <n v="6"/>
    <n v="69999"/>
    <n v="8"/>
    <n v="386394.48"/>
    <n v="4.8"/>
    <n v="20"/>
    <n v="75598.92"/>
    <s v="1 Year"/>
  </r>
  <r>
    <x v="1124"/>
    <n v="4422587"/>
    <n v="26"/>
    <x v="0"/>
    <x v="40"/>
    <x v="0"/>
    <x v="1"/>
    <x v="1"/>
    <x v="5"/>
    <x v="2"/>
    <x v="3"/>
    <n v="7"/>
    <n v="42999"/>
    <n v="15"/>
    <n v="255844.05"/>
    <n v="4.5999999999999996"/>
    <n v="20"/>
    <n v="54178.74"/>
    <s v="1 Year"/>
  </r>
  <r>
    <x v="1125"/>
    <n v="5787329"/>
    <n v="47"/>
    <x v="0"/>
    <x v="40"/>
    <x v="2"/>
    <x v="2"/>
    <x v="0"/>
    <x v="0"/>
    <x v="0"/>
    <x v="4"/>
    <n v="6"/>
    <n v="99999"/>
    <n v="10"/>
    <n v="539994.6"/>
    <n v="4.7"/>
    <n v="20"/>
    <n v="107998.92"/>
    <s v="1 Year"/>
  </r>
  <r>
    <x v="1126"/>
    <n v="2485892"/>
    <n v="38"/>
    <x v="0"/>
    <x v="40"/>
    <x v="0"/>
    <x v="2"/>
    <x v="1"/>
    <x v="1"/>
    <x v="1"/>
    <x v="4"/>
    <n v="43"/>
    <n v="4999"/>
    <n v="18"/>
    <n v="176264.74"/>
    <n v="4.4000000000000004"/>
    <n v="20"/>
    <n v="38692.26"/>
    <s v="1 Year"/>
  </r>
  <r>
    <x v="1127"/>
    <n v="8503995"/>
    <n v="22"/>
    <x v="0"/>
    <x v="40"/>
    <x v="0"/>
    <x v="0"/>
    <x v="2"/>
    <x v="2"/>
    <x v="1"/>
    <x v="4"/>
    <n v="8"/>
    <n v="24900"/>
    <n v="5"/>
    <n v="189240"/>
    <n v="4.8"/>
    <n v="20"/>
    <n v="35856"/>
    <s v="6 Months"/>
  </r>
  <r>
    <x v="1128"/>
    <n v="6087504"/>
    <n v="35"/>
    <x v="0"/>
    <x v="40"/>
    <x v="2"/>
    <x v="0"/>
    <x v="3"/>
    <x v="3"/>
    <x v="0"/>
    <x v="4"/>
    <n v="5"/>
    <n v="84999"/>
    <n v="12"/>
    <n v="373995.6"/>
    <n v="4.5"/>
    <n v="20"/>
    <n v="76499.099999999991"/>
    <s v="1 Year"/>
  </r>
  <r>
    <x v="1129"/>
    <n v="4199509"/>
    <n v="46"/>
    <x v="0"/>
    <x v="40"/>
    <x v="0"/>
    <x v="0"/>
    <x v="2"/>
    <x v="4"/>
    <x v="2"/>
    <x v="4"/>
    <n v="6"/>
    <n v="69999"/>
    <n v="8"/>
    <n v="386394.48"/>
    <n v="4.8"/>
    <n v="20"/>
    <n v="75598.92"/>
    <s v="6 Months"/>
  </r>
  <r>
    <x v="1130"/>
    <n v="3985944"/>
    <n v="41"/>
    <x v="0"/>
    <x v="40"/>
    <x v="0"/>
    <x v="0"/>
    <x v="1"/>
    <x v="5"/>
    <x v="2"/>
    <x v="4"/>
    <n v="7"/>
    <n v="42999"/>
    <n v="15"/>
    <n v="255844.05"/>
    <n v="4.5999999999999996"/>
    <n v="20"/>
    <n v="54178.74"/>
    <s v="6 Months"/>
  </r>
  <r>
    <x v="1131"/>
    <n v="1025273"/>
    <n v="22"/>
    <x v="0"/>
    <x v="41"/>
    <x v="0"/>
    <x v="4"/>
    <x v="0"/>
    <x v="0"/>
    <x v="0"/>
    <x v="0"/>
    <n v="5"/>
    <n v="99999"/>
    <n v="10"/>
    <n v="449995.5"/>
    <n v="4.7"/>
    <n v="20"/>
    <n v="89999.099999999991"/>
    <s v="6 Months"/>
  </r>
  <r>
    <x v="1132"/>
    <n v="9225888"/>
    <n v="23"/>
    <x v="0"/>
    <x v="41"/>
    <x v="0"/>
    <x v="2"/>
    <x v="1"/>
    <x v="1"/>
    <x v="1"/>
    <x v="0"/>
    <n v="32"/>
    <n v="4999"/>
    <n v="18"/>
    <n v="131173.76000000001"/>
    <n v="4.4000000000000004"/>
    <n v="20"/>
    <n v="28794.239999999998"/>
    <s v="1 Year"/>
  </r>
  <r>
    <x v="1133"/>
    <n v="9109452"/>
    <n v="38"/>
    <x v="0"/>
    <x v="41"/>
    <x v="0"/>
    <x v="5"/>
    <x v="2"/>
    <x v="2"/>
    <x v="1"/>
    <x v="0"/>
    <n v="7"/>
    <n v="24900"/>
    <n v="5"/>
    <n v="165585"/>
    <n v="4.8"/>
    <n v="20"/>
    <n v="31374"/>
    <s v="1 Year"/>
  </r>
  <r>
    <x v="1134"/>
    <n v="9160131"/>
    <n v="35"/>
    <x v="0"/>
    <x v="41"/>
    <x v="0"/>
    <x v="2"/>
    <x v="3"/>
    <x v="3"/>
    <x v="0"/>
    <x v="0"/>
    <n v="6"/>
    <n v="84999"/>
    <n v="12"/>
    <n v="448794.72"/>
    <n v="4.5"/>
    <n v="20"/>
    <n v="91798.92"/>
    <s v="1 Year"/>
  </r>
  <r>
    <x v="1135"/>
    <n v="7287435"/>
    <n v="36"/>
    <x v="0"/>
    <x v="41"/>
    <x v="0"/>
    <x v="0"/>
    <x v="2"/>
    <x v="4"/>
    <x v="2"/>
    <x v="0"/>
    <n v="4"/>
    <n v="69999"/>
    <n v="8"/>
    <n v="257596.32"/>
    <n v="4.8"/>
    <n v="20"/>
    <n v="50399.28"/>
    <s v="1 Year"/>
  </r>
  <r>
    <x v="1136"/>
    <n v="5480727"/>
    <n v="18"/>
    <x v="2"/>
    <x v="41"/>
    <x v="0"/>
    <x v="3"/>
    <x v="1"/>
    <x v="5"/>
    <x v="2"/>
    <x v="0"/>
    <n v="7"/>
    <n v="42999"/>
    <n v="15"/>
    <n v="255844.05"/>
    <n v="4.5999999999999996"/>
    <n v="20"/>
    <n v="54178.74"/>
    <s v="1 Year"/>
  </r>
  <r>
    <x v="1137"/>
    <n v="2447093"/>
    <n v="54"/>
    <x v="1"/>
    <x v="41"/>
    <x v="0"/>
    <x v="4"/>
    <x v="0"/>
    <x v="0"/>
    <x v="0"/>
    <x v="1"/>
    <n v="3"/>
    <n v="99999"/>
    <n v="10"/>
    <n v="269997.3"/>
    <n v="4.7"/>
    <n v="20"/>
    <n v="53999.46"/>
    <s v="1 Year"/>
  </r>
  <r>
    <x v="1138"/>
    <n v="1706520"/>
    <n v="40"/>
    <x v="0"/>
    <x v="41"/>
    <x v="0"/>
    <x v="2"/>
    <x v="1"/>
    <x v="1"/>
    <x v="1"/>
    <x v="1"/>
    <n v="53"/>
    <n v="4999"/>
    <n v="18"/>
    <n v="217256.54"/>
    <n v="4.4000000000000004"/>
    <n v="20"/>
    <n v="47690.46"/>
    <s v="1 Year"/>
  </r>
  <r>
    <x v="1139"/>
    <n v="2008379"/>
    <n v="41"/>
    <x v="0"/>
    <x v="41"/>
    <x v="0"/>
    <x v="2"/>
    <x v="2"/>
    <x v="2"/>
    <x v="1"/>
    <x v="1"/>
    <n v="14"/>
    <n v="24900"/>
    <n v="5"/>
    <n v="331170"/>
    <n v="4.8"/>
    <n v="20"/>
    <n v="62748"/>
    <s v="1 Year"/>
  </r>
  <r>
    <x v="1140"/>
    <n v="6342847"/>
    <n v="39"/>
    <x v="0"/>
    <x v="41"/>
    <x v="0"/>
    <x v="1"/>
    <x v="3"/>
    <x v="3"/>
    <x v="0"/>
    <x v="1"/>
    <n v="5"/>
    <n v="84999"/>
    <n v="12"/>
    <n v="373995.6"/>
    <n v="4.5"/>
    <n v="20"/>
    <n v="76499.099999999991"/>
    <s v="1 Year"/>
  </r>
  <r>
    <x v="1141"/>
    <n v="144548"/>
    <n v="37"/>
    <x v="0"/>
    <x v="41"/>
    <x v="0"/>
    <x v="4"/>
    <x v="2"/>
    <x v="4"/>
    <x v="2"/>
    <x v="1"/>
    <n v="2"/>
    <n v="69999"/>
    <n v="8"/>
    <n v="128798.16"/>
    <n v="4.8"/>
    <n v="20"/>
    <n v="25199.64"/>
    <s v="1 Year"/>
  </r>
  <r>
    <x v="1142"/>
    <n v="4480208"/>
    <n v="57"/>
    <x v="1"/>
    <x v="41"/>
    <x v="0"/>
    <x v="0"/>
    <x v="1"/>
    <x v="5"/>
    <x v="2"/>
    <x v="1"/>
    <n v="9"/>
    <n v="42999"/>
    <n v="15"/>
    <n v="328942.34999999998"/>
    <n v="4.5999999999999996"/>
    <n v="20"/>
    <n v="69658.38"/>
    <s v="1 Year"/>
  </r>
  <r>
    <x v="1143"/>
    <n v="452328"/>
    <n v="20"/>
    <x v="0"/>
    <x v="41"/>
    <x v="0"/>
    <x v="2"/>
    <x v="0"/>
    <x v="0"/>
    <x v="0"/>
    <x v="2"/>
    <n v="4"/>
    <n v="99999"/>
    <n v="10"/>
    <n v="359996.4"/>
    <n v="4.7"/>
    <n v="20"/>
    <n v="71999.28"/>
    <s v="6 Months"/>
  </r>
  <r>
    <x v="1144"/>
    <n v="7027004"/>
    <n v="32"/>
    <x v="0"/>
    <x v="41"/>
    <x v="0"/>
    <x v="5"/>
    <x v="1"/>
    <x v="1"/>
    <x v="1"/>
    <x v="2"/>
    <n v="23"/>
    <n v="4999"/>
    <n v="18"/>
    <n v="94281.14"/>
    <n v="4.4000000000000004"/>
    <n v="20"/>
    <n v="20695.86"/>
    <s v="6 Months"/>
  </r>
  <r>
    <x v="1145"/>
    <n v="4639579"/>
    <n v="77"/>
    <x v="1"/>
    <x v="41"/>
    <x v="0"/>
    <x v="4"/>
    <x v="2"/>
    <x v="2"/>
    <x v="1"/>
    <x v="2"/>
    <n v="5"/>
    <n v="24900"/>
    <n v="5"/>
    <n v="118275"/>
    <n v="4.8"/>
    <n v="20"/>
    <n v="22410"/>
    <s v="1 Year"/>
  </r>
  <r>
    <x v="1146"/>
    <n v="8192502"/>
    <n v="39"/>
    <x v="0"/>
    <x v="41"/>
    <x v="0"/>
    <x v="2"/>
    <x v="3"/>
    <x v="3"/>
    <x v="0"/>
    <x v="2"/>
    <n v="2"/>
    <n v="84999"/>
    <n v="12"/>
    <n v="149598.24"/>
    <n v="4.5"/>
    <n v="20"/>
    <n v="30599.64"/>
    <s v="6 Months"/>
  </r>
  <r>
    <x v="1147"/>
    <n v="1073898"/>
    <n v="51"/>
    <x v="1"/>
    <x v="41"/>
    <x v="0"/>
    <x v="0"/>
    <x v="2"/>
    <x v="4"/>
    <x v="2"/>
    <x v="2"/>
    <n v="2"/>
    <n v="69999"/>
    <n v="8"/>
    <n v="128798.16"/>
    <n v="4.8"/>
    <n v="20"/>
    <n v="25199.64"/>
    <s v="1 Year"/>
  </r>
  <r>
    <x v="1148"/>
    <n v="8105776"/>
    <n v="25"/>
    <x v="0"/>
    <x v="41"/>
    <x v="0"/>
    <x v="0"/>
    <x v="1"/>
    <x v="5"/>
    <x v="2"/>
    <x v="2"/>
    <n v="9"/>
    <n v="42999"/>
    <n v="15"/>
    <n v="328942.34999999998"/>
    <n v="4.5999999999999996"/>
    <n v="20"/>
    <n v="69658.38"/>
    <s v="1 Year"/>
  </r>
  <r>
    <x v="1149"/>
    <n v="4108433"/>
    <n v="38"/>
    <x v="0"/>
    <x v="41"/>
    <x v="2"/>
    <x v="0"/>
    <x v="0"/>
    <x v="0"/>
    <x v="0"/>
    <x v="3"/>
    <n v="3"/>
    <n v="99999"/>
    <n v="10"/>
    <n v="269997.3"/>
    <n v="4.7"/>
    <n v="20"/>
    <n v="53999.46"/>
    <s v="1 Year"/>
  </r>
  <r>
    <x v="1150"/>
    <n v="7590596"/>
    <n v="71"/>
    <x v="1"/>
    <x v="41"/>
    <x v="0"/>
    <x v="0"/>
    <x v="1"/>
    <x v="1"/>
    <x v="1"/>
    <x v="3"/>
    <n v="53"/>
    <n v="4999"/>
    <n v="18"/>
    <n v="217256.54"/>
    <n v="4.4000000000000004"/>
    <n v="20"/>
    <n v="47690.46"/>
    <s v="1 Year"/>
  </r>
  <r>
    <x v="1151"/>
    <n v="7783914"/>
    <n v="55"/>
    <x v="1"/>
    <x v="41"/>
    <x v="0"/>
    <x v="0"/>
    <x v="2"/>
    <x v="2"/>
    <x v="1"/>
    <x v="3"/>
    <n v="12"/>
    <n v="24900"/>
    <n v="5"/>
    <n v="283860"/>
    <n v="4.8"/>
    <n v="20"/>
    <n v="53784"/>
    <s v="1 Year"/>
  </r>
  <r>
    <x v="1152"/>
    <n v="9286257"/>
    <n v="22"/>
    <x v="0"/>
    <x v="41"/>
    <x v="0"/>
    <x v="2"/>
    <x v="3"/>
    <x v="3"/>
    <x v="0"/>
    <x v="3"/>
    <n v="6"/>
    <n v="84999"/>
    <n v="12"/>
    <n v="448794.72"/>
    <n v="4.5"/>
    <n v="20"/>
    <n v="91798.92"/>
    <s v="6 Months"/>
  </r>
  <r>
    <x v="1153"/>
    <n v="6331688"/>
    <n v="34"/>
    <x v="0"/>
    <x v="41"/>
    <x v="0"/>
    <x v="2"/>
    <x v="2"/>
    <x v="4"/>
    <x v="2"/>
    <x v="3"/>
    <n v="4"/>
    <n v="69999"/>
    <n v="8"/>
    <n v="257596.32"/>
    <n v="4.8"/>
    <n v="20"/>
    <n v="50399.28"/>
    <s v="6 Months"/>
  </r>
  <r>
    <x v="1154"/>
    <n v="6294340"/>
    <n v="20"/>
    <x v="0"/>
    <x v="41"/>
    <x v="0"/>
    <x v="2"/>
    <x v="1"/>
    <x v="5"/>
    <x v="2"/>
    <x v="3"/>
    <n v="9"/>
    <n v="42999"/>
    <n v="15"/>
    <n v="328942.34999999998"/>
    <n v="4.5999999999999996"/>
    <n v="20"/>
    <n v="69658.38"/>
    <s v="6 Months"/>
  </r>
  <r>
    <x v="1155"/>
    <n v="4969347"/>
    <n v="41"/>
    <x v="0"/>
    <x v="41"/>
    <x v="0"/>
    <x v="5"/>
    <x v="0"/>
    <x v="0"/>
    <x v="0"/>
    <x v="4"/>
    <n v="4"/>
    <n v="99999"/>
    <n v="10"/>
    <n v="359996.4"/>
    <n v="4.7"/>
    <n v="20"/>
    <n v="71999.28"/>
    <s v="1 Year"/>
  </r>
  <r>
    <x v="1156"/>
    <n v="8321158"/>
    <n v="20"/>
    <x v="0"/>
    <x v="41"/>
    <x v="0"/>
    <x v="5"/>
    <x v="1"/>
    <x v="1"/>
    <x v="1"/>
    <x v="4"/>
    <n v="53"/>
    <n v="4999"/>
    <n v="18"/>
    <n v="217256.54"/>
    <n v="4.4000000000000004"/>
    <n v="20"/>
    <n v="47690.46"/>
    <s v="6 Months"/>
  </r>
  <r>
    <x v="1157"/>
    <n v="6510714"/>
    <n v="29"/>
    <x v="0"/>
    <x v="41"/>
    <x v="3"/>
    <x v="0"/>
    <x v="2"/>
    <x v="2"/>
    <x v="1"/>
    <x v="4"/>
    <n v="9"/>
    <n v="24900"/>
    <n v="5"/>
    <n v="212895"/>
    <n v="4.8"/>
    <n v="20"/>
    <n v="40338"/>
    <s v="6 Months"/>
  </r>
  <r>
    <x v="1157"/>
    <n v="6510714"/>
    <n v="45"/>
    <x v="0"/>
    <x v="41"/>
    <x v="3"/>
    <x v="4"/>
    <x v="3"/>
    <x v="3"/>
    <x v="0"/>
    <x v="4"/>
    <n v="6"/>
    <n v="84999"/>
    <n v="12"/>
    <n v="448794.72"/>
    <n v="4.5"/>
    <n v="20"/>
    <n v="91798.92"/>
    <s v="1 Year"/>
  </r>
  <r>
    <x v="1158"/>
    <n v="1094625"/>
    <n v="44"/>
    <x v="0"/>
    <x v="41"/>
    <x v="0"/>
    <x v="2"/>
    <x v="2"/>
    <x v="4"/>
    <x v="2"/>
    <x v="4"/>
    <n v="2"/>
    <n v="69999"/>
    <n v="8"/>
    <n v="128798.16"/>
    <n v="4.8"/>
    <n v="20"/>
    <n v="25199.64"/>
    <s v="1 Year"/>
  </r>
  <r>
    <x v="1159"/>
    <n v="4748558"/>
    <n v="22"/>
    <x v="0"/>
    <x v="41"/>
    <x v="0"/>
    <x v="2"/>
    <x v="1"/>
    <x v="5"/>
    <x v="2"/>
    <x v="4"/>
    <n v="7"/>
    <n v="42999"/>
    <n v="15"/>
    <n v="255844.05"/>
    <n v="4.5999999999999996"/>
    <n v="20"/>
    <n v="54178.74"/>
    <s v="1 Year"/>
  </r>
  <r>
    <x v="1160"/>
    <n v="6381580"/>
    <n v="40"/>
    <x v="0"/>
    <x v="42"/>
    <x v="0"/>
    <x v="2"/>
    <x v="0"/>
    <x v="0"/>
    <x v="0"/>
    <x v="0"/>
    <n v="4"/>
    <n v="99999"/>
    <n v="10"/>
    <n v="359996.4"/>
    <n v="4.7"/>
    <n v="20"/>
    <n v="71999.28"/>
    <s v="1 Year"/>
  </r>
  <r>
    <x v="1161"/>
    <n v="9691516"/>
    <n v="34"/>
    <x v="0"/>
    <x v="42"/>
    <x v="0"/>
    <x v="2"/>
    <x v="1"/>
    <x v="1"/>
    <x v="1"/>
    <x v="0"/>
    <n v="53"/>
    <n v="4999"/>
    <n v="18"/>
    <n v="217256.54"/>
    <n v="4.4000000000000004"/>
    <n v="20"/>
    <n v="47690.46"/>
    <s v="6 Months"/>
  </r>
  <r>
    <x v="1162"/>
    <n v="629022"/>
    <n v="32"/>
    <x v="0"/>
    <x v="42"/>
    <x v="0"/>
    <x v="2"/>
    <x v="2"/>
    <x v="2"/>
    <x v="1"/>
    <x v="0"/>
    <n v="13"/>
    <n v="24900"/>
    <n v="5"/>
    <n v="307515"/>
    <n v="4.8"/>
    <n v="20"/>
    <n v="58266"/>
    <s v="1 Year"/>
  </r>
  <r>
    <x v="1163"/>
    <n v="6838538"/>
    <n v="20"/>
    <x v="0"/>
    <x v="42"/>
    <x v="0"/>
    <x v="2"/>
    <x v="3"/>
    <x v="3"/>
    <x v="0"/>
    <x v="0"/>
    <n v="3"/>
    <n v="84999"/>
    <n v="12"/>
    <n v="224397.36"/>
    <n v="4.5"/>
    <n v="20"/>
    <n v="45899.46"/>
    <s v="6 Months"/>
  </r>
  <r>
    <x v="1164"/>
    <n v="775906"/>
    <n v="55"/>
    <x v="1"/>
    <x v="42"/>
    <x v="0"/>
    <x v="3"/>
    <x v="2"/>
    <x v="4"/>
    <x v="2"/>
    <x v="0"/>
    <n v="4"/>
    <n v="69999"/>
    <n v="8"/>
    <n v="257596.32"/>
    <n v="4.8"/>
    <n v="20"/>
    <n v="50399.28"/>
    <s v="6 Months"/>
  </r>
  <r>
    <x v="1165"/>
    <n v="4153899"/>
    <n v="38"/>
    <x v="0"/>
    <x v="42"/>
    <x v="0"/>
    <x v="2"/>
    <x v="1"/>
    <x v="5"/>
    <x v="2"/>
    <x v="0"/>
    <n v="10"/>
    <n v="42999"/>
    <n v="15"/>
    <n v="365491.5"/>
    <n v="4.5999999999999996"/>
    <n v="20"/>
    <n v="77398.2"/>
    <s v="6 Months"/>
  </r>
  <r>
    <x v="1166"/>
    <n v="4483599"/>
    <n v="29"/>
    <x v="0"/>
    <x v="42"/>
    <x v="0"/>
    <x v="2"/>
    <x v="0"/>
    <x v="0"/>
    <x v="0"/>
    <x v="1"/>
    <n v="6"/>
    <n v="99999"/>
    <n v="10"/>
    <n v="539994.6"/>
    <n v="4.7"/>
    <n v="20"/>
    <n v="107998.92"/>
    <s v="6 Months"/>
  </r>
  <r>
    <x v="1167"/>
    <n v="3796629"/>
    <n v="24"/>
    <x v="0"/>
    <x v="42"/>
    <x v="0"/>
    <x v="2"/>
    <x v="1"/>
    <x v="1"/>
    <x v="1"/>
    <x v="1"/>
    <n v="55"/>
    <n v="4999"/>
    <n v="18"/>
    <n v="225454.9"/>
    <n v="4.4000000000000004"/>
    <n v="20"/>
    <n v="49490.1"/>
    <s v="1 Year"/>
  </r>
  <r>
    <x v="1168"/>
    <n v="4018425"/>
    <n v="76"/>
    <x v="1"/>
    <x v="42"/>
    <x v="0"/>
    <x v="1"/>
    <x v="2"/>
    <x v="2"/>
    <x v="1"/>
    <x v="1"/>
    <n v="15"/>
    <n v="24900"/>
    <n v="5"/>
    <n v="354825"/>
    <n v="4.8"/>
    <n v="20"/>
    <n v="67230"/>
    <s v="6 Months"/>
  </r>
  <r>
    <x v="1169"/>
    <n v="4788352"/>
    <n v="46"/>
    <x v="0"/>
    <x v="42"/>
    <x v="0"/>
    <x v="2"/>
    <x v="3"/>
    <x v="3"/>
    <x v="0"/>
    <x v="1"/>
    <n v="6"/>
    <n v="84999"/>
    <n v="12"/>
    <n v="448794.72"/>
    <n v="4.5"/>
    <n v="20"/>
    <n v="91798.92"/>
    <s v="1 Year"/>
  </r>
  <r>
    <x v="1170"/>
    <n v="6680125"/>
    <n v="47"/>
    <x v="0"/>
    <x v="42"/>
    <x v="0"/>
    <x v="3"/>
    <x v="2"/>
    <x v="4"/>
    <x v="2"/>
    <x v="1"/>
    <n v="4"/>
    <n v="69999"/>
    <n v="8"/>
    <n v="257596.32"/>
    <n v="4.8"/>
    <n v="20"/>
    <n v="50399.28"/>
    <s v="1 Year"/>
  </r>
  <r>
    <x v="1171"/>
    <n v="9068519"/>
    <n v="41"/>
    <x v="0"/>
    <x v="42"/>
    <x v="3"/>
    <x v="3"/>
    <x v="1"/>
    <x v="5"/>
    <x v="2"/>
    <x v="1"/>
    <n v="11"/>
    <n v="42999"/>
    <n v="15"/>
    <n v="402040.65"/>
    <n v="4.5999999999999996"/>
    <n v="20"/>
    <n v="85138.02"/>
    <s v="1 Year"/>
  </r>
  <r>
    <x v="1171"/>
    <n v="9068519"/>
    <n v="73"/>
    <x v="1"/>
    <x v="42"/>
    <x v="3"/>
    <x v="0"/>
    <x v="0"/>
    <x v="0"/>
    <x v="0"/>
    <x v="2"/>
    <n v="3"/>
    <n v="99999"/>
    <n v="10"/>
    <n v="269997.3"/>
    <n v="4.7"/>
    <n v="20"/>
    <n v="53999.46"/>
    <s v="1 Year"/>
  </r>
  <r>
    <x v="1172"/>
    <n v="2989740"/>
    <n v="23"/>
    <x v="0"/>
    <x v="42"/>
    <x v="0"/>
    <x v="0"/>
    <x v="1"/>
    <x v="1"/>
    <x v="1"/>
    <x v="2"/>
    <n v="35"/>
    <n v="4999"/>
    <n v="18"/>
    <n v="143471.29999999999"/>
    <n v="4.4000000000000004"/>
    <n v="20"/>
    <n v="31493.699999999997"/>
    <s v="1 Year"/>
  </r>
  <r>
    <x v="1172"/>
    <n v="2989740"/>
    <n v="44"/>
    <x v="0"/>
    <x v="42"/>
    <x v="0"/>
    <x v="2"/>
    <x v="2"/>
    <x v="2"/>
    <x v="1"/>
    <x v="2"/>
    <n v="7"/>
    <n v="24900"/>
    <n v="5"/>
    <n v="165585"/>
    <n v="4.8"/>
    <n v="20"/>
    <n v="31374"/>
    <s v="6 Months"/>
  </r>
  <r>
    <x v="1173"/>
    <n v="1201776"/>
    <n v="43"/>
    <x v="0"/>
    <x v="42"/>
    <x v="0"/>
    <x v="2"/>
    <x v="3"/>
    <x v="3"/>
    <x v="0"/>
    <x v="2"/>
    <n v="3"/>
    <n v="84999"/>
    <n v="12"/>
    <n v="224397.36"/>
    <n v="4.5"/>
    <n v="20"/>
    <n v="45899.46"/>
    <s v="1 Year"/>
  </r>
  <r>
    <x v="1174"/>
    <n v="3901170"/>
    <n v="46"/>
    <x v="0"/>
    <x v="42"/>
    <x v="0"/>
    <x v="3"/>
    <x v="2"/>
    <x v="4"/>
    <x v="2"/>
    <x v="2"/>
    <n v="5"/>
    <n v="69999"/>
    <n v="8"/>
    <n v="321995.40000000002"/>
    <n v="4.8"/>
    <n v="20"/>
    <n v="62999.1"/>
    <s v="6 Months"/>
  </r>
  <r>
    <x v="1174"/>
    <n v="3901170"/>
    <n v="31"/>
    <x v="0"/>
    <x v="42"/>
    <x v="0"/>
    <x v="0"/>
    <x v="1"/>
    <x v="5"/>
    <x v="2"/>
    <x v="2"/>
    <n v="10"/>
    <n v="42999"/>
    <n v="15"/>
    <n v="365491.5"/>
    <n v="4.5999999999999996"/>
    <n v="20"/>
    <n v="77398.2"/>
    <s v="1 Year"/>
  </r>
  <r>
    <x v="1174"/>
    <n v="3901170"/>
    <n v="52"/>
    <x v="1"/>
    <x v="42"/>
    <x v="0"/>
    <x v="2"/>
    <x v="0"/>
    <x v="0"/>
    <x v="0"/>
    <x v="3"/>
    <n v="4"/>
    <n v="99999"/>
    <n v="10"/>
    <n v="359996.4"/>
    <n v="4.7"/>
    <n v="20"/>
    <n v="71999.28"/>
    <s v="6 Months"/>
  </r>
  <r>
    <x v="1175"/>
    <n v="728924"/>
    <n v="19"/>
    <x v="2"/>
    <x v="42"/>
    <x v="0"/>
    <x v="2"/>
    <x v="1"/>
    <x v="1"/>
    <x v="1"/>
    <x v="3"/>
    <n v="51"/>
    <n v="4999"/>
    <n v="18"/>
    <n v="209058.18"/>
    <n v="4.4000000000000004"/>
    <n v="20"/>
    <n v="45890.82"/>
    <s v="1 Year"/>
  </r>
  <r>
    <x v="1176"/>
    <n v="5683002"/>
    <n v="43"/>
    <x v="0"/>
    <x v="42"/>
    <x v="3"/>
    <x v="2"/>
    <x v="2"/>
    <x v="2"/>
    <x v="1"/>
    <x v="3"/>
    <n v="7"/>
    <n v="24900"/>
    <n v="5"/>
    <n v="165585"/>
    <n v="4.8"/>
    <n v="20"/>
    <n v="31374"/>
    <s v="1 Year"/>
  </r>
  <r>
    <x v="1177"/>
    <n v="9722357"/>
    <n v="27"/>
    <x v="0"/>
    <x v="42"/>
    <x v="0"/>
    <x v="2"/>
    <x v="3"/>
    <x v="3"/>
    <x v="0"/>
    <x v="3"/>
    <n v="5"/>
    <n v="84999"/>
    <n v="12"/>
    <n v="373995.6"/>
    <n v="4.5"/>
    <n v="20"/>
    <n v="76499.099999999991"/>
    <s v="1 Year"/>
  </r>
  <r>
    <x v="1178"/>
    <n v="3662074"/>
    <n v="20"/>
    <x v="0"/>
    <x v="42"/>
    <x v="3"/>
    <x v="2"/>
    <x v="2"/>
    <x v="4"/>
    <x v="2"/>
    <x v="3"/>
    <n v="6"/>
    <n v="69999"/>
    <n v="8"/>
    <n v="386394.48"/>
    <n v="4.8"/>
    <n v="20"/>
    <n v="75598.92"/>
    <s v="1 Year"/>
  </r>
  <r>
    <x v="1179"/>
    <n v="2438166"/>
    <n v="52"/>
    <x v="1"/>
    <x v="42"/>
    <x v="0"/>
    <x v="2"/>
    <x v="1"/>
    <x v="5"/>
    <x v="2"/>
    <x v="3"/>
    <n v="9"/>
    <n v="42999"/>
    <n v="15"/>
    <n v="328942.34999999998"/>
    <n v="4.5999999999999996"/>
    <n v="20"/>
    <n v="69658.38"/>
    <s v="1 Year"/>
  </r>
  <r>
    <x v="1180"/>
    <n v="6820480"/>
    <n v="23"/>
    <x v="0"/>
    <x v="42"/>
    <x v="0"/>
    <x v="3"/>
    <x v="0"/>
    <x v="0"/>
    <x v="0"/>
    <x v="4"/>
    <n v="4"/>
    <n v="99999"/>
    <n v="10"/>
    <n v="359996.4"/>
    <n v="4.7"/>
    <n v="20"/>
    <n v="71999.28"/>
    <s v="6 Months"/>
  </r>
  <r>
    <x v="1181"/>
    <n v="1750809"/>
    <n v="28"/>
    <x v="0"/>
    <x v="42"/>
    <x v="0"/>
    <x v="0"/>
    <x v="1"/>
    <x v="1"/>
    <x v="1"/>
    <x v="4"/>
    <n v="47"/>
    <n v="4999"/>
    <n v="18"/>
    <n v="192661.46"/>
    <n v="4.4000000000000004"/>
    <n v="20"/>
    <n v="42291.54"/>
    <s v="1 Year"/>
  </r>
  <r>
    <x v="1182"/>
    <n v="7894827"/>
    <n v="29"/>
    <x v="0"/>
    <x v="42"/>
    <x v="0"/>
    <x v="2"/>
    <x v="2"/>
    <x v="2"/>
    <x v="1"/>
    <x v="4"/>
    <n v="5"/>
    <n v="24900"/>
    <n v="5"/>
    <n v="118275"/>
    <n v="4.8"/>
    <n v="20"/>
    <n v="22410"/>
    <s v="6 Months"/>
  </r>
  <r>
    <x v="1183"/>
    <n v="5359308"/>
    <n v="24"/>
    <x v="0"/>
    <x v="42"/>
    <x v="0"/>
    <x v="2"/>
    <x v="3"/>
    <x v="3"/>
    <x v="0"/>
    <x v="4"/>
    <n v="2"/>
    <n v="84999"/>
    <n v="12"/>
    <n v="149598.24"/>
    <n v="4.5"/>
    <n v="20"/>
    <n v="30599.64"/>
    <s v="6 Months"/>
  </r>
  <r>
    <x v="1184"/>
    <n v="9083028"/>
    <n v="61"/>
    <x v="1"/>
    <x v="42"/>
    <x v="0"/>
    <x v="3"/>
    <x v="2"/>
    <x v="4"/>
    <x v="2"/>
    <x v="4"/>
    <n v="3"/>
    <n v="69999"/>
    <n v="8"/>
    <n v="193197.24"/>
    <n v="4.8"/>
    <n v="20"/>
    <n v="37799.46"/>
    <s v="6 Months"/>
  </r>
  <r>
    <x v="1185"/>
    <n v="8259194"/>
    <n v="34"/>
    <x v="0"/>
    <x v="42"/>
    <x v="0"/>
    <x v="0"/>
    <x v="1"/>
    <x v="5"/>
    <x v="2"/>
    <x v="4"/>
    <n v="7"/>
    <n v="42999"/>
    <n v="15"/>
    <n v="255844.05"/>
    <n v="4.5999999999999996"/>
    <n v="20"/>
    <n v="54178.74"/>
    <s v="1 Year"/>
  </r>
  <r>
    <x v="1186"/>
    <n v="4731403"/>
    <n v="73"/>
    <x v="1"/>
    <x v="43"/>
    <x v="0"/>
    <x v="2"/>
    <x v="0"/>
    <x v="0"/>
    <x v="0"/>
    <x v="0"/>
    <n v="3"/>
    <n v="99999"/>
    <n v="10"/>
    <n v="269997.3"/>
    <n v="4.7"/>
    <n v="20"/>
    <n v="53999.46"/>
    <s v="1 Year"/>
  </r>
  <r>
    <x v="1187"/>
    <n v="6035246"/>
    <n v="27"/>
    <x v="0"/>
    <x v="43"/>
    <x v="0"/>
    <x v="3"/>
    <x v="1"/>
    <x v="1"/>
    <x v="1"/>
    <x v="0"/>
    <n v="34"/>
    <n v="4999"/>
    <n v="18"/>
    <n v="139372.12"/>
    <n v="4.4000000000000004"/>
    <n v="20"/>
    <n v="30593.879999999997"/>
    <s v="1 Year"/>
  </r>
  <r>
    <x v="1188"/>
    <n v="5687079"/>
    <n v="75"/>
    <x v="1"/>
    <x v="43"/>
    <x v="0"/>
    <x v="1"/>
    <x v="2"/>
    <x v="2"/>
    <x v="1"/>
    <x v="0"/>
    <n v="8"/>
    <n v="24900"/>
    <n v="5"/>
    <n v="189240"/>
    <n v="4.8"/>
    <n v="20"/>
    <n v="35856"/>
    <s v="1 Year"/>
  </r>
  <r>
    <x v="1189"/>
    <n v="3334901"/>
    <n v="40"/>
    <x v="0"/>
    <x v="43"/>
    <x v="0"/>
    <x v="3"/>
    <x v="3"/>
    <x v="3"/>
    <x v="0"/>
    <x v="0"/>
    <n v="3"/>
    <n v="84999"/>
    <n v="12"/>
    <n v="224397.36"/>
    <n v="4.5"/>
    <n v="20"/>
    <n v="45899.46"/>
    <s v="6 Months"/>
  </r>
  <r>
    <x v="1190"/>
    <n v="6920467"/>
    <n v="44"/>
    <x v="0"/>
    <x v="43"/>
    <x v="0"/>
    <x v="3"/>
    <x v="2"/>
    <x v="4"/>
    <x v="2"/>
    <x v="0"/>
    <n v="5"/>
    <n v="69999"/>
    <n v="8"/>
    <n v="321995.40000000002"/>
    <n v="4.8"/>
    <n v="20"/>
    <n v="62999.1"/>
    <s v="1 Year"/>
  </r>
  <r>
    <x v="1190"/>
    <n v="6920467"/>
    <n v="57"/>
    <x v="1"/>
    <x v="43"/>
    <x v="0"/>
    <x v="1"/>
    <x v="1"/>
    <x v="5"/>
    <x v="2"/>
    <x v="0"/>
    <n v="10"/>
    <n v="42999"/>
    <n v="15"/>
    <n v="365491.5"/>
    <n v="4.5999999999999996"/>
    <n v="20"/>
    <n v="77398.2"/>
    <s v="1 Year"/>
  </r>
  <r>
    <x v="1191"/>
    <n v="3698261"/>
    <n v="41"/>
    <x v="0"/>
    <x v="43"/>
    <x v="0"/>
    <x v="2"/>
    <x v="0"/>
    <x v="0"/>
    <x v="0"/>
    <x v="1"/>
    <n v="4"/>
    <n v="99999"/>
    <n v="10"/>
    <n v="359996.4"/>
    <n v="4.7"/>
    <n v="20"/>
    <n v="71999.28"/>
    <s v="1 Year"/>
  </r>
  <r>
    <x v="1192"/>
    <n v="4288404"/>
    <n v="18"/>
    <x v="2"/>
    <x v="43"/>
    <x v="0"/>
    <x v="3"/>
    <x v="1"/>
    <x v="1"/>
    <x v="1"/>
    <x v="1"/>
    <n v="54"/>
    <n v="4999"/>
    <n v="18"/>
    <n v="221355.72"/>
    <n v="4.4000000000000004"/>
    <n v="20"/>
    <n v="48590.28"/>
    <s v="1 Year"/>
  </r>
  <r>
    <x v="1193"/>
    <n v="9156153"/>
    <n v="72"/>
    <x v="1"/>
    <x v="43"/>
    <x v="0"/>
    <x v="0"/>
    <x v="2"/>
    <x v="2"/>
    <x v="1"/>
    <x v="1"/>
    <n v="13"/>
    <n v="24900"/>
    <n v="5"/>
    <n v="307515"/>
    <n v="4.8"/>
    <n v="20"/>
    <n v="58266"/>
    <s v="1 Year"/>
  </r>
  <r>
    <x v="1194"/>
    <n v="906395"/>
    <n v="36"/>
    <x v="0"/>
    <x v="43"/>
    <x v="0"/>
    <x v="3"/>
    <x v="3"/>
    <x v="3"/>
    <x v="0"/>
    <x v="1"/>
    <n v="4"/>
    <n v="84999"/>
    <n v="12"/>
    <n v="299196.48"/>
    <n v="4.5"/>
    <n v="20"/>
    <n v="61199.28"/>
    <s v="1 Year"/>
  </r>
  <r>
    <x v="1195"/>
    <n v="723620"/>
    <n v="66"/>
    <x v="1"/>
    <x v="43"/>
    <x v="0"/>
    <x v="2"/>
    <x v="2"/>
    <x v="4"/>
    <x v="2"/>
    <x v="1"/>
    <n v="6"/>
    <n v="69999"/>
    <n v="8"/>
    <n v="386394.48"/>
    <n v="4.8"/>
    <n v="20"/>
    <n v="75598.92"/>
    <s v="1 Year"/>
  </r>
  <r>
    <x v="1196"/>
    <n v="2273092"/>
    <n v="20"/>
    <x v="0"/>
    <x v="43"/>
    <x v="0"/>
    <x v="2"/>
    <x v="1"/>
    <x v="5"/>
    <x v="2"/>
    <x v="1"/>
    <n v="5"/>
    <n v="42999"/>
    <n v="15"/>
    <n v="182745.75"/>
    <n v="4.5999999999999996"/>
    <n v="20"/>
    <n v="38699.1"/>
    <s v="1 Year"/>
  </r>
  <r>
    <x v="1197"/>
    <n v="3012152"/>
    <n v="25"/>
    <x v="0"/>
    <x v="43"/>
    <x v="0"/>
    <x v="2"/>
    <x v="0"/>
    <x v="0"/>
    <x v="0"/>
    <x v="2"/>
    <n v="3"/>
    <n v="99999"/>
    <n v="10"/>
    <n v="269997.3"/>
    <n v="4.7"/>
    <n v="20"/>
    <n v="53999.46"/>
    <s v="6 Months"/>
  </r>
  <r>
    <x v="1198"/>
    <n v="9259471"/>
    <n v="40"/>
    <x v="0"/>
    <x v="43"/>
    <x v="0"/>
    <x v="0"/>
    <x v="1"/>
    <x v="1"/>
    <x v="1"/>
    <x v="2"/>
    <n v="31"/>
    <n v="4999"/>
    <n v="18"/>
    <n v="127074.58"/>
    <n v="4.4000000000000004"/>
    <n v="20"/>
    <n v="27894.42"/>
    <s v="6 Months"/>
  </r>
  <r>
    <x v="1199"/>
    <n v="1302840"/>
    <n v="45"/>
    <x v="0"/>
    <x v="43"/>
    <x v="0"/>
    <x v="3"/>
    <x v="2"/>
    <x v="2"/>
    <x v="1"/>
    <x v="2"/>
    <n v="12"/>
    <n v="24900"/>
    <n v="5"/>
    <n v="283860"/>
    <n v="4.8"/>
    <n v="20"/>
    <n v="53784"/>
    <s v="1 Year"/>
  </r>
  <r>
    <x v="1200"/>
    <n v="1876196"/>
    <n v="43"/>
    <x v="0"/>
    <x v="43"/>
    <x v="0"/>
    <x v="3"/>
    <x v="3"/>
    <x v="3"/>
    <x v="0"/>
    <x v="2"/>
    <n v="5"/>
    <n v="84999"/>
    <n v="12"/>
    <n v="373995.6"/>
    <n v="4.5"/>
    <n v="20"/>
    <n v="76499.099999999991"/>
    <s v="6 Months"/>
  </r>
  <r>
    <x v="1201"/>
    <n v="4476173"/>
    <n v="51"/>
    <x v="1"/>
    <x v="43"/>
    <x v="0"/>
    <x v="2"/>
    <x v="2"/>
    <x v="4"/>
    <x v="2"/>
    <x v="2"/>
    <n v="2"/>
    <n v="69999"/>
    <n v="8"/>
    <n v="128798.16"/>
    <n v="4.8"/>
    <n v="20"/>
    <n v="25199.64"/>
    <s v="1 Year"/>
  </r>
  <r>
    <x v="1202"/>
    <n v="4491955"/>
    <n v="23"/>
    <x v="0"/>
    <x v="43"/>
    <x v="0"/>
    <x v="0"/>
    <x v="1"/>
    <x v="5"/>
    <x v="2"/>
    <x v="2"/>
    <n v="11"/>
    <n v="42999"/>
    <n v="15"/>
    <n v="402040.65"/>
    <n v="4.5999999999999996"/>
    <n v="20"/>
    <n v="85138.02"/>
    <s v="1 Year"/>
  </r>
  <r>
    <x v="1203"/>
    <n v="1796463"/>
    <n v="33"/>
    <x v="0"/>
    <x v="43"/>
    <x v="0"/>
    <x v="0"/>
    <x v="0"/>
    <x v="0"/>
    <x v="0"/>
    <x v="3"/>
    <n v="5"/>
    <n v="99999"/>
    <n v="10"/>
    <n v="449995.5"/>
    <n v="4.7"/>
    <n v="20"/>
    <n v="89999.099999999991"/>
    <s v="6 Months"/>
  </r>
  <r>
    <x v="1204"/>
    <n v="7829542"/>
    <n v="26"/>
    <x v="0"/>
    <x v="43"/>
    <x v="0"/>
    <x v="0"/>
    <x v="1"/>
    <x v="1"/>
    <x v="1"/>
    <x v="3"/>
    <n v="60"/>
    <n v="4999"/>
    <n v="18"/>
    <n v="245950.8"/>
    <n v="4.4000000000000004"/>
    <n v="20"/>
    <n v="53989.2"/>
    <s v="1 Year"/>
  </r>
  <r>
    <x v="1205"/>
    <n v="186588"/>
    <n v="26"/>
    <x v="0"/>
    <x v="43"/>
    <x v="0"/>
    <x v="2"/>
    <x v="2"/>
    <x v="2"/>
    <x v="1"/>
    <x v="3"/>
    <n v="6"/>
    <n v="24900"/>
    <n v="5"/>
    <n v="141930"/>
    <n v="4.8"/>
    <n v="20"/>
    <n v="26892"/>
    <s v="6 Months"/>
  </r>
  <r>
    <x v="1206"/>
    <n v="5873849"/>
    <n v="37"/>
    <x v="0"/>
    <x v="43"/>
    <x v="0"/>
    <x v="3"/>
    <x v="3"/>
    <x v="3"/>
    <x v="0"/>
    <x v="3"/>
    <n v="4"/>
    <n v="84999"/>
    <n v="12"/>
    <n v="299196.48"/>
    <n v="4.5"/>
    <n v="20"/>
    <n v="61199.28"/>
    <s v="6 Months"/>
  </r>
  <r>
    <x v="1207"/>
    <n v="3993353"/>
    <n v="26"/>
    <x v="0"/>
    <x v="43"/>
    <x v="0"/>
    <x v="2"/>
    <x v="2"/>
    <x v="4"/>
    <x v="2"/>
    <x v="3"/>
    <n v="6"/>
    <n v="69999"/>
    <n v="8"/>
    <n v="386394.48"/>
    <n v="4.8"/>
    <n v="20"/>
    <n v="75598.92"/>
    <s v="1 Year"/>
  </r>
  <r>
    <x v="1208"/>
    <n v="1857124"/>
    <n v="41"/>
    <x v="0"/>
    <x v="43"/>
    <x v="0"/>
    <x v="3"/>
    <x v="1"/>
    <x v="5"/>
    <x v="2"/>
    <x v="3"/>
    <n v="10"/>
    <n v="42999"/>
    <n v="15"/>
    <n v="365491.5"/>
    <n v="4.5999999999999996"/>
    <n v="20"/>
    <n v="77398.2"/>
    <s v="1 Year"/>
  </r>
  <r>
    <x v="1209"/>
    <n v="9626926"/>
    <n v="40"/>
    <x v="0"/>
    <x v="43"/>
    <x v="0"/>
    <x v="0"/>
    <x v="0"/>
    <x v="0"/>
    <x v="0"/>
    <x v="4"/>
    <n v="3"/>
    <n v="99999"/>
    <n v="10"/>
    <n v="269997.3"/>
    <n v="4.7"/>
    <n v="20"/>
    <n v="53999.46"/>
    <s v="6 Months"/>
  </r>
  <r>
    <x v="1209"/>
    <n v="9626926"/>
    <n v="45"/>
    <x v="0"/>
    <x v="43"/>
    <x v="0"/>
    <x v="2"/>
    <x v="1"/>
    <x v="1"/>
    <x v="1"/>
    <x v="4"/>
    <n v="40"/>
    <n v="4999"/>
    <n v="18"/>
    <n v="163967.20000000001"/>
    <n v="4.4000000000000004"/>
    <n v="20"/>
    <n v="35992.799999999996"/>
    <s v="6 Months"/>
  </r>
  <r>
    <x v="1210"/>
    <n v="1415968"/>
    <n v="54"/>
    <x v="1"/>
    <x v="43"/>
    <x v="0"/>
    <x v="2"/>
    <x v="2"/>
    <x v="2"/>
    <x v="1"/>
    <x v="4"/>
    <n v="7"/>
    <n v="24900"/>
    <n v="5"/>
    <n v="165585"/>
    <n v="4.8"/>
    <n v="20"/>
    <n v="31374"/>
    <s v="1 Year"/>
  </r>
  <r>
    <x v="1211"/>
    <n v="6627745"/>
    <n v="27"/>
    <x v="0"/>
    <x v="43"/>
    <x v="0"/>
    <x v="5"/>
    <x v="3"/>
    <x v="3"/>
    <x v="0"/>
    <x v="4"/>
    <n v="6"/>
    <n v="84999"/>
    <n v="12"/>
    <n v="448794.72"/>
    <n v="4.5"/>
    <n v="20"/>
    <n v="91798.92"/>
    <s v="1 Year"/>
  </r>
  <r>
    <x v="1212"/>
    <n v="8703669"/>
    <n v="22"/>
    <x v="0"/>
    <x v="43"/>
    <x v="0"/>
    <x v="2"/>
    <x v="2"/>
    <x v="4"/>
    <x v="2"/>
    <x v="4"/>
    <n v="4"/>
    <n v="69999"/>
    <n v="8"/>
    <n v="257596.32"/>
    <n v="4.8"/>
    <n v="20"/>
    <n v="50399.28"/>
    <s v="1 Year"/>
  </r>
  <r>
    <x v="1213"/>
    <n v="4343369"/>
    <n v="39"/>
    <x v="0"/>
    <x v="43"/>
    <x v="0"/>
    <x v="2"/>
    <x v="1"/>
    <x v="5"/>
    <x v="2"/>
    <x v="4"/>
    <n v="9"/>
    <n v="42999"/>
    <n v="15"/>
    <n v="328942.34999999998"/>
    <n v="4.5999999999999996"/>
    <n v="20"/>
    <n v="69658.38"/>
    <s v="1 Year"/>
  </r>
  <r>
    <x v="1214"/>
    <n v="8061913"/>
    <n v="40"/>
    <x v="0"/>
    <x v="44"/>
    <x v="0"/>
    <x v="2"/>
    <x v="0"/>
    <x v="0"/>
    <x v="0"/>
    <x v="0"/>
    <n v="3"/>
    <n v="99999"/>
    <n v="10"/>
    <n v="269997.3"/>
    <n v="4.7"/>
    <n v="20"/>
    <n v="53999.46"/>
    <s v="6 Months"/>
  </r>
  <r>
    <x v="1215"/>
    <n v="1461013"/>
    <n v="45"/>
    <x v="0"/>
    <x v="44"/>
    <x v="0"/>
    <x v="0"/>
    <x v="1"/>
    <x v="1"/>
    <x v="1"/>
    <x v="0"/>
    <n v="55"/>
    <n v="4999"/>
    <n v="18"/>
    <n v="225454.9"/>
    <n v="4.4000000000000004"/>
    <n v="20"/>
    <n v="49490.1"/>
    <s v="1 Year"/>
  </r>
  <r>
    <x v="1216"/>
    <n v="7692743"/>
    <n v="27"/>
    <x v="0"/>
    <x v="44"/>
    <x v="0"/>
    <x v="2"/>
    <x v="2"/>
    <x v="2"/>
    <x v="1"/>
    <x v="0"/>
    <n v="10"/>
    <n v="24900"/>
    <n v="5"/>
    <n v="236550"/>
    <n v="4.8"/>
    <n v="20"/>
    <n v="44820"/>
    <s v="6 Months"/>
  </r>
  <r>
    <x v="1217"/>
    <n v="1974544"/>
    <n v="74"/>
    <x v="1"/>
    <x v="44"/>
    <x v="0"/>
    <x v="2"/>
    <x v="3"/>
    <x v="3"/>
    <x v="0"/>
    <x v="0"/>
    <n v="5"/>
    <n v="84999"/>
    <n v="12"/>
    <n v="373995.6"/>
    <n v="4.5"/>
    <n v="20"/>
    <n v="76499.099999999991"/>
    <s v="6 Months"/>
  </r>
  <r>
    <x v="1218"/>
    <n v="7274697"/>
    <n v="68"/>
    <x v="1"/>
    <x v="44"/>
    <x v="0"/>
    <x v="0"/>
    <x v="2"/>
    <x v="4"/>
    <x v="2"/>
    <x v="0"/>
    <n v="6"/>
    <n v="69999"/>
    <n v="8"/>
    <n v="386394.48"/>
    <n v="4.8"/>
    <n v="20"/>
    <n v="75598.92"/>
    <s v="1 Year"/>
  </r>
  <r>
    <x v="1219"/>
    <n v="2470566"/>
    <n v="41"/>
    <x v="0"/>
    <x v="44"/>
    <x v="2"/>
    <x v="2"/>
    <x v="1"/>
    <x v="5"/>
    <x v="2"/>
    <x v="0"/>
    <n v="11"/>
    <n v="42999"/>
    <n v="15"/>
    <n v="402040.65"/>
    <n v="4.5999999999999996"/>
    <n v="20"/>
    <n v="85138.02"/>
    <s v="6 Months"/>
  </r>
  <r>
    <x v="1220"/>
    <n v="6374128"/>
    <n v="29"/>
    <x v="0"/>
    <x v="44"/>
    <x v="0"/>
    <x v="2"/>
    <x v="0"/>
    <x v="0"/>
    <x v="0"/>
    <x v="1"/>
    <n v="6"/>
    <n v="99999"/>
    <n v="10"/>
    <n v="539994.6"/>
    <n v="4.7"/>
    <n v="20"/>
    <n v="107998.92"/>
    <s v="1 Year"/>
  </r>
  <r>
    <x v="1221"/>
    <n v="863695"/>
    <n v="31"/>
    <x v="0"/>
    <x v="44"/>
    <x v="0"/>
    <x v="1"/>
    <x v="1"/>
    <x v="1"/>
    <x v="1"/>
    <x v="1"/>
    <n v="32"/>
    <n v="4999"/>
    <n v="18"/>
    <n v="131173.76000000001"/>
    <n v="4.4000000000000004"/>
    <n v="20"/>
    <n v="28794.239999999998"/>
    <s v="1 Year"/>
  </r>
  <r>
    <x v="1222"/>
    <n v="4798045"/>
    <n v="42"/>
    <x v="0"/>
    <x v="44"/>
    <x v="3"/>
    <x v="2"/>
    <x v="2"/>
    <x v="2"/>
    <x v="1"/>
    <x v="1"/>
    <n v="8"/>
    <n v="24900"/>
    <n v="5"/>
    <n v="189240"/>
    <n v="4.8"/>
    <n v="20"/>
    <n v="35856"/>
    <s v="1 Year"/>
  </r>
  <r>
    <x v="1223"/>
    <n v="556797"/>
    <n v="47"/>
    <x v="0"/>
    <x v="44"/>
    <x v="0"/>
    <x v="1"/>
    <x v="3"/>
    <x v="3"/>
    <x v="0"/>
    <x v="1"/>
    <n v="2"/>
    <n v="84999"/>
    <n v="12"/>
    <n v="149598.24"/>
    <n v="4.5"/>
    <n v="20"/>
    <n v="30599.64"/>
    <s v="1 Year"/>
  </r>
  <r>
    <x v="1224"/>
    <n v="8490472"/>
    <n v="24"/>
    <x v="0"/>
    <x v="44"/>
    <x v="0"/>
    <x v="4"/>
    <x v="2"/>
    <x v="4"/>
    <x v="2"/>
    <x v="1"/>
    <n v="5"/>
    <n v="69999"/>
    <n v="8"/>
    <n v="321995.40000000002"/>
    <n v="4.8"/>
    <n v="20"/>
    <n v="62999.1"/>
    <s v="1 Year"/>
  </r>
  <r>
    <x v="1225"/>
    <n v="8775744"/>
    <n v="27"/>
    <x v="0"/>
    <x v="44"/>
    <x v="0"/>
    <x v="1"/>
    <x v="1"/>
    <x v="5"/>
    <x v="2"/>
    <x v="1"/>
    <n v="7"/>
    <n v="42999"/>
    <n v="15"/>
    <n v="255844.05"/>
    <n v="4.5999999999999996"/>
    <n v="20"/>
    <n v="54178.74"/>
    <s v="1 Year"/>
  </r>
  <r>
    <x v="1226"/>
    <n v="7924642"/>
    <n v="43"/>
    <x v="0"/>
    <x v="44"/>
    <x v="0"/>
    <x v="0"/>
    <x v="0"/>
    <x v="0"/>
    <x v="0"/>
    <x v="2"/>
    <n v="3"/>
    <n v="99999"/>
    <n v="10"/>
    <n v="269997.3"/>
    <n v="4.7"/>
    <n v="20"/>
    <n v="53999.46"/>
    <s v="1 Year"/>
  </r>
  <r>
    <x v="1227"/>
    <n v="3739037"/>
    <n v="54"/>
    <x v="1"/>
    <x v="44"/>
    <x v="0"/>
    <x v="2"/>
    <x v="1"/>
    <x v="1"/>
    <x v="1"/>
    <x v="2"/>
    <n v="26"/>
    <n v="4999"/>
    <n v="18"/>
    <n v="106578.68"/>
    <n v="4.4000000000000004"/>
    <n v="20"/>
    <n v="23395.32"/>
    <s v="1 Year"/>
  </r>
  <r>
    <x v="1228"/>
    <n v="3392351"/>
    <n v="32"/>
    <x v="0"/>
    <x v="44"/>
    <x v="0"/>
    <x v="2"/>
    <x v="2"/>
    <x v="2"/>
    <x v="1"/>
    <x v="2"/>
    <n v="11"/>
    <n v="24900"/>
    <n v="5"/>
    <n v="260205"/>
    <n v="4.8"/>
    <n v="20"/>
    <n v="49302"/>
    <s v="1 Year"/>
  </r>
  <r>
    <x v="1229"/>
    <n v="3583244"/>
    <n v="46"/>
    <x v="0"/>
    <x v="44"/>
    <x v="0"/>
    <x v="2"/>
    <x v="3"/>
    <x v="3"/>
    <x v="0"/>
    <x v="2"/>
    <n v="3"/>
    <n v="84999"/>
    <n v="12"/>
    <n v="224397.36"/>
    <n v="4.5"/>
    <n v="20"/>
    <n v="45899.46"/>
    <s v="1 Year"/>
  </r>
  <r>
    <x v="1230"/>
    <n v="1004509"/>
    <n v="18"/>
    <x v="2"/>
    <x v="44"/>
    <x v="0"/>
    <x v="2"/>
    <x v="2"/>
    <x v="4"/>
    <x v="2"/>
    <x v="2"/>
    <n v="4"/>
    <n v="69999"/>
    <n v="8"/>
    <n v="257596.32"/>
    <n v="4.8"/>
    <n v="20"/>
    <n v="50399.28"/>
    <s v="1 Year"/>
  </r>
  <r>
    <x v="1231"/>
    <n v="5149604"/>
    <n v="49"/>
    <x v="0"/>
    <x v="44"/>
    <x v="0"/>
    <x v="2"/>
    <x v="1"/>
    <x v="5"/>
    <x v="2"/>
    <x v="2"/>
    <n v="6"/>
    <n v="42999"/>
    <n v="15"/>
    <n v="219294.9"/>
    <n v="4.5999999999999996"/>
    <n v="20"/>
    <n v="46438.92"/>
    <s v="6 Months"/>
  </r>
  <r>
    <x v="1232"/>
    <n v="4945874"/>
    <n v="35"/>
    <x v="0"/>
    <x v="44"/>
    <x v="0"/>
    <x v="3"/>
    <x v="0"/>
    <x v="0"/>
    <x v="0"/>
    <x v="3"/>
    <n v="4"/>
    <n v="99999"/>
    <n v="10"/>
    <n v="359996.4"/>
    <n v="4.7"/>
    <n v="20"/>
    <n v="71999.28"/>
    <s v="1 Year"/>
  </r>
  <r>
    <x v="1233"/>
    <n v="8370679"/>
    <n v="45"/>
    <x v="0"/>
    <x v="44"/>
    <x v="0"/>
    <x v="0"/>
    <x v="1"/>
    <x v="1"/>
    <x v="1"/>
    <x v="3"/>
    <n v="52"/>
    <n v="4999"/>
    <n v="18"/>
    <n v="213157.36"/>
    <n v="4.4000000000000004"/>
    <n v="20"/>
    <n v="46790.64"/>
    <s v="6 Months"/>
  </r>
  <r>
    <x v="1234"/>
    <n v="9757288"/>
    <n v="26"/>
    <x v="0"/>
    <x v="44"/>
    <x v="0"/>
    <x v="2"/>
    <x v="2"/>
    <x v="2"/>
    <x v="1"/>
    <x v="3"/>
    <n v="6"/>
    <n v="24900"/>
    <n v="5"/>
    <n v="141930"/>
    <n v="4.8"/>
    <n v="20"/>
    <n v="26892"/>
    <s v="1 Year"/>
  </r>
  <r>
    <x v="1235"/>
    <n v="3422175"/>
    <n v="27"/>
    <x v="0"/>
    <x v="44"/>
    <x v="0"/>
    <x v="3"/>
    <x v="3"/>
    <x v="3"/>
    <x v="0"/>
    <x v="3"/>
    <n v="4"/>
    <n v="84999"/>
    <n v="12"/>
    <n v="299196.48"/>
    <n v="4.5"/>
    <n v="20"/>
    <n v="61199.28"/>
    <s v="1 Year"/>
  </r>
  <r>
    <x v="1236"/>
    <n v="975836"/>
    <n v="22"/>
    <x v="0"/>
    <x v="44"/>
    <x v="0"/>
    <x v="2"/>
    <x v="2"/>
    <x v="4"/>
    <x v="2"/>
    <x v="3"/>
    <n v="2"/>
    <n v="69999"/>
    <n v="8"/>
    <n v="128798.16"/>
    <n v="4.8"/>
    <n v="20"/>
    <n v="25199.64"/>
    <s v="6 Months"/>
  </r>
  <r>
    <x v="1237"/>
    <n v="5339654"/>
    <n v="45"/>
    <x v="0"/>
    <x v="44"/>
    <x v="0"/>
    <x v="0"/>
    <x v="1"/>
    <x v="5"/>
    <x v="2"/>
    <x v="3"/>
    <n v="7"/>
    <n v="42999"/>
    <n v="15"/>
    <n v="255844.05"/>
    <n v="4.5999999999999996"/>
    <n v="20"/>
    <n v="54178.74"/>
    <s v="1 Year"/>
  </r>
  <r>
    <x v="1238"/>
    <n v="8807415"/>
    <n v="46"/>
    <x v="0"/>
    <x v="44"/>
    <x v="0"/>
    <x v="2"/>
    <x v="0"/>
    <x v="0"/>
    <x v="0"/>
    <x v="4"/>
    <n v="6"/>
    <n v="99999"/>
    <n v="10"/>
    <n v="539994.6"/>
    <n v="4.7"/>
    <n v="20"/>
    <n v="107998.92"/>
    <s v="1 Year"/>
  </r>
  <r>
    <x v="1239"/>
    <n v="2584311"/>
    <n v="40"/>
    <x v="0"/>
    <x v="44"/>
    <x v="0"/>
    <x v="2"/>
    <x v="1"/>
    <x v="1"/>
    <x v="1"/>
    <x v="4"/>
    <n v="40"/>
    <n v="4999"/>
    <n v="18"/>
    <n v="163967.20000000001"/>
    <n v="4.4000000000000004"/>
    <n v="20"/>
    <n v="35992.799999999996"/>
    <s v="6 Months"/>
  </r>
  <r>
    <x v="1240"/>
    <n v="6248918"/>
    <n v="43"/>
    <x v="0"/>
    <x v="44"/>
    <x v="0"/>
    <x v="2"/>
    <x v="2"/>
    <x v="2"/>
    <x v="1"/>
    <x v="4"/>
    <n v="7"/>
    <n v="24900"/>
    <n v="5"/>
    <n v="165585"/>
    <n v="4.8"/>
    <n v="20"/>
    <n v="31374"/>
    <s v="1 Year"/>
  </r>
  <r>
    <x v="1241"/>
    <n v="8830580"/>
    <n v="50"/>
    <x v="1"/>
    <x v="44"/>
    <x v="3"/>
    <x v="2"/>
    <x v="3"/>
    <x v="3"/>
    <x v="0"/>
    <x v="4"/>
    <n v="5"/>
    <n v="84999"/>
    <n v="12"/>
    <n v="373995.6"/>
    <n v="4.5"/>
    <n v="20"/>
    <n v="76499.099999999991"/>
    <s v="1 Year"/>
  </r>
  <r>
    <x v="1242"/>
    <n v="7466394"/>
    <n v="47"/>
    <x v="0"/>
    <x v="44"/>
    <x v="0"/>
    <x v="2"/>
    <x v="2"/>
    <x v="4"/>
    <x v="2"/>
    <x v="4"/>
    <n v="5"/>
    <n v="69999"/>
    <n v="8"/>
    <n v="321995.40000000002"/>
    <n v="4.8"/>
    <n v="20"/>
    <n v="62999.1"/>
    <s v="6 Months"/>
  </r>
  <r>
    <x v="1243"/>
    <n v="8156341"/>
    <n v="46"/>
    <x v="0"/>
    <x v="44"/>
    <x v="0"/>
    <x v="1"/>
    <x v="1"/>
    <x v="5"/>
    <x v="2"/>
    <x v="4"/>
    <n v="5"/>
    <n v="42999"/>
    <n v="15"/>
    <n v="182745.75"/>
    <n v="4.5999999999999996"/>
    <n v="20"/>
    <n v="38699.1"/>
    <s v="6 Months"/>
  </r>
  <r>
    <x v="1244"/>
    <n v="5346372"/>
    <n v="72"/>
    <x v="1"/>
    <x v="45"/>
    <x v="2"/>
    <x v="4"/>
    <x v="0"/>
    <x v="0"/>
    <x v="0"/>
    <x v="0"/>
    <n v="5"/>
    <n v="99999"/>
    <n v="10"/>
    <n v="449995.5"/>
    <n v="4.7"/>
    <n v="20"/>
    <n v="89999.099999999991"/>
    <s v="1 Year"/>
  </r>
  <r>
    <x v="1244"/>
    <n v="5346372"/>
    <n v="35"/>
    <x v="0"/>
    <x v="45"/>
    <x v="0"/>
    <x v="1"/>
    <x v="1"/>
    <x v="1"/>
    <x v="1"/>
    <x v="0"/>
    <n v="55"/>
    <n v="4999"/>
    <n v="18"/>
    <n v="225454.9"/>
    <n v="4.4000000000000004"/>
    <n v="20"/>
    <n v="49490.1"/>
    <s v="6 Months"/>
  </r>
  <r>
    <x v="1245"/>
    <n v="2452708"/>
    <n v="31"/>
    <x v="0"/>
    <x v="45"/>
    <x v="0"/>
    <x v="0"/>
    <x v="2"/>
    <x v="2"/>
    <x v="1"/>
    <x v="0"/>
    <n v="6"/>
    <n v="24900"/>
    <n v="5"/>
    <n v="141930"/>
    <n v="4.8"/>
    <n v="20"/>
    <n v="26892"/>
    <s v="1 Year"/>
  </r>
  <r>
    <x v="1246"/>
    <n v="7338347"/>
    <n v="18"/>
    <x v="2"/>
    <x v="45"/>
    <x v="0"/>
    <x v="0"/>
    <x v="3"/>
    <x v="3"/>
    <x v="0"/>
    <x v="0"/>
    <n v="5"/>
    <n v="84999"/>
    <n v="12"/>
    <n v="373995.6"/>
    <n v="4.5"/>
    <n v="20"/>
    <n v="76499.099999999991"/>
    <s v="6 Months"/>
  </r>
  <r>
    <x v="1247"/>
    <n v="211892"/>
    <n v="22"/>
    <x v="0"/>
    <x v="45"/>
    <x v="0"/>
    <x v="2"/>
    <x v="2"/>
    <x v="4"/>
    <x v="2"/>
    <x v="0"/>
    <n v="6"/>
    <n v="69999"/>
    <n v="8"/>
    <n v="386394.48"/>
    <n v="4.8"/>
    <n v="20"/>
    <n v="75598.92"/>
    <s v="1 Year"/>
  </r>
  <r>
    <x v="1248"/>
    <n v="7532609"/>
    <n v="63"/>
    <x v="1"/>
    <x v="45"/>
    <x v="0"/>
    <x v="3"/>
    <x v="1"/>
    <x v="5"/>
    <x v="2"/>
    <x v="0"/>
    <n v="11"/>
    <n v="42999"/>
    <n v="15"/>
    <n v="402040.65"/>
    <n v="4.5999999999999996"/>
    <n v="20"/>
    <n v="85138.02"/>
    <s v="1 Year"/>
  </r>
  <r>
    <x v="1249"/>
    <n v="6043726"/>
    <n v="47"/>
    <x v="0"/>
    <x v="45"/>
    <x v="2"/>
    <x v="2"/>
    <x v="0"/>
    <x v="0"/>
    <x v="0"/>
    <x v="1"/>
    <n v="6"/>
    <n v="99999"/>
    <n v="10"/>
    <n v="539994.6"/>
    <n v="4.7"/>
    <n v="20"/>
    <n v="107998.92"/>
    <s v="1 Year"/>
  </r>
  <r>
    <x v="1250"/>
    <n v="1712596"/>
    <n v="35"/>
    <x v="0"/>
    <x v="45"/>
    <x v="2"/>
    <x v="3"/>
    <x v="1"/>
    <x v="1"/>
    <x v="1"/>
    <x v="1"/>
    <n v="55"/>
    <n v="4999"/>
    <n v="18"/>
    <n v="225454.9"/>
    <n v="4.4000000000000004"/>
    <n v="20"/>
    <n v="49490.1"/>
    <s v="6 Months"/>
  </r>
  <r>
    <x v="1251"/>
    <n v="8411773"/>
    <n v="41"/>
    <x v="0"/>
    <x v="45"/>
    <x v="0"/>
    <x v="2"/>
    <x v="2"/>
    <x v="2"/>
    <x v="1"/>
    <x v="1"/>
    <n v="12"/>
    <n v="24900"/>
    <n v="5"/>
    <n v="283860"/>
    <n v="4.8"/>
    <n v="20"/>
    <n v="53784"/>
    <s v="1 Year"/>
  </r>
  <r>
    <x v="1252"/>
    <n v="7844529"/>
    <n v="46"/>
    <x v="0"/>
    <x v="45"/>
    <x v="0"/>
    <x v="0"/>
    <x v="3"/>
    <x v="3"/>
    <x v="0"/>
    <x v="1"/>
    <n v="6"/>
    <n v="84999"/>
    <n v="12"/>
    <n v="448794.72"/>
    <n v="4.5"/>
    <n v="20"/>
    <n v="91798.92"/>
    <s v="1 Year"/>
  </r>
  <r>
    <x v="1253"/>
    <n v="3775810"/>
    <n v="44"/>
    <x v="0"/>
    <x v="45"/>
    <x v="3"/>
    <x v="2"/>
    <x v="2"/>
    <x v="4"/>
    <x v="2"/>
    <x v="1"/>
    <n v="2"/>
    <n v="69999"/>
    <n v="8"/>
    <n v="128798.16"/>
    <n v="4.8"/>
    <n v="20"/>
    <n v="25199.64"/>
    <s v="1 Year"/>
  </r>
  <r>
    <x v="1254"/>
    <n v="9012771"/>
    <n v="19"/>
    <x v="2"/>
    <x v="45"/>
    <x v="0"/>
    <x v="2"/>
    <x v="1"/>
    <x v="5"/>
    <x v="2"/>
    <x v="1"/>
    <n v="9"/>
    <n v="42999"/>
    <n v="15"/>
    <n v="328942.34999999998"/>
    <n v="4.5999999999999996"/>
    <n v="20"/>
    <n v="69658.38"/>
    <s v="1 Year"/>
  </r>
  <r>
    <x v="1255"/>
    <n v="9136525"/>
    <n v="29"/>
    <x v="0"/>
    <x v="45"/>
    <x v="0"/>
    <x v="2"/>
    <x v="0"/>
    <x v="0"/>
    <x v="0"/>
    <x v="2"/>
    <n v="6"/>
    <n v="99999"/>
    <n v="10"/>
    <n v="539994.6"/>
    <n v="4.7"/>
    <n v="20"/>
    <n v="107998.92"/>
    <s v="6 Months"/>
  </r>
  <r>
    <x v="1255"/>
    <n v="9136525"/>
    <n v="34"/>
    <x v="0"/>
    <x v="45"/>
    <x v="0"/>
    <x v="4"/>
    <x v="1"/>
    <x v="1"/>
    <x v="1"/>
    <x v="2"/>
    <n v="24"/>
    <n v="4999"/>
    <n v="18"/>
    <n v="98380.32"/>
    <n v="4.4000000000000004"/>
    <n v="20"/>
    <n v="21595.68"/>
    <s v="1 Year"/>
  </r>
  <r>
    <x v="1256"/>
    <n v="6279695"/>
    <n v="60"/>
    <x v="1"/>
    <x v="45"/>
    <x v="3"/>
    <x v="0"/>
    <x v="2"/>
    <x v="2"/>
    <x v="1"/>
    <x v="2"/>
    <n v="14"/>
    <n v="24900"/>
    <n v="5"/>
    <n v="331170"/>
    <n v="4.8"/>
    <n v="20"/>
    <n v="62748"/>
    <s v="1 Year"/>
  </r>
  <r>
    <x v="1257"/>
    <n v="6817306"/>
    <n v="30"/>
    <x v="0"/>
    <x v="45"/>
    <x v="0"/>
    <x v="3"/>
    <x v="3"/>
    <x v="3"/>
    <x v="0"/>
    <x v="2"/>
    <n v="3"/>
    <n v="84999"/>
    <n v="12"/>
    <n v="224397.36"/>
    <n v="4.5"/>
    <n v="20"/>
    <n v="45899.46"/>
    <s v="1 Year"/>
  </r>
  <r>
    <x v="1258"/>
    <n v="7298234"/>
    <n v="49"/>
    <x v="0"/>
    <x v="45"/>
    <x v="0"/>
    <x v="3"/>
    <x v="2"/>
    <x v="4"/>
    <x v="2"/>
    <x v="2"/>
    <n v="6"/>
    <n v="69999"/>
    <n v="8"/>
    <n v="386394.48"/>
    <n v="4.8"/>
    <n v="20"/>
    <n v="75598.92"/>
    <s v="1 Year"/>
  </r>
  <r>
    <x v="1259"/>
    <n v="4771236"/>
    <n v="28"/>
    <x v="0"/>
    <x v="45"/>
    <x v="0"/>
    <x v="0"/>
    <x v="1"/>
    <x v="5"/>
    <x v="2"/>
    <x v="2"/>
    <n v="8"/>
    <n v="42999"/>
    <n v="15"/>
    <n v="292393.2"/>
    <n v="4.5999999999999996"/>
    <n v="20"/>
    <n v="61918.559999999998"/>
    <s v="6 Months"/>
  </r>
  <r>
    <x v="1260"/>
    <n v="2906637"/>
    <n v="23"/>
    <x v="0"/>
    <x v="45"/>
    <x v="0"/>
    <x v="2"/>
    <x v="0"/>
    <x v="0"/>
    <x v="0"/>
    <x v="3"/>
    <n v="5"/>
    <n v="99999"/>
    <n v="10"/>
    <n v="449995.5"/>
    <n v="4.7"/>
    <n v="20"/>
    <n v="89999.099999999991"/>
    <s v="6 Months"/>
  </r>
  <r>
    <x v="1261"/>
    <n v="6316473"/>
    <n v="39"/>
    <x v="0"/>
    <x v="45"/>
    <x v="0"/>
    <x v="4"/>
    <x v="1"/>
    <x v="1"/>
    <x v="1"/>
    <x v="3"/>
    <n v="36"/>
    <n v="4999"/>
    <n v="18"/>
    <n v="147570.48000000001"/>
    <n v="4.4000000000000004"/>
    <n v="20"/>
    <n v="32393.52"/>
    <s v="1 Year"/>
  </r>
  <r>
    <x v="1262"/>
    <n v="1860368"/>
    <n v="62"/>
    <x v="1"/>
    <x v="45"/>
    <x v="0"/>
    <x v="1"/>
    <x v="2"/>
    <x v="2"/>
    <x v="1"/>
    <x v="3"/>
    <n v="12"/>
    <n v="24900"/>
    <n v="5"/>
    <n v="283860"/>
    <n v="4.8"/>
    <n v="20"/>
    <n v="53784"/>
    <s v="1 Year"/>
  </r>
  <r>
    <x v="1263"/>
    <n v="7120808"/>
    <n v="36"/>
    <x v="0"/>
    <x v="45"/>
    <x v="0"/>
    <x v="4"/>
    <x v="3"/>
    <x v="3"/>
    <x v="0"/>
    <x v="3"/>
    <n v="6"/>
    <n v="84999"/>
    <n v="12"/>
    <n v="448794.72"/>
    <n v="4.5"/>
    <n v="20"/>
    <n v="91798.92"/>
    <s v="1 Year"/>
  </r>
  <r>
    <x v="1264"/>
    <n v="8385584"/>
    <n v="22"/>
    <x v="0"/>
    <x v="45"/>
    <x v="0"/>
    <x v="2"/>
    <x v="2"/>
    <x v="4"/>
    <x v="2"/>
    <x v="3"/>
    <n v="3"/>
    <n v="69999"/>
    <n v="8"/>
    <n v="193197.24"/>
    <n v="4.8"/>
    <n v="20"/>
    <n v="37799.46"/>
    <s v="1 Year"/>
  </r>
  <r>
    <x v="1264"/>
    <n v="8385584"/>
    <n v="41"/>
    <x v="0"/>
    <x v="45"/>
    <x v="0"/>
    <x v="5"/>
    <x v="1"/>
    <x v="5"/>
    <x v="2"/>
    <x v="3"/>
    <n v="6"/>
    <n v="42999"/>
    <n v="15"/>
    <n v="219294.9"/>
    <n v="4.5999999999999996"/>
    <n v="20"/>
    <n v="46438.92"/>
    <s v="1 Year"/>
  </r>
  <r>
    <x v="1265"/>
    <n v="8409362"/>
    <n v="42"/>
    <x v="0"/>
    <x v="45"/>
    <x v="1"/>
    <x v="2"/>
    <x v="0"/>
    <x v="0"/>
    <x v="0"/>
    <x v="4"/>
    <n v="6"/>
    <n v="99999"/>
    <n v="10"/>
    <n v="539994.6"/>
    <n v="4.7"/>
    <n v="20"/>
    <n v="107998.92"/>
    <s v="1 Year"/>
  </r>
  <r>
    <x v="1266"/>
    <n v="3508652"/>
    <n v="24"/>
    <x v="0"/>
    <x v="45"/>
    <x v="0"/>
    <x v="1"/>
    <x v="1"/>
    <x v="1"/>
    <x v="1"/>
    <x v="4"/>
    <n v="48"/>
    <n v="4999"/>
    <n v="18"/>
    <n v="196760.64"/>
    <n v="4.4000000000000004"/>
    <n v="20"/>
    <n v="43191.360000000001"/>
    <s v="6 Months"/>
  </r>
  <r>
    <x v="1267"/>
    <n v="7981359"/>
    <n v="21"/>
    <x v="0"/>
    <x v="45"/>
    <x v="0"/>
    <x v="2"/>
    <x v="2"/>
    <x v="2"/>
    <x v="1"/>
    <x v="4"/>
    <n v="5"/>
    <n v="24900"/>
    <n v="5"/>
    <n v="118275"/>
    <n v="4.8"/>
    <n v="20"/>
    <n v="22410"/>
    <s v="1 Year"/>
  </r>
  <r>
    <x v="1268"/>
    <n v="7938814"/>
    <n v="32"/>
    <x v="0"/>
    <x v="45"/>
    <x v="0"/>
    <x v="2"/>
    <x v="3"/>
    <x v="3"/>
    <x v="0"/>
    <x v="4"/>
    <n v="3"/>
    <n v="84999"/>
    <n v="12"/>
    <n v="224397.36"/>
    <n v="4.5"/>
    <n v="20"/>
    <n v="45899.46"/>
    <s v="1 Year"/>
  </r>
  <r>
    <x v="1269"/>
    <n v="5730087"/>
    <n v="54"/>
    <x v="1"/>
    <x v="45"/>
    <x v="0"/>
    <x v="0"/>
    <x v="2"/>
    <x v="4"/>
    <x v="2"/>
    <x v="4"/>
    <n v="6"/>
    <n v="69999"/>
    <n v="8"/>
    <n v="386394.48"/>
    <n v="4.8"/>
    <n v="20"/>
    <n v="75598.92"/>
    <s v="6 Months"/>
  </r>
  <r>
    <x v="1270"/>
    <n v="1008629"/>
    <n v="19"/>
    <x v="2"/>
    <x v="45"/>
    <x v="0"/>
    <x v="0"/>
    <x v="1"/>
    <x v="5"/>
    <x v="2"/>
    <x v="4"/>
    <n v="10"/>
    <n v="42999"/>
    <n v="15"/>
    <n v="365491.5"/>
    <n v="4.5999999999999996"/>
    <n v="20"/>
    <n v="77398.2"/>
    <s v="1 Year"/>
  </r>
  <r>
    <x v="1271"/>
    <n v="1528185"/>
    <n v="36"/>
    <x v="0"/>
    <x v="46"/>
    <x v="0"/>
    <x v="5"/>
    <x v="0"/>
    <x v="0"/>
    <x v="0"/>
    <x v="0"/>
    <n v="3"/>
    <n v="99999"/>
    <n v="10"/>
    <n v="269997.3"/>
    <n v="4.7"/>
    <n v="20"/>
    <n v="53999.46"/>
    <s v="6 Months"/>
  </r>
  <r>
    <x v="1272"/>
    <n v="1908576"/>
    <n v="46"/>
    <x v="0"/>
    <x v="46"/>
    <x v="0"/>
    <x v="2"/>
    <x v="1"/>
    <x v="1"/>
    <x v="1"/>
    <x v="0"/>
    <n v="46"/>
    <n v="4999"/>
    <n v="18"/>
    <n v="188562.28"/>
    <n v="4.4000000000000004"/>
    <n v="20"/>
    <n v="41391.72"/>
    <s v="1 Year"/>
  </r>
  <r>
    <x v="1273"/>
    <n v="8035303"/>
    <n v="26"/>
    <x v="0"/>
    <x v="46"/>
    <x v="0"/>
    <x v="2"/>
    <x v="2"/>
    <x v="2"/>
    <x v="1"/>
    <x v="0"/>
    <n v="10"/>
    <n v="24900"/>
    <n v="5"/>
    <n v="236550"/>
    <n v="4.8"/>
    <n v="20"/>
    <n v="44820"/>
    <s v="1 Year"/>
  </r>
  <r>
    <x v="1274"/>
    <n v="9696755"/>
    <n v="31"/>
    <x v="0"/>
    <x v="46"/>
    <x v="0"/>
    <x v="2"/>
    <x v="3"/>
    <x v="3"/>
    <x v="0"/>
    <x v="0"/>
    <n v="3"/>
    <n v="84999"/>
    <n v="12"/>
    <n v="224397.36"/>
    <n v="4.5"/>
    <n v="20"/>
    <n v="45899.46"/>
    <s v="1 Year"/>
  </r>
  <r>
    <x v="1275"/>
    <n v="1679192"/>
    <n v="64"/>
    <x v="1"/>
    <x v="46"/>
    <x v="0"/>
    <x v="0"/>
    <x v="2"/>
    <x v="4"/>
    <x v="2"/>
    <x v="0"/>
    <n v="4"/>
    <n v="69999"/>
    <n v="8"/>
    <n v="257596.32"/>
    <n v="4.8"/>
    <n v="20"/>
    <n v="50399.28"/>
    <s v="1 Year"/>
  </r>
  <r>
    <x v="1276"/>
    <n v="1564787"/>
    <n v="43"/>
    <x v="0"/>
    <x v="46"/>
    <x v="0"/>
    <x v="2"/>
    <x v="1"/>
    <x v="5"/>
    <x v="2"/>
    <x v="0"/>
    <n v="9"/>
    <n v="42999"/>
    <n v="15"/>
    <n v="328942.34999999998"/>
    <n v="4.5999999999999996"/>
    <n v="20"/>
    <n v="69658.38"/>
    <s v="1 Year"/>
  </r>
  <r>
    <x v="1277"/>
    <n v="3896824"/>
    <n v="75"/>
    <x v="1"/>
    <x v="46"/>
    <x v="0"/>
    <x v="2"/>
    <x v="0"/>
    <x v="0"/>
    <x v="0"/>
    <x v="1"/>
    <n v="3"/>
    <n v="99999"/>
    <n v="10"/>
    <n v="269997.3"/>
    <n v="4.7"/>
    <n v="20"/>
    <n v="53999.46"/>
    <s v="1 Year"/>
  </r>
  <r>
    <x v="1278"/>
    <n v="6528768"/>
    <n v="44"/>
    <x v="0"/>
    <x v="46"/>
    <x v="2"/>
    <x v="2"/>
    <x v="1"/>
    <x v="1"/>
    <x v="1"/>
    <x v="1"/>
    <n v="65"/>
    <n v="4999"/>
    <n v="18"/>
    <n v="266446.7"/>
    <n v="4.4000000000000004"/>
    <n v="20"/>
    <n v="58488.299999999996"/>
    <s v="6 Months"/>
  </r>
  <r>
    <x v="1279"/>
    <n v="5099210"/>
    <n v="22"/>
    <x v="0"/>
    <x v="46"/>
    <x v="2"/>
    <x v="2"/>
    <x v="2"/>
    <x v="2"/>
    <x v="1"/>
    <x v="1"/>
    <n v="12"/>
    <n v="24900"/>
    <n v="5"/>
    <n v="283860"/>
    <n v="4.8"/>
    <n v="20"/>
    <n v="53784"/>
    <s v="1 Year"/>
  </r>
  <r>
    <x v="1280"/>
    <n v="6350746"/>
    <n v="28"/>
    <x v="0"/>
    <x v="46"/>
    <x v="2"/>
    <x v="5"/>
    <x v="3"/>
    <x v="3"/>
    <x v="0"/>
    <x v="1"/>
    <n v="3"/>
    <n v="84999"/>
    <n v="12"/>
    <n v="224397.36"/>
    <n v="4.5"/>
    <n v="20"/>
    <n v="45899.46"/>
    <s v="1 Year"/>
  </r>
  <r>
    <x v="1281"/>
    <n v="6139036"/>
    <n v="66"/>
    <x v="1"/>
    <x v="46"/>
    <x v="0"/>
    <x v="2"/>
    <x v="2"/>
    <x v="4"/>
    <x v="2"/>
    <x v="1"/>
    <n v="2"/>
    <n v="69999"/>
    <n v="8"/>
    <n v="128798.16"/>
    <n v="4.8"/>
    <n v="20"/>
    <n v="25199.64"/>
    <s v="1 Year"/>
  </r>
  <r>
    <x v="1282"/>
    <n v="6549790"/>
    <n v="41"/>
    <x v="0"/>
    <x v="46"/>
    <x v="0"/>
    <x v="1"/>
    <x v="1"/>
    <x v="5"/>
    <x v="2"/>
    <x v="1"/>
    <n v="9"/>
    <n v="42999"/>
    <n v="15"/>
    <n v="328942.34999999998"/>
    <n v="4.5999999999999996"/>
    <n v="20"/>
    <n v="69658.38"/>
    <s v="1 Year"/>
  </r>
  <r>
    <x v="1283"/>
    <n v="1912718"/>
    <n v="30"/>
    <x v="0"/>
    <x v="46"/>
    <x v="0"/>
    <x v="2"/>
    <x v="0"/>
    <x v="0"/>
    <x v="0"/>
    <x v="2"/>
    <n v="4"/>
    <n v="99999"/>
    <n v="10"/>
    <n v="359996.4"/>
    <n v="4.7"/>
    <n v="20"/>
    <n v="71999.28"/>
    <s v="6 Months"/>
  </r>
  <r>
    <x v="1284"/>
    <n v="2345765"/>
    <n v="30"/>
    <x v="0"/>
    <x v="46"/>
    <x v="0"/>
    <x v="0"/>
    <x v="1"/>
    <x v="1"/>
    <x v="1"/>
    <x v="2"/>
    <n v="45"/>
    <n v="4999"/>
    <n v="18"/>
    <n v="184463.1"/>
    <n v="4.4000000000000004"/>
    <n v="20"/>
    <n v="40491.9"/>
    <s v="1 Year"/>
  </r>
  <r>
    <x v="1285"/>
    <n v="9054821"/>
    <n v="34"/>
    <x v="0"/>
    <x v="46"/>
    <x v="0"/>
    <x v="1"/>
    <x v="2"/>
    <x v="2"/>
    <x v="1"/>
    <x v="2"/>
    <n v="11"/>
    <n v="24900"/>
    <n v="5"/>
    <n v="260205"/>
    <n v="4.8"/>
    <n v="20"/>
    <n v="49302"/>
    <s v="1 Year"/>
  </r>
  <r>
    <x v="1286"/>
    <n v="8065116"/>
    <n v="51"/>
    <x v="1"/>
    <x v="46"/>
    <x v="0"/>
    <x v="1"/>
    <x v="3"/>
    <x v="3"/>
    <x v="0"/>
    <x v="2"/>
    <n v="6"/>
    <n v="84999"/>
    <n v="12"/>
    <n v="448794.72"/>
    <n v="4.5"/>
    <n v="20"/>
    <n v="91798.92"/>
    <s v="1 Year"/>
  </r>
  <r>
    <x v="1287"/>
    <n v="2516921"/>
    <n v="34"/>
    <x v="0"/>
    <x v="46"/>
    <x v="0"/>
    <x v="2"/>
    <x v="2"/>
    <x v="4"/>
    <x v="2"/>
    <x v="2"/>
    <n v="6"/>
    <n v="69999"/>
    <n v="8"/>
    <n v="386394.48"/>
    <n v="4.8"/>
    <n v="20"/>
    <n v="75598.92"/>
    <s v="6 Months"/>
  </r>
  <r>
    <x v="1288"/>
    <n v="3759418"/>
    <n v="40"/>
    <x v="0"/>
    <x v="46"/>
    <x v="0"/>
    <x v="5"/>
    <x v="1"/>
    <x v="5"/>
    <x v="2"/>
    <x v="2"/>
    <n v="5"/>
    <n v="42999"/>
    <n v="15"/>
    <n v="182745.75"/>
    <n v="4.5999999999999996"/>
    <n v="20"/>
    <n v="38699.1"/>
    <s v="1 Year"/>
  </r>
  <r>
    <x v="1289"/>
    <n v="4141277"/>
    <n v="34"/>
    <x v="0"/>
    <x v="46"/>
    <x v="0"/>
    <x v="2"/>
    <x v="0"/>
    <x v="0"/>
    <x v="0"/>
    <x v="3"/>
    <n v="5"/>
    <n v="99999"/>
    <n v="10"/>
    <n v="449995.5"/>
    <n v="4.7"/>
    <n v="20"/>
    <n v="89999.099999999991"/>
    <s v="6 Months"/>
  </r>
  <r>
    <x v="1290"/>
    <n v="9333662"/>
    <n v="49"/>
    <x v="0"/>
    <x v="46"/>
    <x v="0"/>
    <x v="2"/>
    <x v="1"/>
    <x v="1"/>
    <x v="1"/>
    <x v="3"/>
    <n v="31"/>
    <n v="4999"/>
    <n v="18"/>
    <n v="127074.58"/>
    <n v="4.4000000000000004"/>
    <n v="20"/>
    <n v="27894.42"/>
    <s v="6 Months"/>
  </r>
  <r>
    <x v="1291"/>
    <n v="771338"/>
    <n v="72"/>
    <x v="1"/>
    <x v="46"/>
    <x v="0"/>
    <x v="2"/>
    <x v="2"/>
    <x v="2"/>
    <x v="1"/>
    <x v="3"/>
    <n v="8"/>
    <n v="24900"/>
    <n v="5"/>
    <n v="189240"/>
    <n v="4.8"/>
    <n v="20"/>
    <n v="35856"/>
    <s v="6 Months"/>
  </r>
  <r>
    <x v="1292"/>
    <n v="6544214"/>
    <n v="33"/>
    <x v="0"/>
    <x v="46"/>
    <x v="3"/>
    <x v="4"/>
    <x v="3"/>
    <x v="3"/>
    <x v="0"/>
    <x v="3"/>
    <n v="4"/>
    <n v="84999"/>
    <n v="12"/>
    <n v="299196.48"/>
    <n v="4.5"/>
    <n v="20"/>
    <n v="61199.28"/>
    <s v="1 Year"/>
  </r>
  <r>
    <x v="1293"/>
    <n v="9213513"/>
    <n v="21"/>
    <x v="0"/>
    <x v="46"/>
    <x v="0"/>
    <x v="3"/>
    <x v="2"/>
    <x v="4"/>
    <x v="2"/>
    <x v="3"/>
    <n v="4"/>
    <n v="69999"/>
    <n v="8"/>
    <n v="257596.32"/>
    <n v="4.8"/>
    <n v="20"/>
    <n v="50399.28"/>
    <s v="6 Months"/>
  </r>
  <r>
    <x v="1294"/>
    <n v="433643"/>
    <n v="71"/>
    <x v="1"/>
    <x v="46"/>
    <x v="0"/>
    <x v="2"/>
    <x v="1"/>
    <x v="5"/>
    <x v="2"/>
    <x v="3"/>
    <n v="11"/>
    <n v="42999"/>
    <n v="15"/>
    <n v="402040.65"/>
    <n v="4.5999999999999996"/>
    <n v="20"/>
    <n v="85138.02"/>
    <s v="1 Year"/>
  </r>
  <r>
    <x v="1295"/>
    <n v="7430723"/>
    <n v="67"/>
    <x v="1"/>
    <x v="46"/>
    <x v="0"/>
    <x v="0"/>
    <x v="0"/>
    <x v="0"/>
    <x v="0"/>
    <x v="4"/>
    <n v="4"/>
    <n v="99999"/>
    <n v="10"/>
    <n v="359996.4"/>
    <n v="4.7"/>
    <n v="20"/>
    <n v="71999.28"/>
    <s v="1 Year"/>
  </r>
  <r>
    <x v="1296"/>
    <n v="2912274"/>
    <n v="53"/>
    <x v="1"/>
    <x v="46"/>
    <x v="0"/>
    <x v="3"/>
    <x v="1"/>
    <x v="1"/>
    <x v="1"/>
    <x v="4"/>
    <n v="48"/>
    <n v="4999"/>
    <n v="18"/>
    <n v="196760.64"/>
    <n v="4.4000000000000004"/>
    <n v="20"/>
    <n v="43191.360000000001"/>
    <s v="1 Year"/>
  </r>
  <r>
    <x v="1297"/>
    <n v="23422"/>
    <n v="23"/>
    <x v="0"/>
    <x v="46"/>
    <x v="0"/>
    <x v="3"/>
    <x v="2"/>
    <x v="2"/>
    <x v="1"/>
    <x v="4"/>
    <n v="11"/>
    <n v="24900"/>
    <n v="5"/>
    <n v="260205"/>
    <n v="4.8"/>
    <n v="20"/>
    <n v="49302"/>
    <s v="1 Year"/>
  </r>
  <r>
    <x v="1298"/>
    <n v="7234922"/>
    <n v="50"/>
    <x v="1"/>
    <x v="46"/>
    <x v="0"/>
    <x v="2"/>
    <x v="3"/>
    <x v="3"/>
    <x v="0"/>
    <x v="4"/>
    <n v="2"/>
    <n v="84999"/>
    <n v="12"/>
    <n v="149598.24"/>
    <n v="4.5"/>
    <n v="20"/>
    <n v="30599.64"/>
    <s v="6 Months"/>
  </r>
  <r>
    <x v="1299"/>
    <n v="490840"/>
    <n v="35"/>
    <x v="0"/>
    <x v="46"/>
    <x v="0"/>
    <x v="0"/>
    <x v="2"/>
    <x v="4"/>
    <x v="2"/>
    <x v="4"/>
    <n v="4"/>
    <n v="69999"/>
    <n v="8"/>
    <n v="257596.32"/>
    <n v="4.8"/>
    <n v="20"/>
    <n v="50399.28"/>
    <s v="1 Year"/>
  </r>
  <r>
    <x v="1300"/>
    <n v="6516243"/>
    <n v="35"/>
    <x v="0"/>
    <x v="46"/>
    <x v="0"/>
    <x v="2"/>
    <x v="1"/>
    <x v="5"/>
    <x v="2"/>
    <x v="4"/>
    <n v="10"/>
    <n v="42999"/>
    <n v="15"/>
    <n v="365491.5"/>
    <n v="4.5999999999999996"/>
    <n v="20"/>
    <n v="77398.2"/>
    <s v="6 Months"/>
  </r>
  <r>
    <x v="1301"/>
    <n v="7222033"/>
    <n v="25"/>
    <x v="0"/>
    <x v="47"/>
    <x v="0"/>
    <x v="2"/>
    <x v="0"/>
    <x v="0"/>
    <x v="0"/>
    <x v="0"/>
    <n v="3"/>
    <n v="99999"/>
    <n v="10"/>
    <n v="269997.3"/>
    <n v="4.7"/>
    <n v="20"/>
    <n v="53999.46"/>
    <s v="1 Year"/>
  </r>
  <r>
    <x v="1302"/>
    <n v="4347680"/>
    <n v="62"/>
    <x v="1"/>
    <x v="47"/>
    <x v="0"/>
    <x v="0"/>
    <x v="1"/>
    <x v="1"/>
    <x v="1"/>
    <x v="0"/>
    <n v="38"/>
    <n v="4999"/>
    <n v="18"/>
    <n v="155768.84"/>
    <n v="4.4000000000000004"/>
    <n v="20"/>
    <n v="34193.159999999996"/>
    <s v="6 Months"/>
  </r>
  <r>
    <x v="1303"/>
    <n v="6525563"/>
    <n v="40"/>
    <x v="0"/>
    <x v="47"/>
    <x v="0"/>
    <x v="1"/>
    <x v="2"/>
    <x v="2"/>
    <x v="1"/>
    <x v="0"/>
    <n v="13"/>
    <n v="24900"/>
    <n v="5"/>
    <n v="307515"/>
    <n v="4.8"/>
    <n v="20"/>
    <n v="58266"/>
    <s v="1 Year"/>
  </r>
  <r>
    <x v="1304"/>
    <n v="3186738"/>
    <n v="60"/>
    <x v="1"/>
    <x v="47"/>
    <x v="0"/>
    <x v="1"/>
    <x v="3"/>
    <x v="3"/>
    <x v="0"/>
    <x v="0"/>
    <n v="5"/>
    <n v="84999"/>
    <n v="12"/>
    <n v="373995.6"/>
    <n v="4.5"/>
    <n v="20"/>
    <n v="76499.099999999991"/>
    <s v="1 Year"/>
  </r>
  <r>
    <x v="1305"/>
    <n v="1826402"/>
    <n v="35"/>
    <x v="0"/>
    <x v="47"/>
    <x v="0"/>
    <x v="0"/>
    <x v="2"/>
    <x v="4"/>
    <x v="2"/>
    <x v="0"/>
    <n v="4"/>
    <n v="69999"/>
    <n v="8"/>
    <n v="257596.32"/>
    <n v="4.8"/>
    <n v="20"/>
    <n v="50399.28"/>
    <s v="1 Year"/>
  </r>
  <r>
    <x v="1306"/>
    <n v="6667637"/>
    <n v="31"/>
    <x v="0"/>
    <x v="47"/>
    <x v="0"/>
    <x v="4"/>
    <x v="1"/>
    <x v="5"/>
    <x v="2"/>
    <x v="0"/>
    <n v="10"/>
    <n v="42999"/>
    <n v="15"/>
    <n v="365491.5"/>
    <n v="4.5999999999999996"/>
    <n v="20"/>
    <n v="77398.2"/>
    <s v="1 Year"/>
  </r>
  <r>
    <x v="1307"/>
    <n v="8156230"/>
    <n v="46"/>
    <x v="0"/>
    <x v="47"/>
    <x v="0"/>
    <x v="2"/>
    <x v="0"/>
    <x v="0"/>
    <x v="0"/>
    <x v="1"/>
    <n v="6"/>
    <n v="99999"/>
    <n v="10"/>
    <n v="539994.6"/>
    <n v="4.7"/>
    <n v="20"/>
    <n v="107998.92"/>
    <s v="1 Year"/>
  </r>
  <r>
    <x v="1308"/>
    <n v="1728497"/>
    <n v="30"/>
    <x v="0"/>
    <x v="47"/>
    <x v="0"/>
    <x v="1"/>
    <x v="1"/>
    <x v="1"/>
    <x v="1"/>
    <x v="1"/>
    <n v="66"/>
    <n v="4999"/>
    <n v="18"/>
    <n v="270545.88"/>
    <n v="4.4000000000000004"/>
    <n v="20"/>
    <n v="59388.119999999995"/>
    <s v="6 Months"/>
  </r>
  <r>
    <x v="1309"/>
    <n v="1435458"/>
    <n v="43"/>
    <x v="0"/>
    <x v="47"/>
    <x v="0"/>
    <x v="1"/>
    <x v="2"/>
    <x v="2"/>
    <x v="1"/>
    <x v="1"/>
    <n v="11"/>
    <n v="24900"/>
    <n v="5"/>
    <n v="260205"/>
    <n v="4.8"/>
    <n v="20"/>
    <n v="49302"/>
    <s v="6 Months"/>
  </r>
  <r>
    <x v="1310"/>
    <n v="6913365"/>
    <n v="70"/>
    <x v="1"/>
    <x v="47"/>
    <x v="0"/>
    <x v="1"/>
    <x v="3"/>
    <x v="3"/>
    <x v="0"/>
    <x v="1"/>
    <n v="5"/>
    <n v="84999"/>
    <n v="12"/>
    <n v="373995.6"/>
    <n v="4.5"/>
    <n v="20"/>
    <n v="76499.099999999991"/>
    <s v="1 Year"/>
  </r>
  <r>
    <x v="1311"/>
    <n v="2993620"/>
    <n v="29"/>
    <x v="0"/>
    <x v="47"/>
    <x v="0"/>
    <x v="1"/>
    <x v="2"/>
    <x v="4"/>
    <x v="2"/>
    <x v="1"/>
    <n v="4"/>
    <n v="69999"/>
    <n v="8"/>
    <n v="257596.32"/>
    <n v="4.8"/>
    <n v="20"/>
    <n v="50399.28"/>
    <s v="1 Year"/>
  </r>
  <r>
    <x v="1312"/>
    <n v="2359400"/>
    <n v="39"/>
    <x v="0"/>
    <x v="47"/>
    <x v="0"/>
    <x v="0"/>
    <x v="1"/>
    <x v="5"/>
    <x v="2"/>
    <x v="1"/>
    <n v="5"/>
    <n v="42999"/>
    <n v="15"/>
    <n v="182745.75"/>
    <n v="4.5999999999999996"/>
    <n v="20"/>
    <n v="38699.1"/>
    <s v="1 Year"/>
  </r>
  <r>
    <x v="1313"/>
    <n v="1518551"/>
    <n v="42"/>
    <x v="0"/>
    <x v="47"/>
    <x v="0"/>
    <x v="0"/>
    <x v="0"/>
    <x v="0"/>
    <x v="0"/>
    <x v="2"/>
    <n v="4"/>
    <n v="99999"/>
    <n v="10"/>
    <n v="359996.4"/>
    <n v="4.7"/>
    <n v="20"/>
    <n v="71999.28"/>
    <s v="6 Months"/>
  </r>
  <r>
    <x v="1314"/>
    <n v="6485769"/>
    <n v="44"/>
    <x v="0"/>
    <x v="47"/>
    <x v="0"/>
    <x v="2"/>
    <x v="1"/>
    <x v="1"/>
    <x v="1"/>
    <x v="2"/>
    <n v="25"/>
    <n v="4999"/>
    <n v="18"/>
    <n v="102479.5"/>
    <n v="4.4000000000000004"/>
    <n v="20"/>
    <n v="22495.5"/>
    <s v="1 Year"/>
  </r>
  <r>
    <x v="1315"/>
    <n v="2640683"/>
    <n v="47"/>
    <x v="0"/>
    <x v="47"/>
    <x v="0"/>
    <x v="2"/>
    <x v="2"/>
    <x v="2"/>
    <x v="1"/>
    <x v="2"/>
    <n v="11"/>
    <n v="24900"/>
    <n v="5"/>
    <n v="260205"/>
    <n v="4.8"/>
    <n v="20"/>
    <n v="49302"/>
    <s v="1 Year"/>
  </r>
  <r>
    <x v="1316"/>
    <n v="5332578"/>
    <n v="51"/>
    <x v="1"/>
    <x v="47"/>
    <x v="0"/>
    <x v="2"/>
    <x v="3"/>
    <x v="3"/>
    <x v="0"/>
    <x v="2"/>
    <n v="4"/>
    <n v="84999"/>
    <n v="12"/>
    <n v="299196.48"/>
    <n v="4.5"/>
    <n v="20"/>
    <n v="61199.28"/>
    <s v="1 Year"/>
  </r>
  <r>
    <x v="1317"/>
    <n v="7565589"/>
    <n v="49"/>
    <x v="0"/>
    <x v="47"/>
    <x v="0"/>
    <x v="2"/>
    <x v="2"/>
    <x v="4"/>
    <x v="2"/>
    <x v="2"/>
    <n v="3"/>
    <n v="69999"/>
    <n v="8"/>
    <n v="193197.24"/>
    <n v="4.8"/>
    <n v="20"/>
    <n v="37799.46"/>
    <s v="1 Year"/>
  </r>
  <r>
    <x v="1318"/>
    <n v="4011410"/>
    <n v="65"/>
    <x v="1"/>
    <x v="47"/>
    <x v="2"/>
    <x v="0"/>
    <x v="1"/>
    <x v="5"/>
    <x v="2"/>
    <x v="2"/>
    <n v="8"/>
    <n v="42999"/>
    <n v="15"/>
    <n v="292393.2"/>
    <n v="4.5999999999999996"/>
    <n v="20"/>
    <n v="61918.559999999998"/>
    <s v="6 Months"/>
  </r>
  <r>
    <x v="1319"/>
    <n v="7383664"/>
    <n v="48"/>
    <x v="0"/>
    <x v="47"/>
    <x v="0"/>
    <x v="2"/>
    <x v="0"/>
    <x v="0"/>
    <x v="0"/>
    <x v="3"/>
    <n v="6"/>
    <n v="99999"/>
    <n v="10"/>
    <n v="539994.6"/>
    <n v="4.7"/>
    <n v="20"/>
    <n v="107998.92"/>
    <s v="1 Year"/>
  </r>
  <r>
    <x v="1320"/>
    <n v="8020405"/>
    <n v="42"/>
    <x v="0"/>
    <x v="47"/>
    <x v="0"/>
    <x v="2"/>
    <x v="1"/>
    <x v="1"/>
    <x v="1"/>
    <x v="3"/>
    <n v="53"/>
    <n v="4999"/>
    <n v="18"/>
    <n v="217256.54"/>
    <n v="4.4000000000000004"/>
    <n v="20"/>
    <n v="47690.46"/>
    <s v="6 Months"/>
  </r>
  <r>
    <x v="1321"/>
    <n v="8026142"/>
    <n v="45"/>
    <x v="0"/>
    <x v="47"/>
    <x v="0"/>
    <x v="2"/>
    <x v="2"/>
    <x v="2"/>
    <x v="1"/>
    <x v="3"/>
    <n v="5"/>
    <n v="24900"/>
    <n v="5"/>
    <n v="118275"/>
    <n v="4.8"/>
    <n v="20"/>
    <n v="22410"/>
    <s v="6 Months"/>
  </r>
  <r>
    <x v="1322"/>
    <n v="4670066"/>
    <n v="43"/>
    <x v="0"/>
    <x v="47"/>
    <x v="0"/>
    <x v="2"/>
    <x v="3"/>
    <x v="3"/>
    <x v="0"/>
    <x v="3"/>
    <n v="6"/>
    <n v="84999"/>
    <n v="12"/>
    <n v="448794.72"/>
    <n v="4.5"/>
    <n v="20"/>
    <n v="91798.92"/>
    <s v="6 Months"/>
  </r>
  <r>
    <x v="1323"/>
    <n v="8441117"/>
    <n v="18"/>
    <x v="2"/>
    <x v="47"/>
    <x v="0"/>
    <x v="2"/>
    <x v="2"/>
    <x v="4"/>
    <x v="2"/>
    <x v="3"/>
    <n v="4"/>
    <n v="69999"/>
    <n v="8"/>
    <n v="257596.32"/>
    <n v="4.8"/>
    <n v="20"/>
    <n v="50399.28"/>
    <s v="1 Year"/>
  </r>
  <r>
    <x v="1324"/>
    <n v="5347420"/>
    <n v="45"/>
    <x v="0"/>
    <x v="47"/>
    <x v="0"/>
    <x v="2"/>
    <x v="1"/>
    <x v="5"/>
    <x v="2"/>
    <x v="3"/>
    <n v="10"/>
    <n v="42999"/>
    <n v="15"/>
    <n v="365491.5"/>
    <n v="4.5999999999999996"/>
    <n v="20"/>
    <n v="77398.2"/>
    <s v="1 Year"/>
  </r>
  <r>
    <x v="1325"/>
    <n v="2135883"/>
    <n v="24"/>
    <x v="0"/>
    <x v="47"/>
    <x v="0"/>
    <x v="2"/>
    <x v="0"/>
    <x v="0"/>
    <x v="0"/>
    <x v="4"/>
    <n v="4"/>
    <n v="99999"/>
    <n v="10"/>
    <n v="359996.4"/>
    <n v="4.7"/>
    <n v="20"/>
    <n v="71999.28"/>
    <s v="1 Year"/>
  </r>
  <r>
    <x v="1326"/>
    <n v="4711899"/>
    <n v="34"/>
    <x v="0"/>
    <x v="47"/>
    <x v="0"/>
    <x v="2"/>
    <x v="1"/>
    <x v="1"/>
    <x v="1"/>
    <x v="4"/>
    <n v="31"/>
    <n v="4999"/>
    <n v="18"/>
    <n v="127074.58"/>
    <n v="4.4000000000000004"/>
    <n v="20"/>
    <n v="27894.42"/>
    <s v="1 Year"/>
  </r>
  <r>
    <x v="1327"/>
    <n v="1353336"/>
    <n v="70"/>
    <x v="1"/>
    <x v="47"/>
    <x v="0"/>
    <x v="3"/>
    <x v="2"/>
    <x v="2"/>
    <x v="1"/>
    <x v="4"/>
    <n v="5"/>
    <n v="24900"/>
    <n v="5"/>
    <n v="118275"/>
    <n v="4.8"/>
    <n v="20"/>
    <n v="22410"/>
    <s v="1 Year"/>
  </r>
  <r>
    <x v="1328"/>
    <n v="2333018"/>
    <n v="60"/>
    <x v="1"/>
    <x v="47"/>
    <x v="0"/>
    <x v="2"/>
    <x v="3"/>
    <x v="3"/>
    <x v="0"/>
    <x v="4"/>
    <n v="2"/>
    <n v="84999"/>
    <n v="12"/>
    <n v="149598.24"/>
    <n v="4.5"/>
    <n v="20"/>
    <n v="30599.64"/>
    <s v="1 Year"/>
  </r>
  <r>
    <x v="1329"/>
    <n v="7346638"/>
    <n v="29"/>
    <x v="0"/>
    <x v="47"/>
    <x v="0"/>
    <x v="0"/>
    <x v="2"/>
    <x v="4"/>
    <x v="2"/>
    <x v="4"/>
    <n v="5"/>
    <n v="69999"/>
    <n v="8"/>
    <n v="321995.40000000002"/>
    <n v="4.8"/>
    <n v="20"/>
    <n v="62999.1"/>
    <s v="1 Year"/>
  </r>
  <r>
    <x v="1330"/>
    <n v="8672033"/>
    <n v="30"/>
    <x v="0"/>
    <x v="47"/>
    <x v="0"/>
    <x v="3"/>
    <x v="1"/>
    <x v="5"/>
    <x v="2"/>
    <x v="4"/>
    <n v="11"/>
    <n v="42999"/>
    <n v="15"/>
    <n v="402040.65"/>
    <n v="4.5999999999999996"/>
    <n v="20"/>
    <n v="85138.02"/>
    <s v="1 Year"/>
  </r>
  <r>
    <x v="1331"/>
    <n v="9222012"/>
    <n v="44"/>
    <x v="0"/>
    <x v="48"/>
    <x v="0"/>
    <x v="0"/>
    <x v="0"/>
    <x v="0"/>
    <x v="0"/>
    <x v="0"/>
    <n v="6"/>
    <n v="99999"/>
    <n v="10"/>
    <n v="539994.6"/>
    <n v="4.7"/>
    <n v="20"/>
    <n v="107998.92"/>
    <s v="1 Year"/>
  </r>
  <r>
    <x v="1332"/>
    <n v="2256348"/>
    <n v="32"/>
    <x v="0"/>
    <x v="48"/>
    <x v="0"/>
    <x v="4"/>
    <x v="1"/>
    <x v="1"/>
    <x v="1"/>
    <x v="0"/>
    <n v="57"/>
    <n v="4999"/>
    <n v="18"/>
    <n v="233653.26"/>
    <n v="4.4000000000000004"/>
    <n v="20"/>
    <n v="51289.74"/>
    <s v="1 Year"/>
  </r>
  <r>
    <x v="1333"/>
    <n v="7378656"/>
    <n v="40"/>
    <x v="0"/>
    <x v="48"/>
    <x v="0"/>
    <x v="2"/>
    <x v="2"/>
    <x v="2"/>
    <x v="1"/>
    <x v="0"/>
    <n v="10"/>
    <n v="24900"/>
    <n v="5"/>
    <n v="236550"/>
    <n v="4.8"/>
    <n v="20"/>
    <n v="44820"/>
    <s v="1 Year"/>
  </r>
  <r>
    <x v="1334"/>
    <n v="303558"/>
    <n v="42"/>
    <x v="0"/>
    <x v="48"/>
    <x v="0"/>
    <x v="2"/>
    <x v="3"/>
    <x v="3"/>
    <x v="0"/>
    <x v="0"/>
    <n v="5"/>
    <n v="84999"/>
    <n v="12"/>
    <n v="373995.6"/>
    <n v="4.5"/>
    <n v="20"/>
    <n v="76499.099999999991"/>
    <s v="6 Months"/>
  </r>
  <r>
    <x v="1335"/>
    <n v="8358105"/>
    <n v="44"/>
    <x v="0"/>
    <x v="48"/>
    <x v="2"/>
    <x v="0"/>
    <x v="2"/>
    <x v="4"/>
    <x v="2"/>
    <x v="0"/>
    <n v="5"/>
    <n v="69999"/>
    <n v="8"/>
    <n v="321995.40000000002"/>
    <n v="4.8"/>
    <n v="20"/>
    <n v="62999.1"/>
    <s v="6 Months"/>
  </r>
  <r>
    <x v="1336"/>
    <n v="3023807"/>
    <n v="21"/>
    <x v="0"/>
    <x v="48"/>
    <x v="0"/>
    <x v="2"/>
    <x v="1"/>
    <x v="5"/>
    <x v="2"/>
    <x v="0"/>
    <n v="8"/>
    <n v="42999"/>
    <n v="15"/>
    <n v="292393.2"/>
    <n v="4.5999999999999996"/>
    <n v="20"/>
    <n v="61918.559999999998"/>
    <s v="1 Year"/>
  </r>
  <r>
    <x v="1337"/>
    <n v="8951738"/>
    <n v="28"/>
    <x v="0"/>
    <x v="48"/>
    <x v="0"/>
    <x v="4"/>
    <x v="0"/>
    <x v="0"/>
    <x v="0"/>
    <x v="1"/>
    <n v="5"/>
    <n v="99999"/>
    <n v="10"/>
    <n v="449995.5"/>
    <n v="4.7"/>
    <n v="20"/>
    <n v="89999.099999999991"/>
    <s v="6 Months"/>
  </r>
  <r>
    <x v="1337"/>
    <n v="8951738"/>
    <n v="65"/>
    <x v="1"/>
    <x v="48"/>
    <x v="0"/>
    <x v="2"/>
    <x v="1"/>
    <x v="1"/>
    <x v="1"/>
    <x v="1"/>
    <n v="67"/>
    <n v="4999"/>
    <n v="18"/>
    <n v="274645.06"/>
    <n v="4.4000000000000004"/>
    <n v="20"/>
    <n v="60287.939999999995"/>
    <s v="1 Year"/>
  </r>
  <r>
    <x v="1338"/>
    <n v="6421898"/>
    <n v="41"/>
    <x v="0"/>
    <x v="48"/>
    <x v="0"/>
    <x v="0"/>
    <x v="2"/>
    <x v="2"/>
    <x v="1"/>
    <x v="1"/>
    <n v="23"/>
    <n v="24900"/>
    <n v="5"/>
    <n v="544065"/>
    <n v="4.8"/>
    <n v="20"/>
    <n v="103086"/>
    <s v="1 Year"/>
  </r>
  <r>
    <x v="1339"/>
    <n v="366316"/>
    <n v="66"/>
    <x v="1"/>
    <x v="48"/>
    <x v="0"/>
    <x v="2"/>
    <x v="3"/>
    <x v="3"/>
    <x v="0"/>
    <x v="1"/>
    <n v="5"/>
    <n v="84999"/>
    <n v="12"/>
    <n v="373995.6"/>
    <n v="4.5"/>
    <n v="20"/>
    <n v="76499.099999999991"/>
    <s v="1 Year"/>
  </r>
  <r>
    <x v="1340"/>
    <n v="881227"/>
    <n v="23"/>
    <x v="0"/>
    <x v="48"/>
    <x v="0"/>
    <x v="3"/>
    <x v="2"/>
    <x v="4"/>
    <x v="2"/>
    <x v="1"/>
    <n v="6"/>
    <n v="69999"/>
    <n v="8"/>
    <n v="386394.48"/>
    <n v="4.8"/>
    <n v="20"/>
    <n v="75598.92"/>
    <s v="1 Year"/>
  </r>
  <r>
    <x v="1341"/>
    <n v="3188067"/>
    <n v="29"/>
    <x v="0"/>
    <x v="48"/>
    <x v="0"/>
    <x v="0"/>
    <x v="1"/>
    <x v="5"/>
    <x v="2"/>
    <x v="1"/>
    <n v="8"/>
    <n v="42999"/>
    <n v="15"/>
    <n v="292393.2"/>
    <n v="4.5999999999999996"/>
    <n v="20"/>
    <n v="61918.559999999998"/>
    <s v="1 Year"/>
  </r>
  <r>
    <x v="1342"/>
    <n v="3062922"/>
    <n v="37"/>
    <x v="0"/>
    <x v="48"/>
    <x v="0"/>
    <x v="4"/>
    <x v="0"/>
    <x v="0"/>
    <x v="0"/>
    <x v="2"/>
    <n v="6"/>
    <n v="99999"/>
    <n v="10"/>
    <n v="539994.6"/>
    <n v="4.7"/>
    <n v="20"/>
    <n v="107998.92"/>
    <s v="6 Months"/>
  </r>
  <r>
    <x v="1343"/>
    <n v="9851273"/>
    <n v="46"/>
    <x v="0"/>
    <x v="48"/>
    <x v="0"/>
    <x v="4"/>
    <x v="1"/>
    <x v="1"/>
    <x v="1"/>
    <x v="2"/>
    <n v="41"/>
    <n v="4999"/>
    <n v="18"/>
    <n v="168066.38"/>
    <n v="4.4000000000000004"/>
    <n v="20"/>
    <n v="36892.619999999995"/>
    <s v="6 Months"/>
  </r>
  <r>
    <x v="1344"/>
    <n v="1252191"/>
    <n v="60"/>
    <x v="1"/>
    <x v="48"/>
    <x v="0"/>
    <x v="0"/>
    <x v="2"/>
    <x v="2"/>
    <x v="1"/>
    <x v="2"/>
    <n v="5"/>
    <n v="24900"/>
    <n v="5"/>
    <n v="118275"/>
    <n v="4.8"/>
    <n v="20"/>
    <n v="22410"/>
    <s v="6 Months"/>
  </r>
  <r>
    <x v="1345"/>
    <n v="801054"/>
    <n v="38"/>
    <x v="0"/>
    <x v="48"/>
    <x v="0"/>
    <x v="5"/>
    <x v="3"/>
    <x v="3"/>
    <x v="0"/>
    <x v="2"/>
    <n v="6"/>
    <n v="84999"/>
    <n v="12"/>
    <n v="448794.72"/>
    <n v="4.5"/>
    <n v="20"/>
    <n v="91798.92"/>
    <s v="1 Year"/>
  </r>
  <r>
    <x v="1346"/>
    <n v="7262078"/>
    <n v="43"/>
    <x v="0"/>
    <x v="48"/>
    <x v="0"/>
    <x v="0"/>
    <x v="2"/>
    <x v="4"/>
    <x v="2"/>
    <x v="2"/>
    <n v="4"/>
    <n v="69999"/>
    <n v="8"/>
    <n v="257596.32"/>
    <n v="4.8"/>
    <n v="20"/>
    <n v="50399.28"/>
    <s v="6 Months"/>
  </r>
  <r>
    <x v="1347"/>
    <n v="6529033"/>
    <n v="26"/>
    <x v="0"/>
    <x v="48"/>
    <x v="0"/>
    <x v="3"/>
    <x v="1"/>
    <x v="5"/>
    <x v="2"/>
    <x v="2"/>
    <n v="5"/>
    <n v="42999"/>
    <n v="15"/>
    <n v="182745.75"/>
    <n v="4.5999999999999996"/>
    <n v="20"/>
    <n v="38699.1"/>
    <s v="6 Months"/>
  </r>
  <r>
    <x v="1348"/>
    <n v="8454722"/>
    <n v="30"/>
    <x v="0"/>
    <x v="48"/>
    <x v="0"/>
    <x v="4"/>
    <x v="0"/>
    <x v="0"/>
    <x v="0"/>
    <x v="3"/>
    <n v="6"/>
    <n v="99999"/>
    <n v="10"/>
    <n v="539994.6"/>
    <n v="4.7"/>
    <n v="20"/>
    <n v="107998.92"/>
    <s v="1 Year"/>
  </r>
  <r>
    <x v="1349"/>
    <n v="8944992"/>
    <n v="36"/>
    <x v="0"/>
    <x v="48"/>
    <x v="0"/>
    <x v="2"/>
    <x v="1"/>
    <x v="1"/>
    <x v="1"/>
    <x v="3"/>
    <n v="50"/>
    <n v="4999"/>
    <n v="18"/>
    <n v="204959"/>
    <n v="4.4000000000000004"/>
    <n v="20"/>
    <n v="44991"/>
    <s v="1 Year"/>
  </r>
  <r>
    <x v="1350"/>
    <n v="7298767"/>
    <n v="33"/>
    <x v="0"/>
    <x v="48"/>
    <x v="0"/>
    <x v="0"/>
    <x v="2"/>
    <x v="2"/>
    <x v="1"/>
    <x v="3"/>
    <n v="5"/>
    <n v="24900"/>
    <n v="5"/>
    <n v="118275"/>
    <n v="4.8"/>
    <n v="20"/>
    <n v="22410"/>
    <s v="1 Year"/>
  </r>
  <r>
    <x v="1351"/>
    <n v="1642344"/>
    <n v="31"/>
    <x v="0"/>
    <x v="48"/>
    <x v="0"/>
    <x v="1"/>
    <x v="3"/>
    <x v="3"/>
    <x v="0"/>
    <x v="3"/>
    <n v="4"/>
    <n v="84999"/>
    <n v="12"/>
    <n v="299196.48"/>
    <n v="4.5"/>
    <n v="20"/>
    <n v="61199.28"/>
    <s v="1 Year"/>
  </r>
  <r>
    <x v="1352"/>
    <n v="3289271"/>
    <n v="41"/>
    <x v="0"/>
    <x v="48"/>
    <x v="0"/>
    <x v="2"/>
    <x v="2"/>
    <x v="4"/>
    <x v="2"/>
    <x v="3"/>
    <n v="2"/>
    <n v="69999"/>
    <n v="8"/>
    <n v="128798.16"/>
    <n v="4.8"/>
    <n v="20"/>
    <n v="25199.64"/>
    <s v="6 Months"/>
  </r>
  <r>
    <x v="1353"/>
    <n v="224438"/>
    <n v="29"/>
    <x v="0"/>
    <x v="48"/>
    <x v="0"/>
    <x v="2"/>
    <x v="1"/>
    <x v="5"/>
    <x v="2"/>
    <x v="3"/>
    <n v="8"/>
    <n v="42999"/>
    <n v="15"/>
    <n v="292393.2"/>
    <n v="4.5999999999999996"/>
    <n v="20"/>
    <n v="61918.559999999998"/>
    <s v="1 Year"/>
  </r>
  <r>
    <x v="1354"/>
    <n v="1154525"/>
    <n v="29"/>
    <x v="0"/>
    <x v="48"/>
    <x v="3"/>
    <x v="0"/>
    <x v="0"/>
    <x v="0"/>
    <x v="0"/>
    <x v="4"/>
    <n v="4"/>
    <n v="99999"/>
    <n v="10"/>
    <n v="359996.4"/>
    <n v="4.7"/>
    <n v="20"/>
    <n v="71999.28"/>
    <s v="6 Months"/>
  </r>
  <r>
    <x v="1355"/>
    <n v="8669517"/>
    <n v="47"/>
    <x v="0"/>
    <x v="48"/>
    <x v="0"/>
    <x v="3"/>
    <x v="1"/>
    <x v="1"/>
    <x v="1"/>
    <x v="4"/>
    <n v="55"/>
    <n v="4999"/>
    <n v="18"/>
    <n v="225454.9"/>
    <n v="4.4000000000000004"/>
    <n v="20"/>
    <n v="49490.1"/>
    <s v="6 Months"/>
  </r>
  <r>
    <x v="1356"/>
    <n v="4894136"/>
    <n v="56"/>
    <x v="1"/>
    <x v="48"/>
    <x v="0"/>
    <x v="3"/>
    <x v="2"/>
    <x v="2"/>
    <x v="1"/>
    <x v="4"/>
    <n v="10"/>
    <n v="24900"/>
    <n v="5"/>
    <n v="236550"/>
    <n v="4.8"/>
    <n v="20"/>
    <n v="44820"/>
    <s v="6 Months"/>
  </r>
  <r>
    <x v="1357"/>
    <n v="6441994"/>
    <n v="51"/>
    <x v="1"/>
    <x v="48"/>
    <x v="0"/>
    <x v="2"/>
    <x v="3"/>
    <x v="3"/>
    <x v="0"/>
    <x v="4"/>
    <n v="3"/>
    <n v="84999"/>
    <n v="12"/>
    <n v="224397.36"/>
    <n v="4.5"/>
    <n v="20"/>
    <n v="45899.46"/>
    <s v="6 Months"/>
  </r>
  <r>
    <x v="1358"/>
    <n v="3857140"/>
    <n v="39"/>
    <x v="0"/>
    <x v="48"/>
    <x v="0"/>
    <x v="4"/>
    <x v="2"/>
    <x v="4"/>
    <x v="2"/>
    <x v="4"/>
    <n v="5"/>
    <n v="69999"/>
    <n v="8"/>
    <n v="321995.40000000002"/>
    <n v="4.8"/>
    <n v="20"/>
    <n v="62999.1"/>
    <s v="1 Year"/>
  </r>
  <r>
    <x v="1359"/>
    <n v="1461081"/>
    <n v="65"/>
    <x v="1"/>
    <x v="48"/>
    <x v="0"/>
    <x v="3"/>
    <x v="1"/>
    <x v="5"/>
    <x v="2"/>
    <x v="4"/>
    <n v="9"/>
    <n v="42999"/>
    <n v="15"/>
    <n v="328942.34999999998"/>
    <n v="4.5999999999999996"/>
    <n v="20"/>
    <n v="69658.38"/>
    <s v="6 Months"/>
  </r>
  <r>
    <x v="1360"/>
    <n v="7515163"/>
    <n v="66"/>
    <x v="1"/>
    <x v="49"/>
    <x v="0"/>
    <x v="4"/>
    <x v="0"/>
    <x v="0"/>
    <x v="0"/>
    <x v="0"/>
    <n v="6"/>
    <n v="99999"/>
    <n v="10"/>
    <n v="539994.6"/>
    <n v="4.7"/>
    <n v="20"/>
    <n v="107998.92"/>
    <s v="1 Year"/>
  </r>
  <r>
    <x v="1361"/>
    <n v="584759"/>
    <n v="19"/>
    <x v="2"/>
    <x v="49"/>
    <x v="0"/>
    <x v="2"/>
    <x v="1"/>
    <x v="1"/>
    <x v="1"/>
    <x v="0"/>
    <n v="47"/>
    <n v="4999"/>
    <n v="18"/>
    <n v="192661.46"/>
    <n v="4.4000000000000004"/>
    <n v="20"/>
    <n v="42291.54"/>
    <s v="1 Year"/>
  </r>
  <r>
    <x v="1362"/>
    <n v="5237450"/>
    <n v="21"/>
    <x v="0"/>
    <x v="49"/>
    <x v="0"/>
    <x v="3"/>
    <x v="2"/>
    <x v="2"/>
    <x v="1"/>
    <x v="0"/>
    <n v="14"/>
    <n v="24900"/>
    <n v="5"/>
    <n v="331170"/>
    <n v="4.8"/>
    <n v="20"/>
    <n v="62748"/>
    <s v="1 Year"/>
  </r>
  <r>
    <x v="1363"/>
    <n v="5008235"/>
    <n v="48"/>
    <x v="0"/>
    <x v="49"/>
    <x v="0"/>
    <x v="3"/>
    <x v="3"/>
    <x v="3"/>
    <x v="0"/>
    <x v="0"/>
    <n v="5"/>
    <n v="84999"/>
    <n v="12"/>
    <n v="373995.6"/>
    <n v="4.5"/>
    <n v="20"/>
    <n v="76499.099999999991"/>
    <s v="1 Year"/>
  </r>
  <r>
    <x v="1364"/>
    <n v="6214589"/>
    <n v="44"/>
    <x v="0"/>
    <x v="49"/>
    <x v="0"/>
    <x v="2"/>
    <x v="2"/>
    <x v="4"/>
    <x v="2"/>
    <x v="0"/>
    <n v="3"/>
    <n v="69999"/>
    <n v="8"/>
    <n v="193197.24"/>
    <n v="4.8"/>
    <n v="20"/>
    <n v="37799.46"/>
    <s v="1 Year"/>
  </r>
  <r>
    <x v="1365"/>
    <n v="3465545"/>
    <n v="53"/>
    <x v="1"/>
    <x v="49"/>
    <x v="0"/>
    <x v="2"/>
    <x v="1"/>
    <x v="5"/>
    <x v="2"/>
    <x v="0"/>
    <n v="10"/>
    <n v="42999"/>
    <n v="15"/>
    <n v="365491.5"/>
    <n v="4.5999999999999996"/>
    <n v="20"/>
    <n v="77398.2"/>
    <s v="6 Months"/>
  </r>
  <r>
    <x v="1366"/>
    <n v="390677"/>
    <n v="44"/>
    <x v="0"/>
    <x v="49"/>
    <x v="0"/>
    <x v="1"/>
    <x v="0"/>
    <x v="0"/>
    <x v="0"/>
    <x v="1"/>
    <n v="6"/>
    <n v="99999"/>
    <n v="10"/>
    <n v="539994.6"/>
    <n v="4.7"/>
    <n v="20"/>
    <n v="107998.92"/>
    <s v="1 Year"/>
  </r>
  <r>
    <x v="1367"/>
    <n v="3680107"/>
    <n v="49"/>
    <x v="0"/>
    <x v="49"/>
    <x v="0"/>
    <x v="3"/>
    <x v="1"/>
    <x v="1"/>
    <x v="1"/>
    <x v="1"/>
    <n v="66"/>
    <n v="4999"/>
    <n v="18"/>
    <n v="270545.88"/>
    <n v="4.4000000000000004"/>
    <n v="20"/>
    <n v="59388.119999999995"/>
    <s v="6 Months"/>
  </r>
  <r>
    <x v="1368"/>
    <n v="2033412"/>
    <n v="40"/>
    <x v="0"/>
    <x v="49"/>
    <x v="0"/>
    <x v="5"/>
    <x v="2"/>
    <x v="2"/>
    <x v="1"/>
    <x v="1"/>
    <n v="2"/>
    <n v="24900"/>
    <n v="5"/>
    <n v="47310"/>
    <n v="4.8"/>
    <n v="20"/>
    <n v="8964"/>
    <s v="1 Year"/>
  </r>
  <r>
    <x v="1369"/>
    <n v="1477283"/>
    <n v="39"/>
    <x v="0"/>
    <x v="49"/>
    <x v="0"/>
    <x v="2"/>
    <x v="3"/>
    <x v="3"/>
    <x v="0"/>
    <x v="1"/>
    <n v="4"/>
    <n v="84999"/>
    <n v="12"/>
    <n v="299196.48"/>
    <n v="4.5"/>
    <n v="20"/>
    <n v="61199.28"/>
    <s v="6 Months"/>
  </r>
  <r>
    <x v="1370"/>
    <n v="988834"/>
    <n v="67"/>
    <x v="1"/>
    <x v="49"/>
    <x v="0"/>
    <x v="2"/>
    <x v="2"/>
    <x v="4"/>
    <x v="2"/>
    <x v="1"/>
    <n v="4"/>
    <n v="69999"/>
    <n v="8"/>
    <n v="257596.32"/>
    <n v="4.8"/>
    <n v="20"/>
    <n v="50399.28"/>
    <s v="1 Year"/>
  </r>
  <r>
    <x v="1371"/>
    <n v="4583329"/>
    <n v="24"/>
    <x v="0"/>
    <x v="49"/>
    <x v="2"/>
    <x v="1"/>
    <x v="1"/>
    <x v="5"/>
    <x v="2"/>
    <x v="1"/>
    <n v="5"/>
    <n v="42999"/>
    <n v="15"/>
    <n v="182745.75"/>
    <n v="4.5999999999999996"/>
    <n v="20"/>
    <n v="38699.1"/>
    <s v="1 Year"/>
  </r>
  <r>
    <x v="1372"/>
    <n v="8936832"/>
    <n v="27"/>
    <x v="0"/>
    <x v="49"/>
    <x v="3"/>
    <x v="2"/>
    <x v="0"/>
    <x v="0"/>
    <x v="0"/>
    <x v="2"/>
    <n v="3"/>
    <n v="99999"/>
    <n v="10"/>
    <n v="269997.3"/>
    <n v="4.7"/>
    <n v="20"/>
    <n v="53999.46"/>
    <s v="1 Year"/>
  </r>
  <r>
    <x v="1373"/>
    <n v="9911191"/>
    <n v="66"/>
    <x v="1"/>
    <x v="49"/>
    <x v="0"/>
    <x v="3"/>
    <x v="1"/>
    <x v="1"/>
    <x v="1"/>
    <x v="2"/>
    <n v="36"/>
    <n v="4999"/>
    <n v="18"/>
    <n v="147570.48000000001"/>
    <n v="4.4000000000000004"/>
    <n v="20"/>
    <n v="32393.52"/>
    <s v="1 Year"/>
  </r>
  <r>
    <x v="1374"/>
    <n v="7773738"/>
    <n v="41"/>
    <x v="0"/>
    <x v="49"/>
    <x v="0"/>
    <x v="3"/>
    <x v="2"/>
    <x v="2"/>
    <x v="1"/>
    <x v="2"/>
    <n v="11"/>
    <n v="24900"/>
    <n v="5"/>
    <n v="260205"/>
    <n v="4.8"/>
    <n v="20"/>
    <n v="49302"/>
    <s v="1 Year"/>
  </r>
  <r>
    <x v="1375"/>
    <n v="9652389"/>
    <n v="24"/>
    <x v="0"/>
    <x v="49"/>
    <x v="0"/>
    <x v="2"/>
    <x v="3"/>
    <x v="3"/>
    <x v="0"/>
    <x v="2"/>
    <n v="6"/>
    <n v="84999"/>
    <n v="12"/>
    <n v="448794.72"/>
    <n v="4.5"/>
    <n v="20"/>
    <n v="91798.92"/>
    <s v="6 Months"/>
  </r>
  <r>
    <x v="1376"/>
    <n v="3312546"/>
    <n v="29"/>
    <x v="0"/>
    <x v="49"/>
    <x v="0"/>
    <x v="0"/>
    <x v="2"/>
    <x v="4"/>
    <x v="2"/>
    <x v="2"/>
    <n v="5"/>
    <n v="69999"/>
    <n v="8"/>
    <n v="321995.40000000002"/>
    <n v="4.8"/>
    <n v="20"/>
    <n v="62999.1"/>
    <s v="1 Year"/>
  </r>
  <r>
    <x v="1377"/>
    <n v="4251045"/>
    <n v="44"/>
    <x v="0"/>
    <x v="49"/>
    <x v="0"/>
    <x v="2"/>
    <x v="1"/>
    <x v="5"/>
    <x v="2"/>
    <x v="2"/>
    <n v="11"/>
    <n v="42999"/>
    <n v="15"/>
    <n v="402040.65"/>
    <n v="4.5999999999999996"/>
    <n v="20"/>
    <n v="85138.02"/>
    <s v="6 Months"/>
  </r>
  <r>
    <x v="1378"/>
    <n v="7485773"/>
    <n v="36"/>
    <x v="0"/>
    <x v="49"/>
    <x v="0"/>
    <x v="2"/>
    <x v="0"/>
    <x v="0"/>
    <x v="0"/>
    <x v="3"/>
    <n v="3"/>
    <n v="99999"/>
    <n v="10"/>
    <n v="269997.3"/>
    <n v="4.7"/>
    <n v="20"/>
    <n v="53999.46"/>
    <s v="6 Months"/>
  </r>
  <r>
    <x v="1379"/>
    <n v="986501"/>
    <n v="51"/>
    <x v="1"/>
    <x v="49"/>
    <x v="0"/>
    <x v="3"/>
    <x v="1"/>
    <x v="1"/>
    <x v="1"/>
    <x v="3"/>
    <n v="58"/>
    <n v="4999"/>
    <n v="18"/>
    <n v="237752.44"/>
    <n v="4.4000000000000004"/>
    <n v="20"/>
    <n v="52189.56"/>
    <s v="6 Months"/>
  </r>
  <r>
    <x v="1380"/>
    <n v="3791898"/>
    <n v="57"/>
    <x v="1"/>
    <x v="49"/>
    <x v="0"/>
    <x v="0"/>
    <x v="2"/>
    <x v="2"/>
    <x v="1"/>
    <x v="3"/>
    <n v="9"/>
    <n v="24900"/>
    <n v="5"/>
    <n v="212895"/>
    <n v="4.8"/>
    <n v="20"/>
    <n v="40338"/>
    <s v="1 Year"/>
  </r>
  <r>
    <x v="1381"/>
    <n v="6685863"/>
    <n v="40"/>
    <x v="0"/>
    <x v="49"/>
    <x v="3"/>
    <x v="2"/>
    <x v="3"/>
    <x v="3"/>
    <x v="0"/>
    <x v="3"/>
    <n v="6"/>
    <n v="84999"/>
    <n v="12"/>
    <n v="448794.72"/>
    <n v="4.5"/>
    <n v="20"/>
    <n v="91798.92"/>
    <s v="1 Year"/>
  </r>
  <r>
    <x v="1382"/>
    <n v="345867"/>
    <n v="28"/>
    <x v="0"/>
    <x v="49"/>
    <x v="3"/>
    <x v="2"/>
    <x v="2"/>
    <x v="4"/>
    <x v="2"/>
    <x v="3"/>
    <n v="6"/>
    <n v="69999"/>
    <n v="8"/>
    <n v="386394.48"/>
    <n v="4.8"/>
    <n v="20"/>
    <n v="75598.92"/>
    <s v="1 Year"/>
  </r>
  <r>
    <x v="1383"/>
    <n v="6911000"/>
    <n v="31"/>
    <x v="0"/>
    <x v="49"/>
    <x v="0"/>
    <x v="0"/>
    <x v="1"/>
    <x v="5"/>
    <x v="2"/>
    <x v="3"/>
    <n v="10"/>
    <n v="42999"/>
    <n v="15"/>
    <n v="365491.5"/>
    <n v="4.5999999999999996"/>
    <n v="20"/>
    <n v="77398.2"/>
    <s v="1 Year"/>
  </r>
  <r>
    <x v="1384"/>
    <n v="8893631"/>
    <n v="37"/>
    <x v="0"/>
    <x v="49"/>
    <x v="0"/>
    <x v="3"/>
    <x v="0"/>
    <x v="0"/>
    <x v="0"/>
    <x v="4"/>
    <n v="6"/>
    <n v="99999"/>
    <n v="10"/>
    <n v="539994.6"/>
    <n v="4.7"/>
    <n v="20"/>
    <n v="107998.92"/>
    <s v="6 Months"/>
  </r>
  <r>
    <x v="1385"/>
    <n v="6796932"/>
    <n v="25"/>
    <x v="0"/>
    <x v="49"/>
    <x v="0"/>
    <x v="3"/>
    <x v="1"/>
    <x v="1"/>
    <x v="1"/>
    <x v="4"/>
    <n v="36"/>
    <n v="4999"/>
    <n v="18"/>
    <n v="147570.48000000001"/>
    <n v="4.4000000000000004"/>
    <n v="20"/>
    <n v="32393.52"/>
    <s v="1 Year"/>
  </r>
  <r>
    <x v="1385"/>
    <n v="6796932"/>
    <n v="23"/>
    <x v="0"/>
    <x v="49"/>
    <x v="0"/>
    <x v="5"/>
    <x v="2"/>
    <x v="2"/>
    <x v="1"/>
    <x v="4"/>
    <n v="9"/>
    <n v="24900"/>
    <n v="5"/>
    <n v="212895"/>
    <n v="4.8"/>
    <n v="20"/>
    <n v="40338"/>
    <s v="1 Year"/>
  </r>
  <r>
    <x v="1386"/>
    <n v="271059"/>
    <n v="26"/>
    <x v="0"/>
    <x v="49"/>
    <x v="0"/>
    <x v="0"/>
    <x v="3"/>
    <x v="3"/>
    <x v="0"/>
    <x v="4"/>
    <n v="5"/>
    <n v="84999"/>
    <n v="12"/>
    <n v="373995.6"/>
    <n v="4.5"/>
    <n v="20"/>
    <n v="76499.099999999991"/>
    <s v="1 Year"/>
  </r>
  <r>
    <x v="1386"/>
    <n v="271059"/>
    <n v="30"/>
    <x v="0"/>
    <x v="49"/>
    <x v="0"/>
    <x v="2"/>
    <x v="2"/>
    <x v="4"/>
    <x v="2"/>
    <x v="4"/>
    <n v="6"/>
    <n v="69999"/>
    <n v="8"/>
    <n v="386394.48"/>
    <n v="4.8"/>
    <n v="20"/>
    <n v="75598.92"/>
    <s v="1 Year"/>
  </r>
  <r>
    <x v="1386"/>
    <n v="271059"/>
    <n v="34"/>
    <x v="0"/>
    <x v="49"/>
    <x v="0"/>
    <x v="5"/>
    <x v="1"/>
    <x v="5"/>
    <x v="2"/>
    <x v="4"/>
    <n v="6"/>
    <n v="42999"/>
    <n v="15"/>
    <n v="219294.9"/>
    <n v="4.5999999999999996"/>
    <n v="20"/>
    <n v="46438.92"/>
    <s v="1 Year"/>
  </r>
  <r>
    <x v="1386"/>
    <n v="271059"/>
    <n v="19"/>
    <x v="2"/>
    <x v="50"/>
    <x v="0"/>
    <x v="0"/>
    <x v="0"/>
    <x v="0"/>
    <x v="0"/>
    <x v="0"/>
    <n v="3"/>
    <n v="99999"/>
    <n v="10"/>
    <n v="269997.3"/>
    <n v="4.7"/>
    <n v="20"/>
    <n v="53999.46"/>
    <s v="1 Year"/>
  </r>
  <r>
    <x v="1386"/>
    <n v="271059"/>
    <n v="36"/>
    <x v="0"/>
    <x v="50"/>
    <x v="0"/>
    <x v="2"/>
    <x v="1"/>
    <x v="1"/>
    <x v="1"/>
    <x v="0"/>
    <n v="60"/>
    <n v="4999"/>
    <n v="18"/>
    <n v="245950.8"/>
    <n v="4.4000000000000004"/>
    <n v="20"/>
    <n v="53989.2"/>
    <s v="1 Year"/>
  </r>
  <r>
    <x v="1387"/>
    <n v="5064895"/>
    <n v="46"/>
    <x v="0"/>
    <x v="50"/>
    <x v="0"/>
    <x v="0"/>
    <x v="2"/>
    <x v="2"/>
    <x v="1"/>
    <x v="0"/>
    <n v="14"/>
    <n v="24900"/>
    <n v="5"/>
    <n v="331170"/>
    <n v="4.8"/>
    <n v="20"/>
    <n v="62748"/>
    <s v="1 Year"/>
  </r>
  <r>
    <x v="1388"/>
    <n v="3798702"/>
    <n v="47"/>
    <x v="0"/>
    <x v="50"/>
    <x v="0"/>
    <x v="2"/>
    <x v="3"/>
    <x v="3"/>
    <x v="0"/>
    <x v="0"/>
    <n v="6"/>
    <n v="84999"/>
    <n v="12"/>
    <n v="448794.72"/>
    <n v="4.5"/>
    <n v="20"/>
    <n v="91798.92"/>
    <s v="6 Months"/>
  </r>
  <r>
    <x v="1389"/>
    <n v="4107684"/>
    <n v="64"/>
    <x v="1"/>
    <x v="50"/>
    <x v="0"/>
    <x v="2"/>
    <x v="2"/>
    <x v="4"/>
    <x v="2"/>
    <x v="0"/>
    <n v="2"/>
    <n v="69999"/>
    <n v="8"/>
    <n v="128798.16"/>
    <n v="4.8"/>
    <n v="20"/>
    <n v="25199.64"/>
    <s v="6 Months"/>
  </r>
  <r>
    <x v="1390"/>
    <n v="3572419"/>
    <n v="74"/>
    <x v="1"/>
    <x v="50"/>
    <x v="0"/>
    <x v="2"/>
    <x v="1"/>
    <x v="5"/>
    <x v="2"/>
    <x v="0"/>
    <n v="9"/>
    <n v="42999"/>
    <n v="15"/>
    <n v="328942.34999999998"/>
    <n v="4.5999999999999996"/>
    <n v="20"/>
    <n v="69658.38"/>
    <s v="1 Year"/>
  </r>
  <r>
    <x v="1391"/>
    <n v="7685627"/>
    <n v="27"/>
    <x v="0"/>
    <x v="50"/>
    <x v="0"/>
    <x v="0"/>
    <x v="0"/>
    <x v="0"/>
    <x v="0"/>
    <x v="1"/>
    <n v="3"/>
    <n v="99999"/>
    <n v="10"/>
    <n v="269997.3"/>
    <n v="4.7"/>
    <n v="20"/>
    <n v="53999.46"/>
    <s v="6 Months"/>
  </r>
  <r>
    <x v="1392"/>
    <n v="4362268"/>
    <n v="23"/>
    <x v="0"/>
    <x v="50"/>
    <x v="0"/>
    <x v="3"/>
    <x v="1"/>
    <x v="1"/>
    <x v="1"/>
    <x v="1"/>
    <n v="66"/>
    <n v="4999"/>
    <n v="18"/>
    <n v="270545.88"/>
    <n v="4.4000000000000004"/>
    <n v="20"/>
    <n v="59388.119999999995"/>
    <s v="1 Year"/>
  </r>
  <r>
    <x v="1393"/>
    <n v="6435955"/>
    <n v="51"/>
    <x v="1"/>
    <x v="50"/>
    <x v="0"/>
    <x v="2"/>
    <x v="2"/>
    <x v="2"/>
    <x v="1"/>
    <x v="1"/>
    <n v="15"/>
    <n v="24900"/>
    <n v="5"/>
    <n v="354825"/>
    <n v="4.8"/>
    <n v="20"/>
    <n v="67230"/>
    <s v="1 Year"/>
  </r>
  <r>
    <x v="1394"/>
    <n v="7448214"/>
    <n v="19"/>
    <x v="2"/>
    <x v="50"/>
    <x v="0"/>
    <x v="3"/>
    <x v="3"/>
    <x v="3"/>
    <x v="0"/>
    <x v="1"/>
    <n v="6"/>
    <n v="84999"/>
    <n v="12"/>
    <n v="448794.72"/>
    <n v="4.5"/>
    <n v="20"/>
    <n v="91798.92"/>
    <s v="6 Months"/>
  </r>
  <r>
    <x v="1395"/>
    <n v="9969448"/>
    <n v="77"/>
    <x v="1"/>
    <x v="50"/>
    <x v="0"/>
    <x v="1"/>
    <x v="2"/>
    <x v="4"/>
    <x v="2"/>
    <x v="1"/>
    <n v="4"/>
    <n v="69999"/>
    <n v="8"/>
    <n v="257596.32"/>
    <n v="4.8"/>
    <n v="20"/>
    <n v="50399.28"/>
    <s v="1 Year"/>
  </r>
  <r>
    <x v="1396"/>
    <n v="6359995"/>
    <n v="37"/>
    <x v="0"/>
    <x v="50"/>
    <x v="0"/>
    <x v="3"/>
    <x v="1"/>
    <x v="5"/>
    <x v="2"/>
    <x v="1"/>
    <n v="6"/>
    <n v="42999"/>
    <n v="15"/>
    <n v="219294.9"/>
    <n v="4.5999999999999996"/>
    <n v="20"/>
    <n v="46438.92"/>
    <s v="6 Months"/>
  </r>
  <r>
    <x v="1396"/>
    <n v="6359995"/>
    <n v="35"/>
    <x v="0"/>
    <x v="50"/>
    <x v="2"/>
    <x v="3"/>
    <x v="0"/>
    <x v="0"/>
    <x v="0"/>
    <x v="2"/>
    <n v="4"/>
    <n v="99999"/>
    <n v="10"/>
    <n v="359996.4"/>
    <n v="4.7"/>
    <n v="20"/>
    <n v="71999.28"/>
    <s v="6 Months"/>
  </r>
  <r>
    <x v="1397"/>
    <n v="6597399"/>
    <n v="23"/>
    <x v="0"/>
    <x v="50"/>
    <x v="0"/>
    <x v="1"/>
    <x v="1"/>
    <x v="1"/>
    <x v="1"/>
    <x v="2"/>
    <n v="31"/>
    <n v="4999"/>
    <n v="18"/>
    <n v="127074.58"/>
    <n v="4.4000000000000004"/>
    <n v="20"/>
    <n v="27894.42"/>
    <s v="1 Year"/>
  </r>
  <r>
    <x v="1398"/>
    <n v="5356391"/>
    <n v="25"/>
    <x v="0"/>
    <x v="50"/>
    <x v="0"/>
    <x v="2"/>
    <x v="2"/>
    <x v="2"/>
    <x v="1"/>
    <x v="2"/>
    <n v="5"/>
    <n v="24900"/>
    <n v="5"/>
    <n v="118275"/>
    <n v="4.8"/>
    <n v="20"/>
    <n v="22410"/>
    <s v="1 Year"/>
  </r>
  <r>
    <x v="1398"/>
    <n v="5356391"/>
    <n v="23"/>
    <x v="0"/>
    <x v="50"/>
    <x v="0"/>
    <x v="0"/>
    <x v="3"/>
    <x v="3"/>
    <x v="0"/>
    <x v="2"/>
    <n v="5"/>
    <n v="84999"/>
    <n v="12"/>
    <n v="373995.6"/>
    <n v="4.5"/>
    <n v="20"/>
    <n v="76499.099999999991"/>
    <s v="6 Months"/>
  </r>
  <r>
    <x v="1399"/>
    <n v="6382929"/>
    <n v="59"/>
    <x v="1"/>
    <x v="50"/>
    <x v="0"/>
    <x v="2"/>
    <x v="2"/>
    <x v="4"/>
    <x v="2"/>
    <x v="2"/>
    <n v="4"/>
    <n v="69999"/>
    <n v="8"/>
    <n v="257596.32"/>
    <n v="4.8"/>
    <n v="20"/>
    <n v="50399.28"/>
    <s v="6 Months"/>
  </r>
  <r>
    <x v="1400"/>
    <n v="4133616"/>
    <n v="34"/>
    <x v="0"/>
    <x v="50"/>
    <x v="0"/>
    <x v="3"/>
    <x v="1"/>
    <x v="5"/>
    <x v="2"/>
    <x v="2"/>
    <n v="5"/>
    <n v="42999"/>
    <n v="15"/>
    <n v="182745.75"/>
    <n v="4.5999999999999996"/>
    <n v="20"/>
    <n v="38699.1"/>
    <s v="1 Year"/>
  </r>
  <r>
    <x v="1401"/>
    <n v="2288474"/>
    <n v="42"/>
    <x v="0"/>
    <x v="50"/>
    <x v="0"/>
    <x v="2"/>
    <x v="0"/>
    <x v="0"/>
    <x v="0"/>
    <x v="3"/>
    <n v="3"/>
    <n v="99999"/>
    <n v="10"/>
    <n v="269997.3"/>
    <n v="4.7"/>
    <n v="20"/>
    <n v="53999.46"/>
    <s v="1 Year"/>
  </r>
  <r>
    <x v="1402"/>
    <n v="5308365"/>
    <n v="23"/>
    <x v="0"/>
    <x v="50"/>
    <x v="0"/>
    <x v="3"/>
    <x v="1"/>
    <x v="1"/>
    <x v="1"/>
    <x v="3"/>
    <n v="52"/>
    <n v="4999"/>
    <n v="18"/>
    <n v="213157.36"/>
    <n v="4.4000000000000004"/>
    <n v="20"/>
    <n v="46790.64"/>
    <s v="1 Year"/>
  </r>
  <r>
    <x v="1403"/>
    <n v="3359583"/>
    <n v="76"/>
    <x v="1"/>
    <x v="50"/>
    <x v="0"/>
    <x v="0"/>
    <x v="2"/>
    <x v="2"/>
    <x v="1"/>
    <x v="3"/>
    <n v="8"/>
    <n v="24900"/>
    <n v="5"/>
    <n v="189240"/>
    <n v="4.8"/>
    <n v="20"/>
    <n v="35856"/>
    <s v="1 Year"/>
  </r>
  <r>
    <x v="1404"/>
    <n v="4652998"/>
    <n v="24"/>
    <x v="0"/>
    <x v="50"/>
    <x v="0"/>
    <x v="0"/>
    <x v="3"/>
    <x v="3"/>
    <x v="0"/>
    <x v="3"/>
    <n v="2"/>
    <n v="84999"/>
    <n v="12"/>
    <n v="149598.24"/>
    <n v="4.5"/>
    <n v="20"/>
    <n v="30599.64"/>
    <s v="6 Months"/>
  </r>
  <r>
    <x v="1405"/>
    <n v="193674"/>
    <n v="39"/>
    <x v="0"/>
    <x v="50"/>
    <x v="0"/>
    <x v="2"/>
    <x v="2"/>
    <x v="4"/>
    <x v="2"/>
    <x v="3"/>
    <n v="3"/>
    <n v="69999"/>
    <n v="8"/>
    <n v="193197.24"/>
    <n v="4.8"/>
    <n v="20"/>
    <n v="37799.46"/>
    <s v="1 Year"/>
  </r>
  <r>
    <x v="1406"/>
    <n v="6183438"/>
    <n v="32"/>
    <x v="0"/>
    <x v="50"/>
    <x v="0"/>
    <x v="1"/>
    <x v="1"/>
    <x v="5"/>
    <x v="2"/>
    <x v="3"/>
    <n v="5"/>
    <n v="42999"/>
    <n v="15"/>
    <n v="182745.75"/>
    <n v="4.5999999999999996"/>
    <n v="20"/>
    <n v="38699.1"/>
    <s v="6 Months"/>
  </r>
  <r>
    <x v="1407"/>
    <n v="9541623"/>
    <n v="32"/>
    <x v="0"/>
    <x v="50"/>
    <x v="0"/>
    <x v="2"/>
    <x v="0"/>
    <x v="0"/>
    <x v="0"/>
    <x v="4"/>
    <n v="5"/>
    <n v="99999"/>
    <n v="10"/>
    <n v="449995.5"/>
    <n v="4.7"/>
    <n v="20"/>
    <n v="89999.099999999991"/>
    <s v="6 Months"/>
  </r>
  <r>
    <x v="1408"/>
    <n v="1537228"/>
    <n v="47"/>
    <x v="0"/>
    <x v="50"/>
    <x v="0"/>
    <x v="0"/>
    <x v="1"/>
    <x v="1"/>
    <x v="1"/>
    <x v="4"/>
    <n v="34"/>
    <n v="4999"/>
    <n v="18"/>
    <n v="139372.12"/>
    <n v="4.4000000000000004"/>
    <n v="20"/>
    <n v="30593.879999999997"/>
    <s v="1 Year"/>
  </r>
  <r>
    <x v="1409"/>
    <n v="9462272"/>
    <n v="52"/>
    <x v="1"/>
    <x v="50"/>
    <x v="0"/>
    <x v="2"/>
    <x v="2"/>
    <x v="2"/>
    <x v="1"/>
    <x v="4"/>
    <n v="10"/>
    <n v="24900"/>
    <n v="5"/>
    <n v="236550"/>
    <n v="4.8"/>
    <n v="20"/>
    <n v="44820"/>
    <s v="6 Months"/>
  </r>
  <r>
    <x v="1410"/>
    <n v="1453043"/>
    <n v="77"/>
    <x v="1"/>
    <x v="50"/>
    <x v="0"/>
    <x v="2"/>
    <x v="3"/>
    <x v="3"/>
    <x v="0"/>
    <x v="4"/>
    <n v="6"/>
    <n v="84999"/>
    <n v="12"/>
    <n v="448794.72"/>
    <n v="4.5"/>
    <n v="20"/>
    <n v="91798.92"/>
    <s v="1 Year"/>
  </r>
  <r>
    <x v="1411"/>
    <n v="2894896"/>
    <n v="72"/>
    <x v="1"/>
    <x v="50"/>
    <x v="0"/>
    <x v="0"/>
    <x v="2"/>
    <x v="4"/>
    <x v="2"/>
    <x v="4"/>
    <n v="6"/>
    <n v="69999"/>
    <n v="8"/>
    <n v="386394.48"/>
    <n v="4.8"/>
    <n v="20"/>
    <n v="75598.92"/>
    <s v="1 Year"/>
  </r>
  <r>
    <x v="1412"/>
    <n v="4224057"/>
    <n v="23"/>
    <x v="0"/>
    <x v="50"/>
    <x v="0"/>
    <x v="2"/>
    <x v="1"/>
    <x v="5"/>
    <x v="2"/>
    <x v="4"/>
    <n v="5"/>
    <n v="42999"/>
    <n v="15"/>
    <n v="182745.75"/>
    <n v="4.5999999999999996"/>
    <n v="20"/>
    <n v="38699.1"/>
    <s v="1 Year"/>
  </r>
  <r>
    <x v="1413"/>
    <n v="3637560"/>
    <n v="67"/>
    <x v="1"/>
    <x v="51"/>
    <x v="0"/>
    <x v="3"/>
    <x v="0"/>
    <x v="0"/>
    <x v="0"/>
    <x v="0"/>
    <n v="6"/>
    <n v="99999"/>
    <n v="10"/>
    <n v="539994.6"/>
    <n v="4.7"/>
    <n v="20"/>
    <n v="107998.92"/>
    <s v="1 Year"/>
  </r>
  <r>
    <x v="1414"/>
    <n v="1352141"/>
    <n v="43"/>
    <x v="0"/>
    <x v="51"/>
    <x v="3"/>
    <x v="2"/>
    <x v="1"/>
    <x v="1"/>
    <x v="1"/>
    <x v="0"/>
    <n v="45"/>
    <n v="4999"/>
    <n v="18"/>
    <n v="184463.1"/>
    <n v="4.4000000000000004"/>
    <n v="20"/>
    <n v="40491.9"/>
    <s v="1 Year"/>
  </r>
  <r>
    <x v="1415"/>
    <n v="5813082"/>
    <n v="64"/>
    <x v="1"/>
    <x v="51"/>
    <x v="3"/>
    <x v="3"/>
    <x v="2"/>
    <x v="2"/>
    <x v="1"/>
    <x v="0"/>
    <n v="11"/>
    <n v="24900"/>
    <n v="5"/>
    <n v="260205"/>
    <n v="4.8"/>
    <n v="20"/>
    <n v="49302"/>
    <s v="1 Year"/>
  </r>
  <r>
    <x v="1416"/>
    <n v="894007"/>
    <n v="36"/>
    <x v="0"/>
    <x v="51"/>
    <x v="0"/>
    <x v="0"/>
    <x v="3"/>
    <x v="3"/>
    <x v="0"/>
    <x v="0"/>
    <n v="3"/>
    <n v="84999"/>
    <n v="12"/>
    <n v="224397.36"/>
    <n v="4.5"/>
    <n v="20"/>
    <n v="45899.46"/>
    <s v="1 Year"/>
  </r>
  <r>
    <x v="1417"/>
    <n v="465764"/>
    <n v="46"/>
    <x v="0"/>
    <x v="51"/>
    <x v="0"/>
    <x v="2"/>
    <x v="2"/>
    <x v="4"/>
    <x v="2"/>
    <x v="0"/>
    <n v="3"/>
    <n v="69999"/>
    <n v="8"/>
    <n v="193197.24"/>
    <n v="4.8"/>
    <n v="20"/>
    <n v="37799.46"/>
    <s v="1 Year"/>
  </r>
  <r>
    <x v="1418"/>
    <n v="7376929"/>
    <n v="25"/>
    <x v="0"/>
    <x v="51"/>
    <x v="0"/>
    <x v="0"/>
    <x v="1"/>
    <x v="5"/>
    <x v="2"/>
    <x v="0"/>
    <n v="5"/>
    <n v="42999"/>
    <n v="15"/>
    <n v="182745.75"/>
    <n v="4.5999999999999996"/>
    <n v="20"/>
    <n v="38699.1"/>
    <s v="1 Year"/>
  </r>
  <r>
    <x v="1419"/>
    <n v="6661351"/>
    <n v="70"/>
    <x v="1"/>
    <x v="51"/>
    <x v="0"/>
    <x v="3"/>
    <x v="0"/>
    <x v="0"/>
    <x v="0"/>
    <x v="1"/>
    <n v="3"/>
    <n v="99999"/>
    <n v="10"/>
    <n v="269997.3"/>
    <n v="4.7"/>
    <n v="20"/>
    <n v="53999.46"/>
    <s v="1 Year"/>
  </r>
  <r>
    <x v="1420"/>
    <n v="7910592"/>
    <n v="37"/>
    <x v="0"/>
    <x v="51"/>
    <x v="0"/>
    <x v="3"/>
    <x v="1"/>
    <x v="1"/>
    <x v="1"/>
    <x v="1"/>
    <n v="44"/>
    <n v="4999"/>
    <n v="18"/>
    <n v="180363.91999999998"/>
    <n v="4.4000000000000004"/>
    <n v="20"/>
    <n v="39592.080000000002"/>
    <s v="1 Year"/>
  </r>
  <r>
    <x v="1421"/>
    <n v="5104847"/>
    <n v="46"/>
    <x v="0"/>
    <x v="51"/>
    <x v="0"/>
    <x v="0"/>
    <x v="2"/>
    <x v="2"/>
    <x v="1"/>
    <x v="1"/>
    <n v="15"/>
    <n v="24900"/>
    <n v="5"/>
    <n v="354825"/>
    <n v="4.8"/>
    <n v="20"/>
    <n v="67230"/>
    <s v="6 Months"/>
  </r>
  <r>
    <x v="1422"/>
    <n v="1466365"/>
    <n v="43"/>
    <x v="0"/>
    <x v="51"/>
    <x v="2"/>
    <x v="0"/>
    <x v="3"/>
    <x v="3"/>
    <x v="0"/>
    <x v="1"/>
    <n v="5"/>
    <n v="84999"/>
    <n v="12"/>
    <n v="373995.6"/>
    <n v="4.5"/>
    <n v="20"/>
    <n v="76499.099999999991"/>
    <s v="1 Year"/>
  </r>
  <r>
    <x v="1423"/>
    <n v="3705877"/>
    <n v="36"/>
    <x v="0"/>
    <x v="51"/>
    <x v="0"/>
    <x v="0"/>
    <x v="2"/>
    <x v="4"/>
    <x v="2"/>
    <x v="1"/>
    <n v="4"/>
    <n v="69999"/>
    <n v="8"/>
    <n v="257596.32"/>
    <n v="4.8"/>
    <n v="20"/>
    <n v="50399.28"/>
    <s v="6 Months"/>
  </r>
  <r>
    <x v="1424"/>
    <n v="3064916"/>
    <n v="44"/>
    <x v="0"/>
    <x v="51"/>
    <x v="0"/>
    <x v="2"/>
    <x v="1"/>
    <x v="5"/>
    <x v="2"/>
    <x v="1"/>
    <n v="9"/>
    <n v="42999"/>
    <n v="15"/>
    <n v="328942.34999999998"/>
    <n v="4.5999999999999996"/>
    <n v="20"/>
    <n v="69658.38"/>
    <s v="1 Year"/>
  </r>
  <r>
    <x v="1425"/>
    <n v="5730171"/>
    <n v="42"/>
    <x v="0"/>
    <x v="51"/>
    <x v="0"/>
    <x v="2"/>
    <x v="0"/>
    <x v="0"/>
    <x v="0"/>
    <x v="2"/>
    <n v="6"/>
    <n v="99999"/>
    <n v="10"/>
    <n v="539994.6"/>
    <n v="4.7"/>
    <n v="20"/>
    <n v="107998.92"/>
    <s v="1 Year"/>
  </r>
  <r>
    <x v="1426"/>
    <n v="5008674"/>
    <n v="38"/>
    <x v="0"/>
    <x v="51"/>
    <x v="0"/>
    <x v="1"/>
    <x v="1"/>
    <x v="1"/>
    <x v="1"/>
    <x v="2"/>
    <n v="23"/>
    <n v="4999"/>
    <n v="18"/>
    <n v="94281.14"/>
    <n v="4.4000000000000004"/>
    <n v="20"/>
    <n v="20695.86"/>
    <s v="6 Months"/>
  </r>
  <r>
    <x v="1427"/>
    <n v="5329056"/>
    <n v="20"/>
    <x v="0"/>
    <x v="51"/>
    <x v="3"/>
    <x v="2"/>
    <x v="2"/>
    <x v="2"/>
    <x v="1"/>
    <x v="2"/>
    <n v="8"/>
    <n v="24900"/>
    <n v="5"/>
    <n v="189240"/>
    <n v="4.8"/>
    <n v="20"/>
    <n v="35856"/>
    <s v="1 Year"/>
  </r>
  <r>
    <x v="1428"/>
    <n v="9071801"/>
    <n v="44"/>
    <x v="0"/>
    <x v="51"/>
    <x v="0"/>
    <x v="0"/>
    <x v="3"/>
    <x v="3"/>
    <x v="0"/>
    <x v="2"/>
    <n v="3"/>
    <n v="84999"/>
    <n v="12"/>
    <n v="224397.36"/>
    <n v="4.5"/>
    <n v="20"/>
    <n v="45899.46"/>
    <s v="1 Year"/>
  </r>
  <r>
    <x v="1429"/>
    <n v="254956"/>
    <n v="75"/>
    <x v="1"/>
    <x v="51"/>
    <x v="0"/>
    <x v="1"/>
    <x v="2"/>
    <x v="4"/>
    <x v="2"/>
    <x v="2"/>
    <n v="3"/>
    <n v="69999"/>
    <n v="8"/>
    <n v="193197.24"/>
    <n v="4.8"/>
    <n v="20"/>
    <n v="37799.46"/>
    <s v="6 Months"/>
  </r>
  <r>
    <x v="1430"/>
    <n v="1522564"/>
    <n v="29"/>
    <x v="0"/>
    <x v="51"/>
    <x v="0"/>
    <x v="4"/>
    <x v="1"/>
    <x v="5"/>
    <x v="2"/>
    <x v="2"/>
    <n v="9"/>
    <n v="42999"/>
    <n v="15"/>
    <n v="328942.34999999998"/>
    <n v="4.5999999999999996"/>
    <n v="20"/>
    <n v="69658.38"/>
    <s v="1 Year"/>
  </r>
  <r>
    <x v="1431"/>
    <n v="6029952"/>
    <n v="42"/>
    <x v="0"/>
    <x v="51"/>
    <x v="0"/>
    <x v="2"/>
    <x v="0"/>
    <x v="0"/>
    <x v="0"/>
    <x v="3"/>
    <n v="5"/>
    <n v="99999"/>
    <n v="10"/>
    <n v="449995.5"/>
    <n v="4.7"/>
    <n v="20"/>
    <n v="89999.099999999991"/>
    <s v="1 Year"/>
  </r>
  <r>
    <x v="1432"/>
    <n v="7454120"/>
    <n v="25"/>
    <x v="0"/>
    <x v="51"/>
    <x v="0"/>
    <x v="0"/>
    <x v="1"/>
    <x v="1"/>
    <x v="1"/>
    <x v="3"/>
    <n v="51"/>
    <n v="4999"/>
    <n v="18"/>
    <n v="209058.18"/>
    <n v="4.4000000000000004"/>
    <n v="20"/>
    <n v="45890.82"/>
    <s v="6 Months"/>
  </r>
  <r>
    <x v="1433"/>
    <n v="9528462"/>
    <n v="29"/>
    <x v="0"/>
    <x v="51"/>
    <x v="0"/>
    <x v="2"/>
    <x v="2"/>
    <x v="2"/>
    <x v="1"/>
    <x v="3"/>
    <n v="7"/>
    <n v="24900"/>
    <n v="5"/>
    <n v="165585"/>
    <n v="4.8"/>
    <n v="20"/>
    <n v="31374"/>
    <s v="6 Months"/>
  </r>
  <r>
    <x v="1434"/>
    <n v="5127854"/>
    <n v="23"/>
    <x v="0"/>
    <x v="51"/>
    <x v="0"/>
    <x v="0"/>
    <x v="3"/>
    <x v="3"/>
    <x v="0"/>
    <x v="3"/>
    <n v="5"/>
    <n v="84999"/>
    <n v="12"/>
    <n v="373995.6"/>
    <n v="4.5"/>
    <n v="20"/>
    <n v="76499.099999999991"/>
    <s v="1 Year"/>
  </r>
  <r>
    <x v="1435"/>
    <n v="8690203"/>
    <n v="37"/>
    <x v="0"/>
    <x v="51"/>
    <x v="0"/>
    <x v="0"/>
    <x v="2"/>
    <x v="4"/>
    <x v="2"/>
    <x v="3"/>
    <n v="6"/>
    <n v="69999"/>
    <n v="8"/>
    <n v="386394.48"/>
    <n v="4.8"/>
    <n v="20"/>
    <n v="75598.92"/>
    <s v="6 Months"/>
  </r>
  <r>
    <x v="1436"/>
    <n v="7352987"/>
    <n v="49"/>
    <x v="0"/>
    <x v="51"/>
    <x v="0"/>
    <x v="3"/>
    <x v="1"/>
    <x v="5"/>
    <x v="2"/>
    <x v="3"/>
    <n v="10"/>
    <n v="42999"/>
    <n v="15"/>
    <n v="365491.5"/>
    <n v="4.5999999999999996"/>
    <n v="20"/>
    <n v="77398.2"/>
    <s v="1 Year"/>
  </r>
  <r>
    <x v="1437"/>
    <n v="4024641"/>
    <n v="38"/>
    <x v="0"/>
    <x v="51"/>
    <x v="0"/>
    <x v="0"/>
    <x v="0"/>
    <x v="0"/>
    <x v="0"/>
    <x v="4"/>
    <n v="6"/>
    <n v="99999"/>
    <n v="10"/>
    <n v="539994.6"/>
    <n v="4.7"/>
    <n v="20"/>
    <n v="107998.92"/>
    <s v="6 Months"/>
  </r>
  <r>
    <x v="1437"/>
    <n v="4024641"/>
    <n v="20"/>
    <x v="0"/>
    <x v="51"/>
    <x v="0"/>
    <x v="2"/>
    <x v="1"/>
    <x v="1"/>
    <x v="1"/>
    <x v="4"/>
    <n v="59"/>
    <n v="4999"/>
    <n v="18"/>
    <n v="241851.62"/>
    <n v="4.4000000000000004"/>
    <n v="20"/>
    <n v="53089.38"/>
    <s v="1 Year"/>
  </r>
  <r>
    <x v="1438"/>
    <n v="5527376"/>
    <n v="30"/>
    <x v="0"/>
    <x v="51"/>
    <x v="0"/>
    <x v="2"/>
    <x v="2"/>
    <x v="2"/>
    <x v="1"/>
    <x v="4"/>
    <n v="11"/>
    <n v="24900"/>
    <n v="5"/>
    <n v="260205"/>
    <n v="4.8"/>
    <n v="20"/>
    <n v="49302"/>
    <s v="1 Year"/>
  </r>
  <r>
    <x v="1439"/>
    <n v="1689926"/>
    <n v="20"/>
    <x v="0"/>
    <x v="51"/>
    <x v="0"/>
    <x v="5"/>
    <x v="3"/>
    <x v="3"/>
    <x v="0"/>
    <x v="4"/>
    <n v="2"/>
    <n v="84999"/>
    <n v="12"/>
    <n v="149598.24"/>
    <n v="4.5"/>
    <n v="20"/>
    <n v="30599.64"/>
    <s v="1 Year"/>
  </r>
  <r>
    <x v="1439"/>
    <n v="1689926"/>
    <n v="40"/>
    <x v="0"/>
    <x v="51"/>
    <x v="1"/>
    <x v="4"/>
    <x v="2"/>
    <x v="4"/>
    <x v="2"/>
    <x v="4"/>
    <n v="4"/>
    <n v="69999"/>
    <n v="8"/>
    <n v="257596.32"/>
    <n v="4.8"/>
    <n v="20"/>
    <n v="50399.28"/>
    <s v="6 Months"/>
  </r>
  <r>
    <x v="1440"/>
    <n v="1214329"/>
    <n v="29"/>
    <x v="0"/>
    <x v="51"/>
    <x v="0"/>
    <x v="0"/>
    <x v="1"/>
    <x v="5"/>
    <x v="2"/>
    <x v="4"/>
    <n v="10"/>
    <n v="42999"/>
    <n v="15"/>
    <n v="365491.5"/>
    <n v="4.5999999999999996"/>
    <n v="20"/>
    <n v="77398.2"/>
    <s v="1 Ye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14:B18" firstHeaderRow="1" firstDataRow="1" firstDataCol="1"/>
  <pivotFields count="20">
    <pivotField showAll="0"/>
    <pivotField showAll="0"/>
    <pivotField showAll="0"/>
    <pivotField axis="axisRow" showAll="0">
      <items count="4">
        <item x="0"/>
        <item x="1"/>
        <item x="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7">
        <item x="2"/>
        <item x="0"/>
        <item x="3"/>
        <item x="5"/>
        <item x="4"/>
        <item x="1"/>
        <item t="default"/>
      </items>
    </pivotField>
    <pivotField showAll="0"/>
    <pivotField showAll="0"/>
    <pivotField showAll="0"/>
    <pivotField showAll="0">
      <items count="6">
        <item x="1"/>
        <item x="0"/>
        <item x="2"/>
        <item x="3"/>
        <item x="4"/>
        <item t="default"/>
      </items>
    </pivotField>
    <pivotField numFmtId="3" showAll="0"/>
    <pivotField numFmtId="164" showAll="0"/>
    <pivotField showAll="0"/>
    <pivotField dataField="1" numFmtId="44" showAll="0"/>
    <pivotField showAll="0"/>
    <pivotField showAll="0"/>
    <pivotField numFmtId="44" showAll="0"/>
    <pivotField showAl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dataFields count="1">
    <dataField name="Sum of     Amount" fld="14" baseField="0" baseItem="0"/>
  </dataFields>
  <chartFormats count="1">
    <chartFormat chart="1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J4:K17" firstHeaderRow="1" firstDataRow="1" firstDataCol="1"/>
  <pivotFields count="2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7">
        <item x="2"/>
        <item x="0"/>
        <item x="3"/>
        <item x="5"/>
        <item x="4"/>
        <item x="1"/>
        <item t="default"/>
      </items>
    </pivotField>
    <pivotField showAll="0"/>
    <pivotField showAll="0"/>
    <pivotField showAll="0"/>
    <pivotField showAll="0">
      <items count="6">
        <item x="1"/>
        <item x="0"/>
        <item x="2"/>
        <item x="3"/>
        <item x="4"/>
        <item t="default"/>
      </items>
    </pivotField>
    <pivotField numFmtId="3" showAll="0"/>
    <pivotField numFmtId="164" showAll="0"/>
    <pivotField showAll="0"/>
    <pivotField dataField="1" numFmtId="44" showAll="0"/>
    <pivotField showAll="0"/>
    <pivotField showAll="0"/>
    <pivotField numFmtId="44"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Amount" fld="14" baseField="0" baseItem="0"/>
  </dataFields>
  <chartFormats count="5">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D14:E20" firstHeaderRow="1" firstDataRow="1" firstDataCol="1"/>
  <pivotFields count="2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7">
        <item x="2"/>
        <item x="0"/>
        <item x="3"/>
        <item x="5"/>
        <item x="4"/>
        <item x="1"/>
        <item t="default"/>
      </items>
    </pivotField>
    <pivotField showAll="0"/>
    <pivotField showAll="0"/>
    <pivotField showAll="0"/>
    <pivotField axis="axisRow" showAll="0">
      <items count="6">
        <item x="1"/>
        <item x="0"/>
        <item x="2"/>
        <item x="3"/>
        <item x="4"/>
        <item t="default"/>
      </items>
    </pivotField>
    <pivotField numFmtId="3" showAll="0"/>
    <pivotField numFmtId="164" showAll="0"/>
    <pivotField showAll="0"/>
    <pivotField dataField="1" numFmtId="44" showAll="0"/>
    <pivotField showAll="0"/>
    <pivotField showAll="0"/>
    <pivotField numFmtId="44" showAll="0"/>
    <pivotField showAll="0"/>
    <pivotField showAll="0" defaultSubtotal="0">
      <items count="14">
        <item x="0"/>
        <item x="1"/>
        <item x="2"/>
        <item x="3"/>
        <item x="4"/>
        <item x="5"/>
        <item x="6"/>
        <item x="7"/>
        <item x="8"/>
        <item x="9"/>
        <item x="10"/>
        <item x="11"/>
        <item x="12"/>
        <item x="13"/>
      </items>
    </pivotField>
  </pivotFields>
  <rowFields count="1">
    <field x="10"/>
  </rowFields>
  <rowItems count="6">
    <i>
      <x/>
    </i>
    <i>
      <x v="1"/>
    </i>
    <i>
      <x v="2"/>
    </i>
    <i>
      <x v="3"/>
    </i>
    <i>
      <x v="4"/>
    </i>
    <i t="grand">
      <x/>
    </i>
  </rowItems>
  <colItems count="1">
    <i/>
  </colItems>
  <dataFields count="1">
    <dataField name="Sum of     Amount" fld="14" baseField="0" baseItem="0"/>
  </dataFields>
  <chartFormats count="2">
    <chartFormat chart="11" format="1"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14:H19" firstHeaderRow="1" firstDataRow="1" firstDataCol="1"/>
  <pivotFields count="20">
    <pivotField dataField="1" showAll="0">
      <items count="1442">
        <item x="628"/>
        <item x="599"/>
        <item x="803"/>
        <item x="1405"/>
        <item x="323"/>
        <item x="241"/>
        <item x="295"/>
        <item x="398"/>
        <item x="427"/>
        <item x="228"/>
        <item x="834"/>
        <item x="1299"/>
        <item x="276"/>
        <item x="886"/>
        <item x="672"/>
        <item x="438"/>
        <item x="1230"/>
        <item x="1270"/>
        <item x="0"/>
        <item x="817"/>
        <item x="403"/>
        <item x="712"/>
        <item x="790"/>
        <item x="758"/>
        <item x="1215"/>
        <item x="949"/>
        <item x="1070"/>
        <item x="2"/>
        <item x="1308"/>
        <item x="1048"/>
        <item x="179"/>
        <item x="296"/>
        <item x="497"/>
        <item x="72"/>
        <item x="515"/>
        <item x="368"/>
        <item x="1401"/>
        <item x="1179"/>
        <item x="49"/>
        <item x="77"/>
        <item x="318"/>
        <item x="397"/>
        <item x="494"/>
        <item x="176"/>
        <item x="1411"/>
        <item x="289"/>
        <item x="610"/>
        <item x="367"/>
        <item x="1311"/>
        <item x="1197"/>
        <item x="731"/>
        <item x="1008"/>
        <item x="1009"/>
        <item x="623"/>
        <item x="959"/>
        <item x="1189"/>
        <item x="895"/>
        <item x="558"/>
        <item x="199"/>
        <item x="525"/>
        <item x="850"/>
        <item x="414"/>
        <item x="1413"/>
        <item x="637"/>
        <item x="448"/>
        <item x="1253"/>
        <item x="908"/>
        <item x="342"/>
        <item x="41"/>
        <item x="1029"/>
        <item x="811"/>
        <item x="1377"/>
        <item x="802"/>
        <item x="757"/>
        <item x="1124"/>
        <item x="1166"/>
        <item x="446"/>
        <item x="587"/>
        <item x="117"/>
        <item x="647"/>
        <item x="1050"/>
        <item x="1434"/>
        <item x="967"/>
        <item x="1427"/>
        <item x="1324"/>
        <item x="1136"/>
        <item x="447"/>
        <item x="444"/>
        <item x="6"/>
        <item x="988"/>
        <item x="1056"/>
        <item x="214"/>
        <item x="914"/>
        <item x="257"/>
        <item x="1176"/>
        <item x="1073"/>
        <item x="978"/>
        <item x="1269"/>
        <item x="983"/>
        <item x="467"/>
        <item x="237"/>
        <item x="794"/>
        <item x="207"/>
        <item x="412"/>
        <item x="1406"/>
        <item x="816"/>
        <item x="1280"/>
        <item x="1300"/>
        <item x="1303"/>
        <item x="841"/>
        <item x="97"/>
        <item x="1397"/>
        <item x="347"/>
        <item x="392"/>
        <item x="1257"/>
        <item x="1163"/>
        <item x="130"/>
        <item x="689"/>
        <item x="131"/>
        <item x="1383"/>
        <item x="154"/>
        <item x="1301"/>
        <item x="998"/>
        <item x="775"/>
        <item x="1333"/>
        <item x="1295"/>
        <item x="1394"/>
        <item x="1248"/>
        <item x="312"/>
        <item x="548"/>
        <item x="940"/>
        <item x="406"/>
        <item x="635"/>
        <item x="1374"/>
        <item x="501"/>
        <item x="1420"/>
        <item x="44"/>
        <item x="1214"/>
        <item x="869"/>
        <item x="859"/>
        <item x="1096"/>
        <item x="618"/>
        <item x="360"/>
        <item x="136"/>
        <item x="1224"/>
        <item x="190"/>
        <item x="795"/>
        <item x="366"/>
        <item x="1435"/>
        <item x="1212"/>
        <item x="1020"/>
        <item x="1238"/>
        <item x="1102"/>
        <item x="15"/>
        <item x="1109"/>
        <item x="1052"/>
        <item x="1254"/>
        <item x="1047"/>
        <item x="735"/>
        <item x="1285"/>
        <item x="1133"/>
        <item x="1255"/>
        <item x="987"/>
        <item x="466"/>
        <item x="995"/>
        <item x="100"/>
        <item x="1074"/>
        <item x="1037"/>
        <item x="1209"/>
        <item x="1043"/>
        <item x="1234"/>
        <item x="183"/>
        <item x="1343"/>
        <item x="201"/>
        <item x="1001"/>
        <item x="504"/>
        <item x="267"/>
        <item x="605"/>
        <item x="483"/>
        <item x="203"/>
        <item x="680"/>
        <item x="1004"/>
        <item x="355"/>
        <item x="1382"/>
        <item x="21"/>
        <item x="418"/>
        <item x="976"/>
        <item x="717"/>
        <item x="37"/>
        <item x="827"/>
        <item x="586"/>
        <item x="1416"/>
        <item x="705"/>
        <item x="225"/>
        <item x="135"/>
        <item x="595"/>
        <item x="320"/>
        <item x="810"/>
        <item x="528"/>
        <item x="975"/>
        <item x="1327"/>
        <item x="1101"/>
        <item x="458"/>
        <item x="842"/>
        <item x="706"/>
        <item x="1430"/>
        <item x="796"/>
        <item x="332"/>
        <item x="469"/>
        <item x="1275"/>
        <item x="1138"/>
        <item x="263"/>
        <item x="529"/>
        <item x="301"/>
        <item x="322"/>
        <item x="1262"/>
        <item x="1005"/>
        <item x="60"/>
        <item x="1325"/>
        <item x="282"/>
        <item x="1196"/>
        <item x="913"/>
        <item x="499"/>
        <item x="948"/>
        <item x="158"/>
        <item x="702"/>
        <item x="1137"/>
        <item x="1245"/>
        <item x="999"/>
        <item x="156"/>
        <item x="585"/>
        <item x="601"/>
        <item x="926"/>
        <item x="1063"/>
        <item x="878"/>
        <item x="847"/>
        <item x="1342"/>
        <item x="364"/>
        <item x="666"/>
        <item x="256"/>
        <item x="724"/>
        <item x="565"/>
        <item x="1046"/>
        <item x="1013"/>
        <item x="536"/>
        <item x="302"/>
        <item x="1113"/>
        <item x="711"/>
        <item x="812"/>
        <item x="1123"/>
        <item x="782"/>
        <item x="450"/>
        <item x="232"/>
        <item x="559"/>
        <item x="1142"/>
        <item x="433"/>
        <item x="141"/>
        <item x="1186"/>
        <item x="358"/>
        <item x="687"/>
        <item x="977"/>
        <item x="879"/>
        <item x="71"/>
        <item x="692"/>
        <item x="140"/>
        <item x="982"/>
        <item x="113"/>
        <item x="443"/>
        <item x="1002"/>
        <item x="1425"/>
        <item x="1125"/>
        <item x="1415"/>
        <item x="292"/>
        <item x="809"/>
        <item x="1431"/>
        <item x="1062"/>
        <item x="1003"/>
        <item x="1031"/>
        <item x="186"/>
        <item x="1396"/>
        <item x="1399"/>
        <item x="1292"/>
        <item x="382"/>
        <item x="616"/>
        <item x="876"/>
        <item x="281"/>
        <item x="80"/>
        <item x="921"/>
        <item x="244"/>
        <item x="1118"/>
        <item x="1107"/>
        <item x="826"/>
        <item x="645"/>
        <item x="34"/>
        <item x="1084"/>
        <item x="904"/>
        <item x="147"/>
        <item x="591"/>
        <item x="493"/>
        <item x="1350"/>
        <item x="1329"/>
        <item x="933"/>
        <item x="750"/>
        <item x="83"/>
        <item x="327"/>
        <item x="285"/>
        <item x="1321"/>
        <item x="480"/>
        <item x="401"/>
        <item x="531"/>
        <item x="1116"/>
        <item x="1185"/>
        <item x="882"/>
        <item x="1233"/>
        <item x="1045"/>
        <item x="1127"/>
        <item x="236"/>
        <item x="215"/>
        <item x="1225"/>
        <item x="377"/>
        <item x="1337"/>
        <item x="1428"/>
        <item x="363"/>
        <item x="381"/>
        <item x="1006"/>
        <item x="404"/>
        <item x="315"/>
        <item x="560"/>
        <item x="122"/>
        <item x="144"/>
        <item x="893"/>
        <item x="1026"/>
        <item x="264"/>
        <item x="52"/>
        <item x="1051"/>
        <item x="985"/>
        <item x="896"/>
        <item x="935"/>
        <item x="825"/>
        <item x="953"/>
        <item x="459"/>
        <item x="1068"/>
        <item x="91"/>
        <item x="732"/>
        <item x="88"/>
        <item x="1072"/>
        <item x="178"/>
        <item x="272"/>
        <item x="185"/>
        <item x="838"/>
        <item x="1361"/>
        <item x="126"/>
        <item x="291"/>
        <item x="1175"/>
        <item x="656"/>
        <item x="1291"/>
        <item x="1164"/>
        <item x="1018"/>
        <item x="638"/>
        <item x="114"/>
        <item x="48"/>
        <item x="425"/>
        <item x="57"/>
        <item x="455"/>
        <item x="730"/>
        <item x="867"/>
        <item x="715"/>
        <item x="19"/>
        <item x="627"/>
        <item x="1147"/>
        <item x="786"/>
        <item x="155"/>
        <item x="923"/>
        <item x="1199"/>
        <item x="799"/>
        <item x="1414"/>
        <item x="733"/>
        <item x="606"/>
        <item x="457"/>
        <item x="345"/>
        <item x="162"/>
        <item x="1098"/>
        <item x="56"/>
        <item x="1305"/>
        <item x="177"/>
        <item x="741"/>
        <item x="338"/>
        <item x="510"/>
        <item x="739"/>
        <item x="439"/>
        <item x="194"/>
        <item x="961"/>
        <item x="800"/>
        <item x="774"/>
        <item x="262"/>
        <item x="866"/>
        <item x="951"/>
        <item x="894"/>
        <item x="410"/>
        <item x="1235"/>
        <item x="1365"/>
        <item x="456"/>
        <item x="86"/>
        <item x="500"/>
        <item x="990"/>
        <item x="82"/>
        <item x="857"/>
        <item x="209"/>
        <item x="1288"/>
        <item x="1380"/>
        <item x="832"/>
        <item x="218"/>
        <item x="761"/>
        <item x="652"/>
        <item x="1437"/>
        <item x="858"/>
        <item x="714"/>
        <item x="1302"/>
        <item x="1201"/>
        <item x="482"/>
        <item x="929"/>
        <item x="818"/>
        <item x="1145"/>
        <item x="1404"/>
        <item x="1322"/>
        <item x="420"/>
        <item x="160"/>
        <item x="944"/>
        <item x="432"/>
        <item x="952"/>
        <item x="991"/>
        <item x="694"/>
        <item x="793"/>
        <item x="240"/>
        <item x="1362"/>
        <item x="1244"/>
        <item x="22"/>
        <item x="945"/>
        <item x="754"/>
        <item x="622"/>
        <item x="569"/>
        <item x="40"/>
        <item x="506"/>
        <item x="745"/>
        <item x="64"/>
        <item x="1249"/>
        <item x="243"/>
        <item x="134"/>
        <item x="552"/>
        <item x="556"/>
        <item x="535"/>
        <item x="508"/>
        <item x="873"/>
        <item x="304"/>
        <item x="307"/>
        <item x="567"/>
        <item x="871"/>
        <item x="939"/>
        <item x="1419"/>
        <item x="496"/>
        <item x="974"/>
        <item x="555"/>
        <item x="1180"/>
        <item x="65"/>
        <item x="1106"/>
        <item x="430"/>
        <item x="85"/>
        <item x="1242"/>
        <item x="1378"/>
        <item x="1360"/>
        <item x="1150"/>
        <item x="701"/>
        <item x="205"/>
        <item x="1267"/>
        <item x="116"/>
        <item x="1148"/>
        <item x="514"/>
        <item x="62"/>
        <item x="888"/>
        <item x="1038"/>
        <item x="534"/>
        <item x="641"/>
        <item x="84"/>
        <item x="769"/>
        <item x="511"/>
        <item x="119"/>
        <item x="426"/>
        <item x="1349"/>
        <item x="538"/>
        <item x="336"/>
        <item x="950"/>
        <item x="300"/>
        <item x="722"/>
        <item x="1134"/>
        <item x="10"/>
        <item x="1152"/>
        <item x="4"/>
        <item x="723"/>
        <item x="391"/>
        <item x="1290"/>
        <item x="133"/>
        <item x="29"/>
        <item x="306"/>
        <item x="762"/>
        <item x="898"/>
        <item x="659"/>
        <item x="245"/>
        <item x="70"/>
        <item x="957"/>
        <item x="96"/>
        <item x="617"/>
        <item x="1395"/>
        <item x="1080"/>
        <item x="661"/>
        <item x="960"/>
        <item x="221"/>
        <item x="78"/>
        <item x="109"/>
        <item x="498"/>
        <item x="317"/>
        <item x="1023"/>
        <item x="968"/>
        <item x="651"/>
        <item x="772"/>
        <item x="1334"/>
        <item x="815"/>
        <item x="1366"/>
        <item x="395"/>
        <item x="1417"/>
        <item x="965"/>
        <item x="1223"/>
        <item x="462"/>
        <item x="422"/>
        <item x="544"/>
        <item x="1345"/>
        <item x="248"/>
        <item x="1370"/>
        <item x="145"/>
        <item x="1354"/>
        <item x="106"/>
        <item x="1410"/>
        <item x="807"/>
        <item x="891"/>
        <item x="831"/>
        <item x="868"/>
        <item x="925"/>
        <item x="797"/>
        <item x="545"/>
        <item x="216"/>
        <item x="1283"/>
        <item x="108"/>
        <item x="740"/>
        <item x="861"/>
        <item x="326"/>
        <item x="242"/>
        <item x="924"/>
        <item x="887"/>
        <item x="986"/>
        <item x="1332"/>
        <item x="662"/>
        <item x="885"/>
        <item x="1284"/>
        <item x="266"/>
        <item x="217"/>
        <item x="698"/>
        <item x="1219"/>
        <item x="1126"/>
        <item x="979"/>
        <item x="902"/>
        <item x="1039"/>
        <item x="1315"/>
        <item x="8"/>
        <item x="95"/>
        <item x="696"/>
        <item x="351"/>
        <item x="533"/>
        <item x="1172"/>
        <item x="1033"/>
        <item x="1041"/>
        <item x="931"/>
        <item x="1079"/>
        <item x="468"/>
        <item x="752"/>
        <item x="934"/>
        <item x="38"/>
        <item x="964"/>
        <item x="370"/>
        <item x="1178"/>
        <item x="837"/>
        <item x="725"/>
        <item x="954"/>
        <item x="335"/>
        <item x="523"/>
        <item x="385"/>
        <item x="1130"/>
        <item x="516"/>
        <item x="1318"/>
        <item x="874"/>
        <item x="490"/>
        <item x="848"/>
        <item x="1149"/>
        <item x="1400"/>
        <item x="167"/>
        <item x="1122"/>
        <item x="784"/>
        <item x="17"/>
        <item x="1025"/>
        <item x="520"/>
        <item x="743"/>
        <item x="1169"/>
        <item x="1222"/>
        <item x="1426"/>
        <item x="970"/>
        <item x="633"/>
        <item x="192"/>
        <item x="1316"/>
        <item x="1237"/>
        <item x="359"/>
        <item x="1183"/>
        <item x="104"/>
        <item x="550"/>
        <item x="479"/>
        <item x="673"/>
        <item x="388"/>
        <item x="98"/>
        <item x="181"/>
        <item x="90"/>
        <item x="517"/>
        <item x="270"/>
        <item x="365"/>
        <item x="191"/>
        <item x="195"/>
        <item x="632"/>
        <item x="1206"/>
        <item x="776"/>
        <item x="1017"/>
        <item x="830"/>
        <item x="378"/>
        <item x="476"/>
        <item x="464"/>
        <item x="67"/>
        <item x="943"/>
        <item x="290"/>
        <item x="766"/>
        <item x="81"/>
        <item x="1042"/>
        <item x="576"/>
        <item x="1153"/>
        <item x="1160"/>
        <item x="1393"/>
        <item x="1357"/>
        <item x="892"/>
        <item x="287"/>
        <item x="631"/>
        <item x="350"/>
        <item x="238"/>
        <item x="760"/>
        <item x="1190"/>
        <item x="1099"/>
        <item x="575"/>
        <item x="763"/>
        <item x="259"/>
        <item x="791"/>
        <item x="1346"/>
        <item x="1218"/>
        <item x="1135"/>
        <item x="348"/>
        <item x="819"/>
        <item x="928"/>
        <item x="824"/>
        <item x="3"/>
        <item x="808"/>
        <item x="1391"/>
        <item x="1216"/>
        <item x="571"/>
        <item x="1110"/>
        <item x="789"/>
        <item x="230"/>
        <item x="683"/>
        <item x="68"/>
        <item x="324"/>
        <item x="58"/>
        <item x="279"/>
        <item x="334"/>
        <item x="475"/>
        <item x="204"/>
        <item x="61"/>
        <item x="1265"/>
        <item x="613"/>
        <item x="171"/>
        <item x="813"/>
        <item x="1355"/>
        <item x="1330"/>
        <item x="829"/>
        <item x="74"/>
        <item x="955"/>
        <item x="33"/>
        <item x="1171"/>
        <item x="1184"/>
        <item x="1019"/>
        <item x="664"/>
        <item x="1409"/>
        <item x="820"/>
        <item x="749"/>
        <item x="973"/>
        <item x="213"/>
        <item x="764"/>
        <item x="349"/>
        <item x="570"/>
        <item x="463"/>
        <item x="665"/>
        <item x="1104"/>
        <item x="180"/>
        <item x="905"/>
        <item x="1085"/>
        <item x="994"/>
        <item x="1297"/>
        <item x="1141"/>
        <item x="294"/>
        <item x="1386"/>
        <item x="219"/>
        <item x="387"/>
        <item x="1294"/>
        <item x="1143"/>
        <item x="1061"/>
        <item x="524"/>
        <item x="1173"/>
        <item x="674"/>
        <item x="502"/>
        <item x="1071"/>
        <item x="709"/>
        <item x="1359"/>
        <item x="1422"/>
        <item x="771"/>
        <item x="473"/>
        <item x="1036"/>
        <item x="187"/>
        <item x="676"/>
        <item x="415"/>
        <item x="1"/>
        <item x="553"/>
        <item x="353"/>
        <item x="220"/>
        <item x="621"/>
        <item x="675"/>
        <item x="1111"/>
        <item x="386"/>
        <item x="814"/>
        <item x="1260"/>
        <item x="580"/>
        <item x="1304"/>
        <item x="849"/>
        <item x="755"/>
        <item x="522"/>
        <item x="728"/>
        <item x="1390"/>
        <item x="1229"/>
        <item x="602"/>
        <item x="105"/>
        <item x="729"/>
        <item x="402"/>
        <item x="429"/>
        <item x="890"/>
        <item x="619"/>
        <item x="751"/>
        <item x="193"/>
        <item x="654"/>
        <item x="417"/>
        <item x="1389"/>
        <item x="46"/>
        <item x="235"/>
        <item x="1392"/>
        <item x="297"/>
        <item x="1159"/>
        <item x="1259"/>
        <item x="142"/>
        <item x="549"/>
        <item x="1112"/>
        <item x="543"/>
        <item x="1083"/>
        <item x="835"/>
        <item x="423"/>
        <item x="785"/>
        <item x="1094"/>
        <item x="271"/>
        <item x="1398"/>
        <item x="519"/>
        <item x="1108"/>
        <item x="600"/>
        <item x="424"/>
        <item x="314"/>
        <item x="541"/>
        <item x="1187"/>
        <item x="505"/>
        <item x="639"/>
        <item x="477"/>
        <item x="1281"/>
        <item x="906"/>
        <item x="699"/>
        <item x="421"/>
        <item x="1220"/>
        <item x="682"/>
        <item x="1064"/>
        <item x="101"/>
        <item x="581"/>
        <item x="927"/>
        <item x="989"/>
        <item x="1385"/>
        <item x="822"/>
        <item x="87"/>
        <item x="801"/>
        <item x="903"/>
        <item x="492"/>
        <item x="390"/>
        <item x="1258"/>
        <item x="1436"/>
        <item x="1418"/>
        <item x="210"/>
        <item x="405"/>
        <item x="489"/>
        <item x="1024"/>
        <item x="149"/>
        <item x="1268"/>
        <item x="1286"/>
        <item x="1075"/>
        <item x="962"/>
        <item x="153"/>
        <item x="845"/>
        <item x="1264"/>
        <item x="137"/>
        <item x="1251"/>
        <item x="31"/>
        <item x="805"/>
        <item x="678"/>
        <item x="690"/>
        <item x="1011"/>
        <item x="374"/>
        <item x="50"/>
        <item x="94"/>
        <item x="168"/>
        <item x="442"/>
        <item x="1198"/>
        <item x="170"/>
        <item x="125"/>
        <item x="175"/>
        <item x="1067"/>
        <item x="316"/>
        <item x="261"/>
        <item x="1057"/>
        <item x="1375"/>
        <item x="727"/>
        <item x="626"/>
        <item x="1177"/>
        <item x="356"/>
        <item x="846"/>
        <item x="624"/>
        <item x="344"/>
        <item x="1077"/>
        <item x="972"/>
        <item x="1205"/>
        <item x="478"/>
        <item x="1247"/>
        <item x="436"/>
        <item x="679"/>
        <item x="16"/>
        <item x="454"/>
        <item x="584"/>
        <item x="1339"/>
        <item x="910"/>
        <item x="685"/>
        <item x="352"/>
        <item x="738"/>
        <item x="189"/>
        <item x="280"/>
        <item x="486"/>
        <item x="250"/>
        <item x="649"/>
        <item x="110"/>
        <item x="1195"/>
        <item x="284"/>
        <item x="969"/>
        <item x="1221"/>
        <item x="1194"/>
        <item x="25"/>
        <item x="24"/>
        <item x="1059"/>
        <item x="625"/>
        <item x="431"/>
        <item x="840"/>
        <item x="26"/>
        <item x="592"/>
        <item x="1060"/>
        <item x="688"/>
        <item x="966"/>
        <item x="184"/>
        <item x="1313"/>
        <item x="792"/>
        <item x="597"/>
        <item x="1351"/>
        <item x="716"/>
        <item x="73"/>
        <item x="309"/>
        <item x="1208"/>
        <item x="437"/>
        <item x="1200"/>
        <item x="453"/>
        <item x="660"/>
        <item x="1368"/>
        <item x="138"/>
        <item x="697"/>
        <item x="188"/>
        <item x="255"/>
        <item x="942"/>
        <item x="860"/>
        <item x="594"/>
        <item x="1082"/>
        <item x="1239"/>
        <item x="583"/>
        <item x="45"/>
        <item x="1114"/>
        <item x="691"/>
        <item x="452"/>
        <item x="744"/>
        <item x="340"/>
        <item x="1032"/>
        <item x="408"/>
        <item x="357"/>
        <item x="607"/>
        <item x="703"/>
        <item x="313"/>
        <item x="980"/>
        <item x="252"/>
        <item x="1424"/>
        <item x="254"/>
        <item x="373"/>
        <item x="1376"/>
        <item x="1228"/>
        <item x="1089"/>
        <item x="328"/>
        <item x="1367"/>
        <item x="1423"/>
        <item x="748"/>
        <item x="1227"/>
        <item x="788"/>
        <item x="1167"/>
        <item x="20"/>
        <item x="604"/>
        <item x="708"/>
        <item x="1014"/>
        <item x="1054"/>
        <item x="884"/>
        <item x="773"/>
        <item x="1129"/>
        <item x="686"/>
        <item x="1213"/>
        <item x="539"/>
        <item x="1081"/>
        <item x="275"/>
        <item x="329"/>
        <item x="643"/>
        <item x="1356"/>
        <item x="721"/>
        <item x="251"/>
        <item x="1363"/>
        <item x="1231"/>
        <item x="487"/>
        <item x="211"/>
        <item x="413"/>
        <item x="59"/>
        <item x="759"/>
        <item x="371"/>
        <item x="1058"/>
        <item x="700"/>
        <item x="527"/>
        <item x="1007"/>
        <item x="310"/>
        <item x="39"/>
        <item x="278"/>
        <item x="713"/>
        <item x="593"/>
        <item x="938"/>
        <item x="1100"/>
        <item x="650"/>
        <item x="229"/>
        <item x="286"/>
        <item x="562"/>
        <item x="1128"/>
        <item x="1078"/>
        <item x="1240"/>
        <item x="157"/>
        <item x="1261"/>
        <item x="428"/>
        <item x="1338"/>
        <item x="79"/>
        <item x="163"/>
        <item x="823"/>
        <item x="265"/>
        <item x="1282"/>
        <item x="670"/>
        <item x="561"/>
        <item x="1306"/>
        <item x="1381"/>
        <item x="107"/>
        <item x="121"/>
        <item x="198"/>
        <item x="200"/>
        <item x="1310"/>
        <item x="362"/>
        <item x="66"/>
        <item x="89"/>
        <item x="1246"/>
        <item x="657"/>
        <item x="1432"/>
        <item x="918"/>
        <item x="12"/>
        <item x="102"/>
        <item x="1204"/>
        <item x="393"/>
        <item x="1182"/>
        <item x="1226"/>
        <item x="43"/>
        <item x="671"/>
        <item x="1307"/>
        <item x="246"/>
        <item x="1146"/>
        <item x="308"/>
        <item x="258"/>
        <item x="1016"/>
        <item x="23"/>
        <item x="1335"/>
        <item x="532"/>
        <item x="441"/>
        <item x="634"/>
        <item x="1348"/>
        <item x="343"/>
        <item x="512"/>
        <item x="339"/>
        <item x="603"/>
        <item x="1088"/>
        <item x="1384"/>
        <item x="274"/>
        <item x="1372"/>
        <item x="485"/>
        <item x="277"/>
        <item x="718"/>
        <item x="1193"/>
        <item x="636"/>
        <item x="992"/>
        <item x="1293"/>
        <item x="1132"/>
        <item x="27"/>
        <item x="915"/>
        <item x="658"/>
        <item x="1407"/>
        <item x="123"/>
        <item x="223"/>
        <item x="132"/>
        <item x="247"/>
        <item x="971"/>
        <item x="32"/>
        <item x="118"/>
        <item x="1373"/>
        <item x="540"/>
        <item x="234"/>
        <item x="139"/>
        <item x="611"/>
        <item x="380"/>
        <item x="1429"/>
        <item x="54"/>
        <item x="11"/>
        <item x="798"/>
        <item x="981"/>
        <item x="695"/>
        <item x="445"/>
        <item x="1236"/>
        <item x="128"/>
        <item x="1158"/>
        <item x="668"/>
        <item x="993"/>
        <item x="1015"/>
        <item x="5"/>
        <item x="396"/>
        <item x="165"/>
        <item x="111"/>
        <item x="1210"/>
        <item x="1309"/>
        <item x="1369"/>
        <item x="596"/>
        <item x="1097"/>
        <item x="1115"/>
        <item x="231"/>
        <item x="1271"/>
        <item x="1408"/>
        <item x="598"/>
        <item x="1439"/>
        <item x="640"/>
        <item x="1250"/>
        <item x="305"/>
        <item x="781"/>
        <item x="434"/>
        <item x="1203"/>
        <item x="734"/>
        <item x="1086"/>
        <item x="1053"/>
        <item x="481"/>
        <item x="880"/>
        <item x="917"/>
        <item x="311"/>
        <item x="491"/>
        <item x="1328"/>
        <item x="1012"/>
        <item x="354"/>
        <item x="551"/>
        <item x="1117"/>
        <item x="222"/>
        <item x="129"/>
        <item x="409"/>
        <item x="389"/>
        <item x="239"/>
        <item x="1336"/>
        <item x="653"/>
        <item x="1341"/>
        <item x="1352"/>
        <item x="1403"/>
        <item x="577"/>
        <item x="14"/>
        <item x="1035"/>
        <item x="465"/>
        <item x="1266"/>
        <item x="719"/>
        <item x="1191"/>
        <item x="1120"/>
        <item x="260"/>
        <item x="1358"/>
        <item x="1277"/>
        <item x="1174"/>
        <item x="1168"/>
        <item x="557"/>
        <item x="852"/>
        <item x="288"/>
        <item x="1165"/>
        <item x="484"/>
        <item x="333"/>
        <item x="1192"/>
        <item x="720"/>
        <item x="937"/>
        <item x="756"/>
        <item x="299"/>
        <item x="573"/>
        <item x="589"/>
        <item x="202"/>
        <item x="174"/>
        <item x="1000"/>
        <item x="1010"/>
        <item x="889"/>
        <item x="836"/>
        <item x="1402"/>
        <item x="1438"/>
        <item x="152"/>
        <item x="1188"/>
        <item x="227"/>
        <item x="568"/>
        <item x="851"/>
        <item x="574"/>
        <item x="542"/>
        <item x="563"/>
        <item x="726"/>
        <item x="1364"/>
        <item x="1092"/>
        <item x="419"/>
        <item x="1256"/>
        <item x="669"/>
        <item x="150"/>
        <item x="1140"/>
        <item x="407"/>
        <item x="1157"/>
        <item x="1278"/>
        <item x="1347"/>
        <item x="629"/>
        <item x="159"/>
        <item x="1211"/>
        <item x="768"/>
        <item x="1170"/>
        <item x="1121"/>
        <item x="736"/>
        <item x="1144"/>
        <item x="13"/>
        <item x="1263"/>
        <item x="582"/>
        <item x="253"/>
        <item x="996"/>
        <item x="566"/>
        <item x="47"/>
        <item x="1319"/>
        <item x="746"/>
        <item x="53"/>
        <item x="269"/>
        <item x="416"/>
        <item x="325"/>
        <item x="1151"/>
        <item x="331"/>
        <item x="1252"/>
        <item x="384"/>
        <item x="747"/>
        <item x="1320"/>
        <item x="268"/>
        <item x="909"/>
        <item x="930"/>
        <item x="127"/>
        <item x="1156"/>
        <item x="856"/>
        <item x="677"/>
        <item x="704"/>
        <item x="1323"/>
        <item x="383"/>
        <item x="55"/>
        <item x="843"/>
        <item x="767"/>
        <item x="872"/>
        <item x="224"/>
        <item x="226"/>
        <item x="579"/>
        <item x="341"/>
        <item x="76"/>
        <item x="615"/>
        <item x="901"/>
        <item x="737"/>
        <item x="173"/>
        <item x="36"/>
        <item x="1044"/>
        <item x="1274"/>
        <item x="941"/>
        <item x="855"/>
        <item x="572"/>
        <item x="839"/>
        <item x="684"/>
        <item x="648"/>
        <item x="630"/>
        <item x="916"/>
        <item x="844"/>
        <item x="1353"/>
        <item x="783"/>
        <item x="1066"/>
        <item x="518"/>
        <item x="451"/>
        <item x="9"/>
        <item x="115"/>
        <item x="547"/>
        <item x="612"/>
        <item x="273"/>
        <item x="853"/>
        <item x="608"/>
        <item x="471"/>
        <item x="778"/>
        <item x="1162"/>
        <item x="870"/>
        <item x="1340"/>
        <item x="1034"/>
        <item x="1379"/>
        <item x="1131"/>
        <item x="1440"/>
        <item x="1344"/>
        <item x="99"/>
        <item x="947"/>
        <item x="1091"/>
        <item x="609"/>
        <item x="461"/>
        <item x="503"/>
        <item x="124"/>
        <item x="1276"/>
        <item x="120"/>
        <item x="521"/>
        <item x="1181"/>
        <item x="907"/>
        <item x="644"/>
        <item x="146"/>
        <item x="1272"/>
        <item x="862"/>
        <item x="18"/>
        <item x="1065"/>
        <item x="1217"/>
        <item x="1139"/>
        <item x="932"/>
        <item x="513"/>
        <item x="303"/>
        <item x="1312"/>
        <item x="526"/>
        <item x="507"/>
        <item x="1095"/>
        <item x="1287"/>
        <item x="30"/>
        <item x="372"/>
        <item x="1076"/>
        <item x="681"/>
        <item x="897"/>
        <item x="321"/>
        <item x="1296"/>
        <item x="7"/>
        <item x="1028"/>
        <item x="449"/>
        <item x="93"/>
        <item x="319"/>
        <item x="112"/>
        <item x="936"/>
        <item x="564"/>
        <item x="530"/>
        <item x="63"/>
        <item x="620"/>
        <item x="900"/>
        <item x="1022"/>
        <item x="394"/>
        <item x="922"/>
        <item x="1119"/>
        <item x="1040"/>
        <item x="753"/>
        <item x="864"/>
        <item x="400"/>
        <item x="474"/>
        <item x="376"/>
        <item x="833"/>
        <item x="1388"/>
        <item x="642"/>
        <item x="1207"/>
        <item x="472"/>
        <item x="1289"/>
        <item x="863"/>
        <item x="1412"/>
        <item x="143"/>
        <item x="495"/>
        <item x="912"/>
        <item x="440"/>
        <item x="346"/>
        <item x="337"/>
        <item x="1087"/>
        <item x="1202"/>
        <item x="379"/>
        <item x="646"/>
        <item x="1103"/>
        <item x="1371"/>
        <item x="233"/>
        <item x="51"/>
        <item x="1326"/>
        <item x="1105"/>
        <item x="804"/>
        <item x="460"/>
        <item x="1049"/>
        <item x="787"/>
        <item x="1232"/>
        <item x="1155"/>
        <item x="293"/>
        <item x="1093"/>
        <item x="1387"/>
        <item x="1279"/>
        <item x="1421"/>
        <item x="806"/>
        <item x="963"/>
        <item x="369"/>
        <item x="946"/>
        <item x="488"/>
        <item x="206"/>
        <item x="920"/>
        <item x="911"/>
        <item x="1069"/>
        <item x="375"/>
        <item x="399"/>
        <item x="854"/>
        <item x="779"/>
        <item x="103"/>
        <item x="546"/>
        <item x="663"/>
        <item x="1154"/>
        <item x="956"/>
        <item x="707"/>
        <item x="590"/>
        <item x="1021"/>
        <item x="361"/>
        <item x="1314"/>
        <item x="770"/>
        <item x="92"/>
        <item x="828"/>
        <item x="28"/>
        <item x="470"/>
        <item x="298"/>
        <item x="958"/>
        <item x="1030"/>
        <item x="1298"/>
        <item x="164"/>
        <item x="537"/>
        <item x="197"/>
        <item x="881"/>
        <item x="148"/>
        <item x="883"/>
        <item x="875"/>
        <item x="208"/>
        <item x="1317"/>
        <item x="42"/>
        <item x="151"/>
        <item x="69"/>
        <item x="693"/>
        <item x="283"/>
        <item x="554"/>
        <item x="899"/>
        <item x="182"/>
        <item x="1055"/>
        <item x="919"/>
        <item x="1273"/>
        <item x="196"/>
        <item x="330"/>
        <item x="1243"/>
        <item x="166"/>
        <item x="742"/>
        <item x="1090"/>
        <item x="765"/>
        <item x="984"/>
        <item x="75"/>
        <item x="35"/>
        <item x="509"/>
        <item x="1241"/>
        <item x="435"/>
        <item x="169"/>
        <item x="411"/>
        <item x="212"/>
        <item x="578"/>
        <item x="667"/>
        <item x="821"/>
        <item x="997"/>
        <item x="877"/>
        <item x="161"/>
        <item x="1331"/>
        <item x="249"/>
        <item x="1027"/>
        <item x="710"/>
        <item x="588"/>
        <item x="1433"/>
        <item x="780"/>
        <item x="777"/>
        <item x="1161"/>
        <item x="614"/>
        <item x="172"/>
        <item x="655"/>
        <item x="865"/>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0"/>
        <item x="1"/>
        <item x="3"/>
        <item t="default"/>
      </items>
    </pivotField>
    <pivotField showAll="0">
      <items count="7">
        <item x="2"/>
        <item x="0"/>
        <item x="3"/>
        <item x="5"/>
        <item x="4"/>
        <item x="1"/>
        <item t="default"/>
      </items>
    </pivotField>
    <pivotField showAll="0"/>
    <pivotField showAll="0"/>
    <pivotField showAll="0"/>
    <pivotField showAll="0">
      <items count="6">
        <item x="1"/>
        <item x="0"/>
        <item x="2"/>
        <item x="3"/>
        <item x="4"/>
        <item t="default"/>
      </items>
    </pivotField>
    <pivotField numFmtId="3" showAll="0"/>
    <pivotField numFmtId="164" showAll="0"/>
    <pivotField showAll="0"/>
    <pivotField numFmtId="44" showAll="0"/>
    <pivotField showAll="0"/>
    <pivotField showAll="0"/>
    <pivotField numFmtId="44" showAll="0"/>
    <pivotField showAl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Count of Order ID" fld="0" subtotal="count" baseField="0" baseItem="0"/>
  </dataFields>
  <chartFormats count="5">
    <chartFormat chart="5" format="30" series="1">
      <pivotArea type="data" outline="0" fieldPosition="0">
        <references count="1">
          <reference field="4294967294" count="1" selected="0">
            <x v="0"/>
          </reference>
        </references>
      </pivotArea>
    </chartFormat>
    <chartFormat chart="5" format="31">
      <pivotArea type="data" outline="0" fieldPosition="0">
        <references count="2">
          <reference field="4294967294" count="1" selected="0">
            <x v="0"/>
          </reference>
          <reference field="5" count="1" selected="0">
            <x v="0"/>
          </reference>
        </references>
      </pivotArea>
    </chartFormat>
    <chartFormat chart="5" format="32">
      <pivotArea type="data" outline="0" fieldPosition="0">
        <references count="2">
          <reference field="4294967294" count="1" selected="0">
            <x v="0"/>
          </reference>
          <reference field="5" count="1" selected="0">
            <x v="1"/>
          </reference>
        </references>
      </pivotArea>
    </chartFormat>
    <chartFormat chart="5" format="33">
      <pivotArea type="data" outline="0" fieldPosition="0">
        <references count="2">
          <reference field="4294967294" count="1" selected="0">
            <x v="0"/>
          </reference>
          <reference field="5" count="1" selected="0">
            <x v="2"/>
          </reference>
        </references>
      </pivotArea>
    </chartFormat>
    <chartFormat chart="5" format="3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3">
  <location ref="G4:H8" firstHeaderRow="1" firstDataRow="1" firstDataCol="1"/>
  <pivotFields count="2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7">
        <item x="2"/>
        <item x="0"/>
        <item x="3"/>
        <item x="5"/>
        <item x="4"/>
        <item x="1"/>
        <item t="default"/>
      </items>
    </pivotField>
    <pivotField showAll="0"/>
    <pivotField showAll="0"/>
    <pivotField axis="axisRow" showAll="0">
      <items count="4">
        <item x="1"/>
        <item x="0"/>
        <item x="2"/>
        <item t="default"/>
      </items>
    </pivotField>
    <pivotField showAll="0">
      <items count="6">
        <item x="1"/>
        <item x="0"/>
        <item x="2"/>
        <item x="3"/>
        <item x="4"/>
        <item t="default"/>
      </items>
    </pivotField>
    <pivotField numFmtId="3" showAll="0"/>
    <pivotField numFmtId="164" showAll="0"/>
    <pivotField showAll="0"/>
    <pivotField dataField="1" numFmtId="44" showAll="0"/>
    <pivotField showAll="0"/>
    <pivotField showAll="0"/>
    <pivotField numFmtId="44" showAll="0"/>
    <pivotField showAll="0"/>
    <pivotField showAll="0" defaultSubtotal="0">
      <items count="14">
        <item x="0"/>
        <item x="1"/>
        <item x="2"/>
        <item x="3"/>
        <item x="4"/>
        <item x="5"/>
        <item x="6"/>
        <item x="7"/>
        <item x="8"/>
        <item x="9"/>
        <item x="10"/>
        <item x="11"/>
        <item x="12"/>
        <item x="13"/>
      </items>
    </pivotField>
  </pivotFields>
  <rowFields count="1">
    <field x="9"/>
  </rowFields>
  <rowItems count="4">
    <i>
      <x/>
    </i>
    <i>
      <x v="1"/>
    </i>
    <i>
      <x v="2"/>
    </i>
    <i t="grand">
      <x/>
    </i>
  </rowItems>
  <colItems count="1">
    <i/>
  </colItems>
  <dataFields count="1">
    <dataField name="Sum of     Amount" fld="14" baseField="0" baseItem="0"/>
  </dataFields>
  <chartFormats count="1">
    <chartFormat chart="3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4:E11" firstHeaderRow="1" firstDataRow="1" firstDataCol="1"/>
  <pivotFields count="20">
    <pivotField showAll="0"/>
    <pivotField showAll="0"/>
    <pivotField showAll="0"/>
    <pivotField showAll="0"/>
    <pivotField numFmtId="14" showAll="0"/>
    <pivotField showAll="0"/>
    <pivotField showAll="0">
      <items count="7">
        <item x="2"/>
        <item x="0"/>
        <item x="3"/>
        <item x="5"/>
        <item x="4"/>
        <item x="1"/>
        <item t="default"/>
      </items>
    </pivotField>
    <pivotField showAll="0"/>
    <pivotField axis="axisRow" showAll="0">
      <items count="7">
        <item x="2"/>
        <item x="0"/>
        <item x="3"/>
        <item x="4"/>
        <item x="5"/>
        <item x="1"/>
        <item t="default"/>
      </items>
    </pivotField>
    <pivotField showAll="0"/>
    <pivotField showAll="0">
      <items count="6">
        <item x="1"/>
        <item x="0"/>
        <item x="2"/>
        <item x="3"/>
        <item x="4"/>
        <item t="default"/>
      </items>
    </pivotField>
    <pivotField numFmtId="3" showAll="0"/>
    <pivotField numFmtId="164" showAll="0"/>
    <pivotField showAll="0"/>
    <pivotField dataField="1" numFmtId="44" showAll="0"/>
    <pivotField showAll="0"/>
    <pivotField showAll="0"/>
    <pivotField numFmtId="44" showAll="0"/>
    <pivotField showAll="0"/>
    <pivotField showAll="0" defaultSubtotal="0">
      <items count="14">
        <item x="0"/>
        <item x="1"/>
        <item x="2"/>
        <item x="3"/>
        <item x="4"/>
        <item x="5"/>
        <item x="6"/>
        <item x="7"/>
        <item x="8"/>
        <item x="9"/>
        <item x="10"/>
        <item x="11"/>
        <item x="12"/>
        <item x="13"/>
      </items>
    </pivotField>
  </pivotFields>
  <rowFields count="1">
    <field x="8"/>
  </rowFields>
  <rowItems count="7">
    <i>
      <x/>
    </i>
    <i>
      <x v="1"/>
    </i>
    <i>
      <x v="2"/>
    </i>
    <i>
      <x v="3"/>
    </i>
    <i>
      <x v="4"/>
    </i>
    <i>
      <x v="5"/>
    </i>
    <i t="grand">
      <x/>
    </i>
  </rowItems>
  <colItems count="1">
    <i/>
  </colItems>
  <dataFields count="1">
    <dataField name="Sum of     Amoun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4:B11" firstHeaderRow="1" firstDataRow="1" firstDataCol="1"/>
  <pivotFields count="20">
    <pivotField showAll="0"/>
    <pivotField showAll="0"/>
    <pivotField showAll="0"/>
    <pivotField showAll="0">
      <items count="4">
        <item x="0"/>
        <item x="1"/>
        <item x="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7">
        <item x="2"/>
        <item x="0"/>
        <item x="3"/>
        <item x="5"/>
        <item x="4"/>
        <item x="1"/>
        <item t="default"/>
      </items>
    </pivotField>
    <pivotField showAll="0"/>
    <pivotField showAll="0"/>
    <pivotField showAll="0">
      <items count="4">
        <item x="1"/>
        <item x="0"/>
        <item x="2"/>
        <item t="default"/>
      </items>
    </pivotField>
    <pivotField showAll="0">
      <items count="6">
        <item x="1"/>
        <item x="0"/>
        <item x="2"/>
        <item x="3"/>
        <item x="4"/>
        <item t="default"/>
      </items>
    </pivotField>
    <pivotField numFmtId="3" showAll="0"/>
    <pivotField numFmtId="164" showAll="0"/>
    <pivotField showAll="0"/>
    <pivotField dataField="1" numFmtId="44" showAll="0"/>
    <pivotField showAll="0"/>
    <pivotField showAll="0"/>
    <pivotField numFmtId="44" showAll="0"/>
    <pivotField showAll="0"/>
    <pivotField showAll="0"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Items count="1">
    <i/>
  </colItems>
  <dataFields count="1">
    <dataField name="Sum of     Amount" fld="14" baseField="0" baseItem="0"/>
  </dataFields>
  <chartFormats count="21">
    <chartFormat chart="14" format="55" series="1">
      <pivotArea type="data" outline="0" fieldPosition="0">
        <references count="1">
          <reference field="4294967294" count="1" selected="0">
            <x v="0"/>
          </reference>
        </references>
      </pivotArea>
    </chartFormat>
    <chartFormat chart="14" format="56">
      <pivotArea type="data" outline="0" fieldPosition="0">
        <references count="2">
          <reference field="4294967294" count="1" selected="0">
            <x v="0"/>
          </reference>
          <reference field="6" count="1" selected="0">
            <x v="0"/>
          </reference>
        </references>
      </pivotArea>
    </chartFormat>
    <chartFormat chart="14" format="57">
      <pivotArea type="data" outline="0" fieldPosition="0">
        <references count="2">
          <reference field="4294967294" count="1" selected="0">
            <x v="0"/>
          </reference>
          <reference field="6" count="1" selected="0">
            <x v="1"/>
          </reference>
        </references>
      </pivotArea>
    </chartFormat>
    <chartFormat chart="14" format="58">
      <pivotArea type="data" outline="0" fieldPosition="0">
        <references count="2">
          <reference field="4294967294" count="1" selected="0">
            <x v="0"/>
          </reference>
          <reference field="6" count="1" selected="0">
            <x v="2"/>
          </reference>
        </references>
      </pivotArea>
    </chartFormat>
    <chartFormat chart="14" format="59">
      <pivotArea type="data" outline="0" fieldPosition="0">
        <references count="2">
          <reference field="4294967294" count="1" selected="0">
            <x v="0"/>
          </reference>
          <reference field="6" count="1" selected="0">
            <x v="3"/>
          </reference>
        </references>
      </pivotArea>
    </chartFormat>
    <chartFormat chart="14" format="60">
      <pivotArea type="data" outline="0" fieldPosition="0">
        <references count="2">
          <reference field="4294967294" count="1" selected="0">
            <x v="0"/>
          </reference>
          <reference field="6" count="1" selected="0">
            <x v="4"/>
          </reference>
        </references>
      </pivotArea>
    </chartFormat>
    <chartFormat chart="14" format="61">
      <pivotArea type="data" outline="0" fieldPosition="0">
        <references count="2">
          <reference field="4294967294" count="1" selected="0">
            <x v="0"/>
          </reference>
          <reference field="6" count="1" selected="0">
            <x v="5"/>
          </reference>
        </references>
      </pivotArea>
    </chartFormat>
    <chartFormat chart="16" format="62" series="1">
      <pivotArea type="data" outline="0" fieldPosition="0">
        <references count="1">
          <reference field="4294967294" count="1" selected="0">
            <x v="0"/>
          </reference>
        </references>
      </pivotArea>
    </chartFormat>
    <chartFormat chart="16" format="63">
      <pivotArea type="data" outline="0" fieldPosition="0">
        <references count="2">
          <reference field="4294967294" count="1" selected="0">
            <x v="0"/>
          </reference>
          <reference field="6" count="1" selected="0">
            <x v="0"/>
          </reference>
        </references>
      </pivotArea>
    </chartFormat>
    <chartFormat chart="16" format="64">
      <pivotArea type="data" outline="0" fieldPosition="0">
        <references count="2">
          <reference field="4294967294" count="1" selected="0">
            <x v="0"/>
          </reference>
          <reference field="6" count="1" selected="0">
            <x v="1"/>
          </reference>
        </references>
      </pivotArea>
    </chartFormat>
    <chartFormat chart="16" format="65">
      <pivotArea type="data" outline="0" fieldPosition="0">
        <references count="2">
          <reference field="4294967294" count="1" selected="0">
            <x v="0"/>
          </reference>
          <reference field="6" count="1" selected="0">
            <x v="2"/>
          </reference>
        </references>
      </pivotArea>
    </chartFormat>
    <chartFormat chart="16" format="66">
      <pivotArea type="data" outline="0" fieldPosition="0">
        <references count="2">
          <reference field="4294967294" count="1" selected="0">
            <x v="0"/>
          </reference>
          <reference field="6" count="1" selected="0">
            <x v="3"/>
          </reference>
        </references>
      </pivotArea>
    </chartFormat>
    <chartFormat chart="16" format="67">
      <pivotArea type="data" outline="0" fieldPosition="0">
        <references count="2">
          <reference field="4294967294" count="1" selected="0">
            <x v="0"/>
          </reference>
          <reference field="6" count="1" selected="0">
            <x v="4"/>
          </reference>
        </references>
      </pivotArea>
    </chartFormat>
    <chartFormat chart="16" format="68">
      <pivotArea type="data" outline="0" fieldPosition="0">
        <references count="2">
          <reference field="4294967294" count="1" selected="0">
            <x v="0"/>
          </reference>
          <reference field="6" count="1" selected="0">
            <x v="5"/>
          </reference>
        </references>
      </pivotArea>
    </chartFormat>
    <chartFormat chart="17" format="83" series="1">
      <pivotArea type="data" outline="0" fieldPosition="0">
        <references count="1">
          <reference field="4294967294" count="1" selected="0">
            <x v="0"/>
          </reference>
        </references>
      </pivotArea>
    </chartFormat>
    <chartFormat chart="17" format="84">
      <pivotArea type="data" outline="0" fieldPosition="0">
        <references count="2">
          <reference field="4294967294" count="1" selected="0">
            <x v="0"/>
          </reference>
          <reference field="6" count="1" selected="0">
            <x v="0"/>
          </reference>
        </references>
      </pivotArea>
    </chartFormat>
    <chartFormat chart="17" format="85">
      <pivotArea type="data" outline="0" fieldPosition="0">
        <references count="2">
          <reference field="4294967294" count="1" selected="0">
            <x v="0"/>
          </reference>
          <reference field="6" count="1" selected="0">
            <x v="1"/>
          </reference>
        </references>
      </pivotArea>
    </chartFormat>
    <chartFormat chart="17" format="86">
      <pivotArea type="data" outline="0" fieldPosition="0">
        <references count="2">
          <reference field="4294967294" count="1" selected="0">
            <x v="0"/>
          </reference>
          <reference field="6" count="1" selected="0">
            <x v="2"/>
          </reference>
        </references>
      </pivotArea>
    </chartFormat>
    <chartFormat chart="17" format="87">
      <pivotArea type="data" outline="0" fieldPosition="0">
        <references count="2">
          <reference field="4294967294" count="1" selected="0">
            <x v="0"/>
          </reference>
          <reference field="6" count="1" selected="0">
            <x v="3"/>
          </reference>
        </references>
      </pivotArea>
    </chartFormat>
    <chartFormat chart="17" format="88">
      <pivotArea type="data" outline="0" fieldPosition="0">
        <references count="2">
          <reference field="4294967294" count="1" selected="0">
            <x v="0"/>
          </reference>
          <reference field="6" count="1" selected="0">
            <x v="4"/>
          </reference>
        </references>
      </pivotArea>
    </chartFormat>
    <chartFormat chart="17" format="89">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annel" sourceName="Channel ">
  <pivotTables>
    <pivotTable tabId="10" name="PivotTable1"/>
    <pivotTable tabId="10" name="PivotTable10"/>
    <pivotTable tabId="10" name="PivotTable4"/>
    <pivotTable tabId="10" name="PivotTable5"/>
    <pivotTable tabId="10" name="PivotTable6"/>
    <pivotTable tabId="10" name="PivotTable7"/>
    <pivotTable tabId="10" name="PivotTable8"/>
  </pivotTables>
  <data>
    <tabular pivotCacheId="1333915518">
      <items count="6">
        <i x="2" s="1"/>
        <i x="0" s="1"/>
        <i x="3" s="1"/>
        <i x="5"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0" name="PivotTable1"/>
    <pivotTable tabId="10" name="PivotTable10"/>
    <pivotTable tabId="10" name="PivotTable4"/>
    <pivotTable tabId="10" name="PivotTable5"/>
    <pivotTable tabId="10" name="PivotTable6"/>
    <pivotTable tabId="10" name="PivotTable7"/>
    <pivotTable tabId="10" name="PivotTable8"/>
  </pivotTables>
  <data>
    <tabular pivotCacheId="1333915518">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10" name="PivotTable1"/>
    <pivotTable tabId="10" name="PivotTable10"/>
    <pivotTable tabId="10" name="PivotTable4"/>
    <pivotTable tabId="10" name="PivotTable5"/>
    <pivotTable tabId="10" name="PivotTable6"/>
    <pivotTable tabId="10" name="PivotTable7"/>
    <pivotTable tabId="10" name="PivotTable8"/>
  </pivotTables>
  <data>
    <tabular pivotCacheId="1333915518">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latform" cache="Slicer_Channel" caption="Platform" rowHeight="234950"/>
  <slicer name="City" cache="Slicer_City" caption="City" rowHeight="234950"/>
  <slicer name="Months" cache="Slicer_Months" caption="Months" rowHeight="234950"/>
</slicers>
</file>

<file path=xl/tables/table1.xml><?xml version="1.0" encoding="utf-8"?>
<table xmlns="http://schemas.openxmlformats.org/spreadsheetml/2006/main" id="2" name="Table13" displayName="Table13" ref="B4:T1564" totalsRowShown="0" headerRowDxfId="21" dataDxfId="20" tableBorderDxfId="19" headerRowCellStyle="Currency">
  <autoFilter ref="B4:T1564"/>
  <tableColumns count="19">
    <tableColumn id="1" name="Order ID" dataDxfId="18"/>
    <tableColumn id="2" name="Cust ID" dataDxfId="17"/>
    <tableColumn id="3" name="Age" dataDxfId="16"/>
    <tableColumn id="4" name="Age Group " dataDxfId="15"/>
    <tableColumn id="5" name="Date" dataDxfId="14"/>
    <tableColumn id="6" name="Status" dataDxfId="13"/>
    <tableColumn id="7" name="Platform" dataDxfId="12"/>
    <tableColumn id="16" name="Brand" dataDxfId="11"/>
    <tableColumn id="8" name="Product" dataDxfId="10"/>
    <tableColumn id="9" name="Category" dataDxfId="9"/>
    <tableColumn id="10" name="City" dataDxfId="8"/>
    <tableColumn id="11" name="No.of Units" dataDxfId="7"/>
    <tableColumn id="12" name="Unit Price" dataDxfId="6" dataCellStyle="Currency"/>
    <tableColumn id="17" name="Discount %" dataDxfId="5" dataCellStyle="Currency"/>
    <tableColumn id="13" name="    Amount" dataDxfId="4" dataCellStyle="Currency"/>
    <tableColumn id="14" name="Customer Rating" dataDxfId="3"/>
    <tableColumn id="15" name="Profit Margin %" dataDxfId="2"/>
    <tableColumn id="20" name="Tax%" dataDxfId="1" dataCellStyle="Currency">
      <calculatedColumnFormula>(Table13[[#This Row],[Unit Price]]*Table13[[#This Row],[No.of Units]])*18%</calculatedColumnFormula>
    </tableColumn>
    <tableColumn id="18" name="Warranty Peri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
  <sheetViews>
    <sheetView showGridLines="0" tabSelected="1" topLeftCell="B1" zoomScale="180" zoomScaleNormal="200" workbookViewId="0">
      <selection activeCell="C18" sqref="C18:K18"/>
    </sheetView>
  </sheetViews>
  <sheetFormatPr defaultRowHeight="14.4" x14ac:dyDescent="0.3"/>
  <cols>
    <col min="1" max="2" width="8.88671875" style="51"/>
    <col min="4" max="4" width="13.109375" customWidth="1"/>
    <col min="11" max="11" width="13.44140625" customWidth="1"/>
  </cols>
  <sheetData>
    <row r="1" spans="1:20" s="50" customFormat="1" x14ac:dyDescent="0.3">
      <c r="A1" s="51"/>
      <c r="B1" s="51"/>
    </row>
    <row r="2" spans="1:20" s="50" customFormat="1" x14ac:dyDescent="0.3">
      <c r="A2" s="51"/>
      <c r="B2" s="51"/>
    </row>
    <row r="3" spans="1:20" s="50" customFormat="1" x14ac:dyDescent="0.3">
      <c r="A3" s="51"/>
      <c r="B3" s="51"/>
    </row>
    <row r="4" spans="1:20" s="50" customFormat="1" x14ac:dyDescent="0.3">
      <c r="A4" s="51"/>
      <c r="B4" s="51"/>
    </row>
    <row r="5" spans="1:20" x14ac:dyDescent="0.3">
      <c r="C5" s="45"/>
      <c r="D5" s="45"/>
      <c r="E5" s="45"/>
      <c r="F5" s="45"/>
      <c r="G5" s="45"/>
      <c r="H5" s="45"/>
      <c r="I5" s="45"/>
      <c r="J5" s="45"/>
      <c r="K5" s="45"/>
    </row>
    <row r="6" spans="1:20" ht="24.6" x14ac:dyDescent="0.3">
      <c r="C6" s="55" t="s">
        <v>1527</v>
      </c>
      <c r="D6" s="55"/>
      <c r="E6" s="55"/>
      <c r="F6" s="55"/>
      <c r="G6" s="55"/>
      <c r="H6" s="55"/>
      <c r="I6" s="55"/>
      <c r="J6" s="55"/>
      <c r="K6" s="55"/>
    </row>
    <row r="7" spans="1:20" x14ac:dyDescent="0.3">
      <c r="C7" s="45"/>
      <c r="D7" s="45"/>
      <c r="E7" s="45"/>
      <c r="F7" s="45"/>
      <c r="G7" s="45"/>
      <c r="H7" s="45"/>
      <c r="I7" s="45"/>
      <c r="J7" s="45"/>
      <c r="K7" s="45"/>
    </row>
    <row r="8" spans="1:20" x14ac:dyDescent="0.3">
      <c r="C8" s="54" t="s">
        <v>1528</v>
      </c>
      <c r="D8" s="54"/>
      <c r="E8" s="54"/>
      <c r="F8" s="54"/>
      <c r="G8" s="54"/>
      <c r="H8" s="54"/>
      <c r="I8" s="54"/>
      <c r="J8" s="54"/>
      <c r="K8" s="54"/>
      <c r="L8" s="41"/>
      <c r="M8" s="41"/>
      <c r="N8" s="41"/>
      <c r="O8" s="41"/>
      <c r="P8" s="41"/>
      <c r="Q8" s="41"/>
      <c r="R8" s="41"/>
      <c r="S8" s="41"/>
      <c r="T8" s="41"/>
    </row>
    <row r="9" spans="1:20" x14ac:dyDescent="0.3">
      <c r="C9" s="53" t="s">
        <v>1529</v>
      </c>
      <c r="D9" s="53"/>
      <c r="E9" s="53"/>
      <c r="F9" s="53"/>
      <c r="G9" s="53"/>
      <c r="H9" s="53"/>
      <c r="I9" s="53"/>
      <c r="J9" s="53"/>
      <c r="K9" s="53"/>
    </row>
    <row r="10" spans="1:20" ht="6.6" customHeight="1" x14ac:dyDescent="0.3">
      <c r="C10" s="45"/>
      <c r="D10" s="45"/>
      <c r="E10" s="45"/>
      <c r="F10" s="45"/>
      <c r="G10" s="45"/>
      <c r="H10" s="45"/>
      <c r="I10" s="45"/>
      <c r="J10" s="45"/>
      <c r="K10" s="45"/>
    </row>
    <row r="11" spans="1:20" x14ac:dyDescent="0.3">
      <c r="C11" s="53" t="s">
        <v>1541</v>
      </c>
      <c r="D11" s="53"/>
      <c r="E11" s="53"/>
      <c r="F11" s="53"/>
      <c r="G11" s="53"/>
      <c r="H11" s="53"/>
      <c r="I11" s="53"/>
      <c r="J11" s="53"/>
      <c r="K11" s="53"/>
    </row>
    <row r="12" spans="1:20" x14ac:dyDescent="0.3">
      <c r="C12" s="53" t="s">
        <v>1540</v>
      </c>
      <c r="D12" s="53"/>
      <c r="E12" s="53"/>
      <c r="F12" s="53"/>
      <c r="G12" s="53"/>
      <c r="H12" s="53"/>
      <c r="I12" s="53"/>
      <c r="J12" s="53"/>
      <c r="K12" s="53"/>
    </row>
    <row r="13" spans="1:20" ht="6.6" customHeight="1" x14ac:dyDescent="0.3">
      <c r="C13" s="53"/>
      <c r="D13" s="53"/>
      <c r="E13" s="53"/>
      <c r="F13" s="53"/>
      <c r="G13" s="53"/>
      <c r="H13" s="53"/>
      <c r="I13" s="53"/>
      <c r="J13" s="53"/>
      <c r="K13" s="53"/>
    </row>
    <row r="14" spans="1:20" x14ac:dyDescent="0.3">
      <c r="C14" s="53" t="s">
        <v>1542</v>
      </c>
      <c r="D14" s="53"/>
      <c r="E14" s="53"/>
      <c r="F14" s="53"/>
      <c r="G14" s="53"/>
      <c r="H14" s="53"/>
      <c r="I14" s="53"/>
      <c r="J14" s="53"/>
      <c r="K14" s="53"/>
    </row>
    <row r="15" spans="1:20" x14ac:dyDescent="0.3">
      <c r="C15" s="52"/>
      <c r="D15" s="52"/>
      <c r="E15" s="52"/>
      <c r="F15" s="52"/>
      <c r="G15" s="52"/>
      <c r="H15" s="52"/>
      <c r="I15" s="52"/>
      <c r="J15" s="52"/>
      <c r="K15" s="52"/>
    </row>
    <row r="16" spans="1:20" x14ac:dyDescent="0.3">
      <c r="C16" s="52"/>
      <c r="D16" s="52"/>
      <c r="E16" s="52"/>
      <c r="F16" s="52"/>
      <c r="G16" s="52"/>
      <c r="H16" s="52"/>
      <c r="I16" s="52"/>
      <c r="J16" s="52"/>
      <c r="K16" s="52"/>
    </row>
    <row r="17" spans="3:11" x14ac:dyDescent="0.3">
      <c r="C17" s="52"/>
      <c r="D17" s="52"/>
      <c r="E17" s="52"/>
      <c r="F17" s="52"/>
      <c r="G17" s="52"/>
      <c r="H17" s="52"/>
      <c r="I17" s="52"/>
      <c r="J17" s="52"/>
      <c r="K17" s="52"/>
    </row>
    <row r="18" spans="3:11" x14ac:dyDescent="0.3">
      <c r="C18" s="52"/>
      <c r="D18" s="52"/>
      <c r="E18" s="52"/>
      <c r="F18" s="52"/>
      <c r="G18" s="52"/>
      <c r="H18" s="52"/>
      <c r="I18" s="52"/>
      <c r="J18" s="52"/>
      <c r="K18" s="52"/>
    </row>
    <row r="19" spans="3:11" x14ac:dyDescent="0.3">
      <c r="C19" s="45"/>
      <c r="D19" s="45"/>
      <c r="E19" s="45"/>
      <c r="F19" s="45"/>
      <c r="G19" s="45"/>
      <c r="H19" s="45"/>
      <c r="I19" s="45"/>
      <c r="J19" s="45"/>
      <c r="K19" s="45"/>
    </row>
    <row r="20" spans="3:11" x14ac:dyDescent="0.3">
      <c r="C20" s="45"/>
      <c r="D20" s="45"/>
      <c r="E20" s="45"/>
      <c r="F20" s="45"/>
      <c r="G20" s="45"/>
      <c r="H20" s="45"/>
      <c r="I20" s="45"/>
      <c r="J20" s="45"/>
      <c r="K20" s="45"/>
    </row>
    <row r="21" spans="3:11" x14ac:dyDescent="0.3">
      <c r="C21" s="45"/>
      <c r="D21" s="45"/>
      <c r="E21" s="45"/>
      <c r="F21" s="45"/>
      <c r="G21" s="45"/>
      <c r="H21" s="45"/>
      <c r="I21" s="45"/>
      <c r="J21" s="45"/>
      <c r="K21" s="45"/>
    </row>
  </sheetData>
  <mergeCells count="11">
    <mergeCell ref="C9:K9"/>
    <mergeCell ref="C8:K8"/>
    <mergeCell ref="C6:K6"/>
    <mergeCell ref="C11:K11"/>
    <mergeCell ref="C12:K12"/>
    <mergeCell ref="C18:K18"/>
    <mergeCell ref="C13:K13"/>
    <mergeCell ref="C14:K14"/>
    <mergeCell ref="C15:K15"/>
    <mergeCell ref="C16:K16"/>
    <mergeCell ref="C17:K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1564"/>
  <sheetViews>
    <sheetView topLeftCell="B3" zoomScale="129" zoomScaleNormal="108" workbookViewId="0">
      <selection activeCell="J5" sqref="J5"/>
    </sheetView>
  </sheetViews>
  <sheetFormatPr defaultRowHeight="14.4" x14ac:dyDescent="0.3"/>
  <cols>
    <col min="1" max="1" width="5.5546875" customWidth="1"/>
    <col min="2" max="2" width="16.5546875" bestFit="1" customWidth="1"/>
    <col min="3" max="3" width="9.21875" customWidth="1"/>
    <col min="4" max="4" width="6" customWidth="1"/>
    <col min="5" max="5" width="10.33203125" bestFit="1" customWidth="1"/>
    <col min="6" max="6" width="9.21875" bestFit="1" customWidth="1"/>
    <col min="7" max="8" width="8.77734375" customWidth="1"/>
    <col min="9" max="9" width="6.33203125" customWidth="1"/>
    <col min="10" max="10" width="15.33203125" customWidth="1"/>
    <col min="12" max="12" width="10.77734375" customWidth="1"/>
    <col min="13" max="13" width="10.109375" customWidth="1"/>
    <col min="14" max="14" width="12.77734375" bestFit="1" customWidth="1"/>
    <col min="15" max="15" width="8.6640625" customWidth="1"/>
    <col min="16" max="16" width="11.5546875" customWidth="1"/>
    <col min="18" max="18" width="11.44140625" customWidth="1"/>
    <col min="19" max="19" width="10.33203125" style="32" bestFit="1" customWidth="1"/>
    <col min="20" max="20" width="11.88671875" bestFit="1" customWidth="1"/>
    <col min="22" max="22" width="10.6640625" bestFit="1" customWidth="1"/>
  </cols>
  <sheetData>
    <row r="1" spans="2:22" s="33" customFormat="1" x14ac:dyDescent="0.3">
      <c r="S1" s="32"/>
    </row>
    <row r="2" spans="2:22" s="33" customFormat="1" x14ac:dyDescent="0.3">
      <c r="S2" s="32"/>
    </row>
    <row r="3" spans="2:22" ht="27.6" x14ac:dyDescent="0.3">
      <c r="B3" s="56" t="s">
        <v>1496</v>
      </c>
      <c r="C3" s="57"/>
      <c r="D3" s="57"/>
      <c r="E3" s="57"/>
      <c r="F3" s="57"/>
      <c r="G3" s="57"/>
      <c r="H3" s="57"/>
      <c r="I3" s="57"/>
      <c r="J3" s="57"/>
      <c r="K3" s="57"/>
      <c r="L3" s="57"/>
      <c r="M3" s="57"/>
      <c r="N3" s="57"/>
      <c r="O3" s="57"/>
      <c r="P3" s="57"/>
      <c r="Q3" s="57"/>
      <c r="R3" s="57"/>
      <c r="S3" s="57"/>
      <c r="T3" s="57"/>
    </row>
    <row r="4" spans="2:22" ht="28.2" x14ac:dyDescent="0.3">
      <c r="B4" s="8" t="s">
        <v>0</v>
      </c>
      <c r="C4" s="9" t="s">
        <v>1</v>
      </c>
      <c r="D4" s="9" t="s">
        <v>2</v>
      </c>
      <c r="E4" s="9" t="s">
        <v>3</v>
      </c>
      <c r="F4" s="11" t="s">
        <v>4</v>
      </c>
      <c r="G4" s="9" t="s">
        <v>1469</v>
      </c>
      <c r="H4" s="10" t="s">
        <v>1520</v>
      </c>
      <c r="I4" s="15" t="s">
        <v>1497</v>
      </c>
      <c r="J4" s="11" t="s">
        <v>5</v>
      </c>
      <c r="K4" s="11" t="s">
        <v>6</v>
      </c>
      <c r="L4" s="11" t="s">
        <v>7</v>
      </c>
      <c r="M4" s="11" t="s">
        <v>8</v>
      </c>
      <c r="N4" s="12" t="s">
        <v>9</v>
      </c>
      <c r="O4" s="15" t="s">
        <v>1498</v>
      </c>
      <c r="P4" s="13" t="s">
        <v>10</v>
      </c>
      <c r="Q4" s="29" t="s">
        <v>1499</v>
      </c>
      <c r="R4" s="15" t="s">
        <v>1500</v>
      </c>
      <c r="S4" s="31" t="s">
        <v>1506</v>
      </c>
      <c r="T4" s="30" t="s">
        <v>1501</v>
      </c>
    </row>
    <row r="5" spans="2:22" x14ac:dyDescent="0.3">
      <c r="B5" s="5" t="s">
        <v>11</v>
      </c>
      <c r="C5" s="1">
        <v>1029312</v>
      </c>
      <c r="D5" s="1">
        <v>44</v>
      </c>
      <c r="E5" s="1" t="s">
        <v>12</v>
      </c>
      <c r="F5" s="16">
        <v>45665</v>
      </c>
      <c r="G5" s="1" t="s">
        <v>1470</v>
      </c>
      <c r="H5" s="1" t="s">
        <v>1482</v>
      </c>
      <c r="I5" s="17" t="s">
        <v>1502</v>
      </c>
      <c r="J5" s="18" t="s">
        <v>13</v>
      </c>
      <c r="K5" s="19" t="s">
        <v>14</v>
      </c>
      <c r="L5" s="19" t="s">
        <v>15</v>
      </c>
      <c r="M5" s="20">
        <v>3</v>
      </c>
      <c r="N5" s="21">
        <v>99999</v>
      </c>
      <c r="O5" s="22">
        <v>10</v>
      </c>
      <c r="P5" s="23">
        <v>269997.3</v>
      </c>
      <c r="Q5" s="22">
        <v>4.7</v>
      </c>
      <c r="R5" s="22">
        <v>20</v>
      </c>
      <c r="S5" s="23">
        <f>(Table13[[#This Row],[Unit Price]]*Table13[[#This Row],[No.of Units]])*18%</f>
        <v>53999.46</v>
      </c>
      <c r="T5" s="22" t="s">
        <v>1507</v>
      </c>
    </row>
    <row r="6" spans="2:22" x14ac:dyDescent="0.3">
      <c r="B6" s="5" t="s">
        <v>16</v>
      </c>
      <c r="C6" s="1">
        <v>2183842</v>
      </c>
      <c r="D6" s="1">
        <v>29</v>
      </c>
      <c r="E6" s="1" t="s">
        <v>12</v>
      </c>
      <c r="F6" s="16">
        <v>45665</v>
      </c>
      <c r="G6" s="1" t="s">
        <v>1470</v>
      </c>
      <c r="H6" s="1" t="s">
        <v>1483</v>
      </c>
      <c r="I6" s="17" t="s">
        <v>1503</v>
      </c>
      <c r="J6" s="18" t="s">
        <v>17</v>
      </c>
      <c r="K6" s="19" t="s">
        <v>18</v>
      </c>
      <c r="L6" s="19" t="s">
        <v>15</v>
      </c>
      <c r="M6" s="20">
        <v>31</v>
      </c>
      <c r="N6" s="21">
        <v>4999</v>
      </c>
      <c r="O6" s="22">
        <v>18</v>
      </c>
      <c r="P6" s="23">
        <v>127074.58</v>
      </c>
      <c r="Q6" s="22">
        <v>4.4000000000000004</v>
      </c>
      <c r="R6" s="22">
        <v>20</v>
      </c>
      <c r="S6" s="23">
        <f>(Table13[[#This Row],[Unit Price]]*Table13[[#This Row],[No.of Units]])*18%</f>
        <v>27894.42</v>
      </c>
      <c r="T6" s="22" t="s">
        <v>1508</v>
      </c>
    </row>
    <row r="7" spans="2:22" x14ac:dyDescent="0.3">
      <c r="B7" s="5" t="s">
        <v>19</v>
      </c>
      <c r="C7" s="1">
        <v>1641533</v>
      </c>
      <c r="D7" s="1">
        <v>67</v>
      </c>
      <c r="E7" s="1" t="s">
        <v>20</v>
      </c>
      <c r="F7" s="16">
        <v>45665</v>
      </c>
      <c r="G7" s="1" t="s">
        <v>1470</v>
      </c>
      <c r="H7" s="1" t="s">
        <v>1482</v>
      </c>
      <c r="I7" s="17" t="s">
        <v>1504</v>
      </c>
      <c r="J7" s="18" t="s">
        <v>21</v>
      </c>
      <c r="K7" s="19" t="s">
        <v>18</v>
      </c>
      <c r="L7" s="19" t="s">
        <v>15</v>
      </c>
      <c r="M7" s="20">
        <v>12</v>
      </c>
      <c r="N7" s="21">
        <v>24900</v>
      </c>
      <c r="O7" s="22">
        <v>5</v>
      </c>
      <c r="P7" s="23">
        <v>283860</v>
      </c>
      <c r="Q7" s="22">
        <v>4.8</v>
      </c>
      <c r="R7" s="22">
        <v>20</v>
      </c>
      <c r="S7" s="23">
        <f>(Table13[[#This Row],[Unit Price]]*Table13[[#This Row],[No.of Units]])*18%</f>
        <v>53784</v>
      </c>
      <c r="T7" s="22" t="s">
        <v>1507</v>
      </c>
      <c r="V7" s="38">
        <f>AVERAGE(Table13[Customer Rating])</f>
        <v>4.6333333333333542</v>
      </c>
    </row>
    <row r="8" spans="2:22" x14ac:dyDescent="0.3">
      <c r="B8" s="5" t="s">
        <v>22</v>
      </c>
      <c r="C8" s="1">
        <v>7490807</v>
      </c>
      <c r="D8" s="1">
        <v>20</v>
      </c>
      <c r="E8" s="1" t="s">
        <v>12</v>
      </c>
      <c r="F8" s="16">
        <v>45665</v>
      </c>
      <c r="G8" s="1" t="s">
        <v>1470</v>
      </c>
      <c r="H8" s="1" t="s">
        <v>1471</v>
      </c>
      <c r="I8" s="17" t="s">
        <v>1505</v>
      </c>
      <c r="J8" s="18" t="s">
        <v>23</v>
      </c>
      <c r="K8" s="19" t="s">
        <v>14</v>
      </c>
      <c r="L8" s="19" t="s">
        <v>15</v>
      </c>
      <c r="M8" s="20">
        <v>4</v>
      </c>
      <c r="N8" s="21">
        <v>84999</v>
      </c>
      <c r="O8" s="22">
        <v>12</v>
      </c>
      <c r="P8" s="23">
        <v>299196.48</v>
      </c>
      <c r="Q8" s="22">
        <v>4.5</v>
      </c>
      <c r="R8" s="22">
        <v>20</v>
      </c>
      <c r="S8" s="23">
        <f>(Table13[[#This Row],[Unit Price]]*Table13[[#This Row],[No.of Units]])*18%</f>
        <v>61199.28</v>
      </c>
      <c r="T8" s="22" t="s">
        <v>1508</v>
      </c>
      <c r="V8">
        <f>AVERAGE(Table13[Profit Margin %])</f>
        <v>20</v>
      </c>
    </row>
    <row r="9" spans="2:22" x14ac:dyDescent="0.3">
      <c r="B9" s="5" t="s">
        <v>24</v>
      </c>
      <c r="C9" s="1">
        <v>9293516</v>
      </c>
      <c r="D9" s="1">
        <v>62</v>
      </c>
      <c r="E9" s="1" t="s">
        <v>20</v>
      </c>
      <c r="F9" s="16">
        <v>45665</v>
      </c>
      <c r="G9" s="1" t="s">
        <v>1470</v>
      </c>
      <c r="H9" s="1" t="s">
        <v>1482</v>
      </c>
      <c r="I9" s="17" t="s">
        <v>1504</v>
      </c>
      <c r="J9" s="18" t="s">
        <v>25</v>
      </c>
      <c r="K9" s="19" t="s">
        <v>26</v>
      </c>
      <c r="L9" s="19" t="s">
        <v>15</v>
      </c>
      <c r="M9" s="20">
        <v>4</v>
      </c>
      <c r="N9" s="21">
        <v>69999</v>
      </c>
      <c r="O9" s="22">
        <v>8</v>
      </c>
      <c r="P9" s="23">
        <v>257596.32</v>
      </c>
      <c r="Q9" s="22">
        <v>4.8</v>
      </c>
      <c r="R9" s="22">
        <v>20</v>
      </c>
      <c r="S9" s="23">
        <f>(Table13[[#This Row],[Unit Price]]*Table13[[#This Row],[No.of Units]])*18%</f>
        <v>50399.28</v>
      </c>
      <c r="T9" s="22" t="s">
        <v>1507</v>
      </c>
    </row>
    <row r="10" spans="2:22" x14ac:dyDescent="0.3">
      <c r="B10" s="5" t="s">
        <v>27</v>
      </c>
      <c r="C10" s="1">
        <v>1298130</v>
      </c>
      <c r="D10" s="1">
        <v>49</v>
      </c>
      <c r="E10" s="1" t="s">
        <v>12</v>
      </c>
      <c r="F10" s="16">
        <v>45665</v>
      </c>
      <c r="G10" s="1" t="s">
        <v>1470</v>
      </c>
      <c r="H10" s="1" t="s">
        <v>1472</v>
      </c>
      <c r="I10" s="17" t="s">
        <v>1503</v>
      </c>
      <c r="J10" s="18" t="s">
        <v>28</v>
      </c>
      <c r="K10" s="19" t="s">
        <v>26</v>
      </c>
      <c r="L10" s="19" t="s">
        <v>15</v>
      </c>
      <c r="M10" s="20">
        <v>10</v>
      </c>
      <c r="N10" s="21">
        <v>42999</v>
      </c>
      <c r="O10" s="22">
        <v>15</v>
      </c>
      <c r="P10" s="23">
        <v>365491.5</v>
      </c>
      <c r="Q10" s="22">
        <v>4.5999999999999996</v>
      </c>
      <c r="R10" s="22">
        <v>20</v>
      </c>
      <c r="S10" s="23">
        <f>(Table13[[#This Row],[Unit Price]]*Table13[[#This Row],[No.of Units]])*18%</f>
        <v>77398.2</v>
      </c>
      <c r="T10" s="22" t="s">
        <v>1508</v>
      </c>
    </row>
    <row r="11" spans="2:22" x14ac:dyDescent="0.3">
      <c r="B11" s="5" t="s">
        <v>27</v>
      </c>
      <c r="C11" s="1">
        <v>1298130</v>
      </c>
      <c r="D11" s="1">
        <v>23</v>
      </c>
      <c r="E11" s="1" t="s">
        <v>12</v>
      </c>
      <c r="F11" s="16">
        <v>45665</v>
      </c>
      <c r="G11" s="1" t="s">
        <v>1470</v>
      </c>
      <c r="H11" s="1" t="s">
        <v>1480</v>
      </c>
      <c r="I11" s="17" t="s">
        <v>1502</v>
      </c>
      <c r="J11" s="18" t="s">
        <v>13</v>
      </c>
      <c r="K11" s="19" t="s">
        <v>14</v>
      </c>
      <c r="L11" s="19" t="s">
        <v>29</v>
      </c>
      <c r="M11" s="20">
        <v>5</v>
      </c>
      <c r="N11" s="21">
        <v>99999</v>
      </c>
      <c r="O11" s="22">
        <v>10</v>
      </c>
      <c r="P11" s="23">
        <v>449995.5</v>
      </c>
      <c r="Q11" s="22">
        <v>4.7</v>
      </c>
      <c r="R11" s="22">
        <v>20</v>
      </c>
      <c r="S11" s="23">
        <f>(Table13[[#This Row],[Unit Price]]*Table13[[#This Row],[No.of Units]])*18%</f>
        <v>89999.099999999991</v>
      </c>
      <c r="T11" s="22" t="s">
        <v>1508</v>
      </c>
    </row>
    <row r="12" spans="2:22" x14ac:dyDescent="0.3">
      <c r="B12" s="5" t="s">
        <v>30</v>
      </c>
      <c r="C12" s="1">
        <v>5561216</v>
      </c>
      <c r="D12" s="1">
        <v>70</v>
      </c>
      <c r="E12" s="1" t="s">
        <v>20</v>
      </c>
      <c r="F12" s="16">
        <v>45665</v>
      </c>
      <c r="G12" s="1" t="s">
        <v>1470</v>
      </c>
      <c r="H12" s="1" t="s">
        <v>1483</v>
      </c>
      <c r="I12" s="17" t="s">
        <v>1503</v>
      </c>
      <c r="J12" s="18" t="s">
        <v>17</v>
      </c>
      <c r="K12" s="19" t="s">
        <v>18</v>
      </c>
      <c r="L12" s="19" t="s">
        <v>29</v>
      </c>
      <c r="M12" s="20">
        <v>40</v>
      </c>
      <c r="N12" s="21">
        <v>4999</v>
      </c>
      <c r="O12" s="22">
        <v>18</v>
      </c>
      <c r="P12" s="23">
        <v>163967.20000000001</v>
      </c>
      <c r="Q12" s="22">
        <v>4.4000000000000004</v>
      </c>
      <c r="R12" s="22">
        <v>20</v>
      </c>
      <c r="S12" s="23">
        <f>(Table13[[#This Row],[Unit Price]]*Table13[[#This Row],[No.of Units]])*18%</f>
        <v>35992.799999999996</v>
      </c>
      <c r="T12" s="22" t="s">
        <v>1508</v>
      </c>
    </row>
    <row r="13" spans="2:22" x14ac:dyDescent="0.3">
      <c r="B13" s="5" t="s">
        <v>31</v>
      </c>
      <c r="C13" s="1">
        <v>2935263</v>
      </c>
      <c r="D13" s="1">
        <v>75</v>
      </c>
      <c r="E13" s="1" t="s">
        <v>20</v>
      </c>
      <c r="F13" s="16">
        <v>45665</v>
      </c>
      <c r="G13" s="1" t="s">
        <v>1470</v>
      </c>
      <c r="H13" s="1" t="s">
        <v>1471</v>
      </c>
      <c r="I13" s="17" t="s">
        <v>1504</v>
      </c>
      <c r="J13" s="18" t="s">
        <v>21</v>
      </c>
      <c r="K13" s="19" t="s">
        <v>18</v>
      </c>
      <c r="L13" s="19" t="s">
        <v>29</v>
      </c>
      <c r="M13" s="20">
        <v>15</v>
      </c>
      <c r="N13" s="21">
        <v>24900</v>
      </c>
      <c r="O13" s="22">
        <v>5</v>
      </c>
      <c r="P13" s="23">
        <v>354825</v>
      </c>
      <c r="Q13" s="22">
        <v>4.8</v>
      </c>
      <c r="R13" s="22">
        <v>20</v>
      </c>
      <c r="S13" s="23">
        <f>(Table13[[#This Row],[Unit Price]]*Table13[[#This Row],[No.of Units]])*18%</f>
        <v>67230</v>
      </c>
      <c r="T13" s="22" t="s">
        <v>1508</v>
      </c>
    </row>
    <row r="14" spans="2:22" x14ac:dyDescent="0.3">
      <c r="B14" s="5" t="s">
        <v>32</v>
      </c>
      <c r="C14" s="1">
        <v>2648970</v>
      </c>
      <c r="D14" s="1">
        <v>43</v>
      </c>
      <c r="E14" s="1" t="s">
        <v>12</v>
      </c>
      <c r="F14" s="16">
        <v>45665</v>
      </c>
      <c r="G14" s="1" t="s">
        <v>1470</v>
      </c>
      <c r="H14" s="1" t="s">
        <v>1482</v>
      </c>
      <c r="I14" s="17" t="s">
        <v>1505</v>
      </c>
      <c r="J14" s="18" t="s">
        <v>23</v>
      </c>
      <c r="K14" s="19" t="s">
        <v>14</v>
      </c>
      <c r="L14" s="19" t="s">
        <v>29</v>
      </c>
      <c r="M14" s="20">
        <v>6</v>
      </c>
      <c r="N14" s="21">
        <v>84999</v>
      </c>
      <c r="O14" s="22">
        <v>12</v>
      </c>
      <c r="P14" s="23">
        <v>448794.72</v>
      </c>
      <c r="Q14" s="22">
        <v>4.5</v>
      </c>
      <c r="R14" s="22">
        <v>20</v>
      </c>
      <c r="S14" s="23">
        <f>(Table13[[#This Row],[Unit Price]]*Table13[[#This Row],[No.of Units]])*18%</f>
        <v>91798.92</v>
      </c>
      <c r="T14" s="22" t="s">
        <v>1508</v>
      </c>
    </row>
    <row r="15" spans="2:22" x14ac:dyDescent="0.3">
      <c r="B15" s="5" t="s">
        <v>32</v>
      </c>
      <c r="C15" s="1">
        <v>2648970</v>
      </c>
      <c r="D15" s="1">
        <v>76</v>
      </c>
      <c r="E15" s="1" t="s">
        <v>20</v>
      </c>
      <c r="F15" s="16">
        <v>45665</v>
      </c>
      <c r="G15" s="1" t="s">
        <v>1470</v>
      </c>
      <c r="H15" s="1" t="s">
        <v>1471</v>
      </c>
      <c r="I15" s="17" t="s">
        <v>1504</v>
      </c>
      <c r="J15" s="18" t="s">
        <v>25</v>
      </c>
      <c r="K15" s="19" t="s">
        <v>26</v>
      </c>
      <c r="L15" s="19" t="s">
        <v>29</v>
      </c>
      <c r="M15" s="20">
        <v>3</v>
      </c>
      <c r="N15" s="21">
        <v>69999</v>
      </c>
      <c r="O15" s="22">
        <v>8</v>
      </c>
      <c r="P15" s="23">
        <v>193197.24</v>
      </c>
      <c r="Q15" s="22">
        <v>4.8</v>
      </c>
      <c r="R15" s="22">
        <v>20</v>
      </c>
      <c r="S15" s="23">
        <f>(Table13[[#This Row],[Unit Price]]*Table13[[#This Row],[No.of Units]])*18%</f>
        <v>37799.46</v>
      </c>
      <c r="T15" s="22" t="s">
        <v>1507</v>
      </c>
    </row>
    <row r="16" spans="2:22" x14ac:dyDescent="0.3">
      <c r="B16" s="5" t="s">
        <v>32</v>
      </c>
      <c r="C16" s="1">
        <v>2648970</v>
      </c>
      <c r="D16" s="1">
        <v>45</v>
      </c>
      <c r="E16" s="1" t="s">
        <v>12</v>
      </c>
      <c r="F16" s="16">
        <v>45665</v>
      </c>
      <c r="G16" s="1" t="s">
        <v>1470</v>
      </c>
      <c r="H16" s="1" t="s">
        <v>1482</v>
      </c>
      <c r="I16" s="17" t="s">
        <v>1503</v>
      </c>
      <c r="J16" s="18" t="s">
        <v>28</v>
      </c>
      <c r="K16" s="19" t="s">
        <v>26</v>
      </c>
      <c r="L16" s="19" t="s">
        <v>29</v>
      </c>
      <c r="M16" s="20">
        <v>10</v>
      </c>
      <c r="N16" s="21">
        <v>42999</v>
      </c>
      <c r="O16" s="22">
        <v>15</v>
      </c>
      <c r="P16" s="23">
        <v>365491.5</v>
      </c>
      <c r="Q16" s="22">
        <v>4.5999999999999996</v>
      </c>
      <c r="R16" s="22">
        <v>20</v>
      </c>
      <c r="S16" s="23">
        <f>(Table13[[#This Row],[Unit Price]]*Table13[[#This Row],[No.of Units]])*18%</f>
        <v>77398.2</v>
      </c>
      <c r="T16" s="22" t="s">
        <v>1507</v>
      </c>
    </row>
    <row r="17" spans="2:20" x14ac:dyDescent="0.3">
      <c r="B17" s="5" t="s">
        <v>33</v>
      </c>
      <c r="C17" s="1">
        <v>265357</v>
      </c>
      <c r="D17" s="1">
        <v>18</v>
      </c>
      <c r="E17" s="1" t="s">
        <v>34</v>
      </c>
      <c r="F17" s="16">
        <v>45665</v>
      </c>
      <c r="G17" s="1" t="s">
        <v>1470</v>
      </c>
      <c r="H17" s="1" t="s">
        <v>1471</v>
      </c>
      <c r="I17" s="17" t="s">
        <v>1502</v>
      </c>
      <c r="J17" s="18" t="s">
        <v>13</v>
      </c>
      <c r="K17" s="19" t="s">
        <v>14</v>
      </c>
      <c r="L17" s="19" t="s">
        <v>35</v>
      </c>
      <c r="M17" s="20">
        <v>3</v>
      </c>
      <c r="N17" s="21">
        <v>99999</v>
      </c>
      <c r="O17" s="22">
        <v>10</v>
      </c>
      <c r="P17" s="23">
        <v>269997.3</v>
      </c>
      <c r="Q17" s="22">
        <v>4.7</v>
      </c>
      <c r="R17" s="22">
        <v>20</v>
      </c>
      <c r="S17" s="23">
        <f>(Table13[[#This Row],[Unit Price]]*Table13[[#This Row],[No.of Units]])*18%</f>
        <v>53999.46</v>
      </c>
      <c r="T17" s="22" t="s">
        <v>1508</v>
      </c>
    </row>
    <row r="18" spans="2:20" x14ac:dyDescent="0.3">
      <c r="B18" s="5" t="s">
        <v>36</v>
      </c>
      <c r="C18" s="1">
        <v>9268874</v>
      </c>
      <c r="D18" s="1">
        <v>44</v>
      </c>
      <c r="E18" s="1" t="s">
        <v>12</v>
      </c>
      <c r="F18" s="16">
        <v>45665</v>
      </c>
      <c r="G18" s="1" t="s">
        <v>1470</v>
      </c>
      <c r="H18" s="1" t="s">
        <v>1482</v>
      </c>
      <c r="I18" s="17" t="s">
        <v>1503</v>
      </c>
      <c r="J18" s="18" t="s">
        <v>17</v>
      </c>
      <c r="K18" s="19" t="s">
        <v>18</v>
      </c>
      <c r="L18" s="19" t="s">
        <v>35</v>
      </c>
      <c r="M18" s="20">
        <v>33</v>
      </c>
      <c r="N18" s="21">
        <v>4999</v>
      </c>
      <c r="O18" s="22">
        <v>18</v>
      </c>
      <c r="P18" s="23">
        <v>135272.94</v>
      </c>
      <c r="Q18" s="22">
        <v>4.4000000000000004</v>
      </c>
      <c r="R18" s="22">
        <v>20</v>
      </c>
      <c r="S18" s="23">
        <f>(Table13[[#This Row],[Unit Price]]*Table13[[#This Row],[No.of Units]])*18%</f>
        <v>29694.059999999998</v>
      </c>
      <c r="T18" s="22" t="s">
        <v>1508</v>
      </c>
    </row>
    <row r="19" spans="2:20" x14ac:dyDescent="0.3">
      <c r="B19" s="5" t="s">
        <v>37</v>
      </c>
      <c r="C19" s="1">
        <v>442660</v>
      </c>
      <c r="D19" s="1">
        <v>52</v>
      </c>
      <c r="E19" s="1" t="s">
        <v>20</v>
      </c>
      <c r="F19" s="16">
        <v>45665</v>
      </c>
      <c r="G19" s="1" t="s">
        <v>1470</v>
      </c>
      <c r="H19" s="1" t="s">
        <v>1471</v>
      </c>
      <c r="I19" s="17" t="s">
        <v>1504</v>
      </c>
      <c r="J19" s="18" t="s">
        <v>21</v>
      </c>
      <c r="K19" s="19" t="s">
        <v>18</v>
      </c>
      <c r="L19" s="19" t="s">
        <v>35</v>
      </c>
      <c r="M19" s="20">
        <v>11</v>
      </c>
      <c r="N19" s="21">
        <v>24900</v>
      </c>
      <c r="O19" s="22">
        <v>5</v>
      </c>
      <c r="P19" s="23">
        <v>260205</v>
      </c>
      <c r="Q19" s="22">
        <v>4.8</v>
      </c>
      <c r="R19" s="22">
        <v>20</v>
      </c>
      <c r="S19" s="23">
        <f>(Table13[[#This Row],[Unit Price]]*Table13[[#This Row],[No.of Units]])*18%</f>
        <v>49302</v>
      </c>
      <c r="T19" s="22" t="s">
        <v>1508</v>
      </c>
    </row>
    <row r="20" spans="2:20" x14ac:dyDescent="0.3">
      <c r="B20" s="5" t="s">
        <v>38</v>
      </c>
      <c r="C20" s="1">
        <v>7482261</v>
      </c>
      <c r="D20" s="1">
        <v>18</v>
      </c>
      <c r="E20" s="1" t="s">
        <v>34</v>
      </c>
      <c r="F20" s="16">
        <v>45665</v>
      </c>
      <c r="G20" s="1" t="s">
        <v>1470</v>
      </c>
      <c r="H20" s="1" t="s">
        <v>1481</v>
      </c>
      <c r="I20" s="17" t="s">
        <v>1505</v>
      </c>
      <c r="J20" s="18" t="s">
        <v>23</v>
      </c>
      <c r="K20" s="19" t="s">
        <v>14</v>
      </c>
      <c r="L20" s="19" t="s">
        <v>35</v>
      </c>
      <c r="M20" s="20">
        <v>2</v>
      </c>
      <c r="N20" s="21">
        <v>84999</v>
      </c>
      <c r="O20" s="22">
        <v>12</v>
      </c>
      <c r="P20" s="23">
        <v>149598.24</v>
      </c>
      <c r="Q20" s="22">
        <v>4.5</v>
      </c>
      <c r="R20" s="22">
        <v>20</v>
      </c>
      <c r="S20" s="23">
        <f>(Table13[[#This Row],[Unit Price]]*Table13[[#This Row],[No.of Units]])*18%</f>
        <v>30599.64</v>
      </c>
      <c r="T20" s="22" t="s">
        <v>1507</v>
      </c>
    </row>
    <row r="21" spans="2:20" x14ac:dyDescent="0.3">
      <c r="B21" s="5" t="s">
        <v>39</v>
      </c>
      <c r="C21" s="1">
        <v>7039962</v>
      </c>
      <c r="D21" s="1">
        <v>30</v>
      </c>
      <c r="E21" s="1" t="s">
        <v>12</v>
      </c>
      <c r="F21" s="16">
        <v>45665</v>
      </c>
      <c r="G21" s="1" t="s">
        <v>1470</v>
      </c>
      <c r="H21" s="1" t="s">
        <v>1480</v>
      </c>
      <c r="I21" s="17" t="s">
        <v>1504</v>
      </c>
      <c r="J21" s="18" t="s">
        <v>25</v>
      </c>
      <c r="K21" s="19" t="s">
        <v>26</v>
      </c>
      <c r="L21" s="19" t="s">
        <v>35</v>
      </c>
      <c r="M21" s="20">
        <v>3</v>
      </c>
      <c r="N21" s="21">
        <v>69999</v>
      </c>
      <c r="O21" s="22">
        <v>8</v>
      </c>
      <c r="P21" s="23">
        <v>193197.24</v>
      </c>
      <c r="Q21" s="22">
        <v>4.8</v>
      </c>
      <c r="R21" s="22">
        <v>20</v>
      </c>
      <c r="S21" s="23">
        <f>(Table13[[#This Row],[Unit Price]]*Table13[[#This Row],[No.of Units]])*18%</f>
        <v>37799.46</v>
      </c>
      <c r="T21" s="22" t="s">
        <v>1508</v>
      </c>
    </row>
    <row r="22" spans="2:20" x14ac:dyDescent="0.3">
      <c r="B22" s="5" t="s">
        <v>40</v>
      </c>
      <c r="C22" s="1">
        <v>3422488</v>
      </c>
      <c r="D22" s="1">
        <v>48</v>
      </c>
      <c r="E22" s="1" t="s">
        <v>12</v>
      </c>
      <c r="F22" s="16">
        <v>45665</v>
      </c>
      <c r="G22" s="1" t="s">
        <v>1470</v>
      </c>
      <c r="H22" s="1" t="s">
        <v>1483</v>
      </c>
      <c r="I22" s="17" t="s">
        <v>1503</v>
      </c>
      <c r="J22" s="18" t="s">
        <v>28</v>
      </c>
      <c r="K22" s="19" t="s">
        <v>26</v>
      </c>
      <c r="L22" s="19" t="s">
        <v>35</v>
      </c>
      <c r="M22" s="20">
        <v>5</v>
      </c>
      <c r="N22" s="21">
        <v>42999</v>
      </c>
      <c r="O22" s="22">
        <v>15</v>
      </c>
      <c r="P22" s="23">
        <v>182745.75</v>
      </c>
      <c r="Q22" s="22">
        <v>4.5999999999999996</v>
      </c>
      <c r="R22" s="22">
        <v>20</v>
      </c>
      <c r="S22" s="23">
        <f>(Table13[[#This Row],[Unit Price]]*Table13[[#This Row],[No.of Units]])*18%</f>
        <v>38699.1</v>
      </c>
      <c r="T22" s="22" t="s">
        <v>1508</v>
      </c>
    </row>
    <row r="23" spans="2:20" x14ac:dyDescent="0.3">
      <c r="B23" s="5" t="s">
        <v>41</v>
      </c>
      <c r="C23" s="1">
        <v>8974687</v>
      </c>
      <c r="D23" s="1">
        <v>24</v>
      </c>
      <c r="E23" s="1" t="s">
        <v>12</v>
      </c>
      <c r="F23" s="16">
        <v>45665</v>
      </c>
      <c r="G23" s="1" t="s">
        <v>1470</v>
      </c>
      <c r="H23" s="1" t="s">
        <v>1482</v>
      </c>
      <c r="I23" s="17" t="s">
        <v>1502</v>
      </c>
      <c r="J23" s="18" t="s">
        <v>13</v>
      </c>
      <c r="K23" s="19" t="s">
        <v>14</v>
      </c>
      <c r="L23" s="19" t="s">
        <v>42</v>
      </c>
      <c r="M23" s="20">
        <v>5</v>
      </c>
      <c r="N23" s="21">
        <v>99999</v>
      </c>
      <c r="O23" s="22">
        <v>10</v>
      </c>
      <c r="P23" s="23">
        <v>449995.5</v>
      </c>
      <c r="Q23" s="22">
        <v>4.7</v>
      </c>
      <c r="R23" s="22">
        <v>20</v>
      </c>
      <c r="S23" s="23">
        <f>(Table13[[#This Row],[Unit Price]]*Table13[[#This Row],[No.of Units]])*18%</f>
        <v>89999.099999999991</v>
      </c>
      <c r="T23" s="22" t="s">
        <v>1508</v>
      </c>
    </row>
    <row r="24" spans="2:20" x14ac:dyDescent="0.3">
      <c r="B24" s="5" t="s">
        <v>43</v>
      </c>
      <c r="C24" s="1">
        <v>244536</v>
      </c>
      <c r="D24" s="1">
        <v>46</v>
      </c>
      <c r="E24" s="1" t="s">
        <v>12</v>
      </c>
      <c r="F24" s="16">
        <v>45665</v>
      </c>
      <c r="G24" s="1" t="s">
        <v>1470</v>
      </c>
      <c r="H24" s="1" t="s">
        <v>1471</v>
      </c>
      <c r="I24" s="17" t="s">
        <v>1503</v>
      </c>
      <c r="J24" s="18" t="s">
        <v>17</v>
      </c>
      <c r="K24" s="19" t="s">
        <v>18</v>
      </c>
      <c r="L24" s="19" t="s">
        <v>42</v>
      </c>
      <c r="M24" s="20">
        <v>41</v>
      </c>
      <c r="N24" s="21">
        <v>4999</v>
      </c>
      <c r="O24" s="22">
        <v>18</v>
      </c>
      <c r="P24" s="23">
        <v>168066.38</v>
      </c>
      <c r="Q24" s="22">
        <v>4.4000000000000004</v>
      </c>
      <c r="R24" s="22">
        <v>20</v>
      </c>
      <c r="S24" s="23">
        <f>(Table13[[#This Row],[Unit Price]]*Table13[[#This Row],[No.of Units]])*18%</f>
        <v>36892.619999999995</v>
      </c>
      <c r="T24" s="22" t="s">
        <v>1508</v>
      </c>
    </row>
    <row r="25" spans="2:20" x14ac:dyDescent="0.3">
      <c r="B25" s="5" t="s">
        <v>44</v>
      </c>
      <c r="C25" s="1">
        <v>4376789</v>
      </c>
      <c r="D25" s="1">
        <v>43</v>
      </c>
      <c r="E25" s="1" t="s">
        <v>12</v>
      </c>
      <c r="F25" s="16">
        <v>45665</v>
      </c>
      <c r="G25" s="1" t="s">
        <v>1470</v>
      </c>
      <c r="H25" s="1" t="s">
        <v>1481</v>
      </c>
      <c r="I25" s="17" t="s">
        <v>1504</v>
      </c>
      <c r="J25" s="18" t="s">
        <v>21</v>
      </c>
      <c r="K25" s="19" t="s">
        <v>18</v>
      </c>
      <c r="L25" s="19" t="s">
        <v>42</v>
      </c>
      <c r="M25" s="20">
        <v>11</v>
      </c>
      <c r="N25" s="21">
        <v>24900</v>
      </c>
      <c r="O25" s="22">
        <v>5</v>
      </c>
      <c r="P25" s="23">
        <v>260205</v>
      </c>
      <c r="Q25" s="22">
        <v>4.8</v>
      </c>
      <c r="R25" s="22">
        <v>20</v>
      </c>
      <c r="S25" s="23">
        <f>(Table13[[#This Row],[Unit Price]]*Table13[[#This Row],[No.of Units]])*18%</f>
        <v>49302</v>
      </c>
      <c r="T25" s="22" t="s">
        <v>1507</v>
      </c>
    </row>
    <row r="26" spans="2:20" x14ac:dyDescent="0.3">
      <c r="B26" s="5" t="s">
        <v>45</v>
      </c>
      <c r="C26" s="1">
        <v>1943310</v>
      </c>
      <c r="D26" s="1">
        <v>31</v>
      </c>
      <c r="E26" s="1" t="s">
        <v>12</v>
      </c>
      <c r="F26" s="16">
        <v>45665</v>
      </c>
      <c r="G26" s="1" t="s">
        <v>1473</v>
      </c>
      <c r="H26" s="1" t="s">
        <v>1482</v>
      </c>
      <c r="I26" s="17" t="s">
        <v>1505</v>
      </c>
      <c r="J26" s="18" t="s">
        <v>23</v>
      </c>
      <c r="K26" s="19" t="s">
        <v>14</v>
      </c>
      <c r="L26" s="19" t="s">
        <v>42</v>
      </c>
      <c r="M26" s="20">
        <v>4</v>
      </c>
      <c r="N26" s="21">
        <v>84999</v>
      </c>
      <c r="O26" s="22">
        <v>12</v>
      </c>
      <c r="P26" s="23">
        <v>299196.48</v>
      </c>
      <c r="Q26" s="22">
        <v>4.5</v>
      </c>
      <c r="R26" s="22">
        <v>20</v>
      </c>
      <c r="S26" s="23">
        <f>(Table13[[#This Row],[Unit Price]]*Table13[[#This Row],[No.of Units]])*18%</f>
        <v>61199.28</v>
      </c>
      <c r="T26" s="22" t="s">
        <v>1508</v>
      </c>
    </row>
    <row r="27" spans="2:20" x14ac:dyDescent="0.3">
      <c r="B27" s="5" t="s">
        <v>46</v>
      </c>
      <c r="C27" s="1">
        <v>950590</v>
      </c>
      <c r="D27" s="1">
        <v>30</v>
      </c>
      <c r="E27" s="1" t="s">
        <v>12</v>
      </c>
      <c r="F27" s="16">
        <v>45665</v>
      </c>
      <c r="G27" s="1" t="s">
        <v>1470</v>
      </c>
      <c r="H27" s="1" t="s">
        <v>1482</v>
      </c>
      <c r="I27" s="17" t="s">
        <v>1504</v>
      </c>
      <c r="J27" s="18" t="s">
        <v>25</v>
      </c>
      <c r="K27" s="19" t="s">
        <v>26</v>
      </c>
      <c r="L27" s="19" t="s">
        <v>42</v>
      </c>
      <c r="M27" s="20">
        <v>6</v>
      </c>
      <c r="N27" s="21">
        <v>69999</v>
      </c>
      <c r="O27" s="22">
        <v>8</v>
      </c>
      <c r="P27" s="23">
        <v>386394.48</v>
      </c>
      <c r="Q27" s="22">
        <v>4.8</v>
      </c>
      <c r="R27" s="22">
        <v>20</v>
      </c>
      <c r="S27" s="23">
        <f>(Table13[[#This Row],[Unit Price]]*Table13[[#This Row],[No.of Units]])*18%</f>
        <v>75598.92</v>
      </c>
      <c r="T27" s="22" t="s">
        <v>1507</v>
      </c>
    </row>
    <row r="28" spans="2:20" x14ac:dyDescent="0.3">
      <c r="B28" s="5" t="s">
        <v>47</v>
      </c>
      <c r="C28" s="1">
        <v>3935670</v>
      </c>
      <c r="D28" s="1">
        <v>19</v>
      </c>
      <c r="E28" s="1" t="s">
        <v>34</v>
      </c>
      <c r="F28" s="16">
        <v>45665</v>
      </c>
      <c r="G28" s="1" t="s">
        <v>1470</v>
      </c>
      <c r="H28" s="1" t="s">
        <v>1483</v>
      </c>
      <c r="I28" s="17" t="s">
        <v>1503</v>
      </c>
      <c r="J28" s="18" t="s">
        <v>28</v>
      </c>
      <c r="K28" s="19" t="s">
        <v>26</v>
      </c>
      <c r="L28" s="19" t="s">
        <v>42</v>
      </c>
      <c r="M28" s="20">
        <v>8</v>
      </c>
      <c r="N28" s="21">
        <v>42999</v>
      </c>
      <c r="O28" s="22">
        <v>15</v>
      </c>
      <c r="P28" s="23">
        <v>292393.2</v>
      </c>
      <c r="Q28" s="22">
        <v>4.5999999999999996</v>
      </c>
      <c r="R28" s="22">
        <v>20</v>
      </c>
      <c r="S28" s="23">
        <f>(Table13[[#This Row],[Unit Price]]*Table13[[#This Row],[No.of Units]])*18%</f>
        <v>61918.559999999998</v>
      </c>
      <c r="T28" s="22" t="s">
        <v>1507</v>
      </c>
    </row>
    <row r="29" spans="2:20" x14ac:dyDescent="0.3">
      <c r="B29" s="5" t="s">
        <v>48</v>
      </c>
      <c r="C29" s="1">
        <v>398999</v>
      </c>
      <c r="D29" s="1">
        <v>37</v>
      </c>
      <c r="E29" s="1" t="s">
        <v>12</v>
      </c>
      <c r="F29" s="16">
        <v>45665</v>
      </c>
      <c r="G29" s="1" t="s">
        <v>1470</v>
      </c>
      <c r="H29" s="1" t="s">
        <v>1471</v>
      </c>
      <c r="I29" s="17" t="s">
        <v>1502</v>
      </c>
      <c r="J29" s="18" t="s">
        <v>13</v>
      </c>
      <c r="K29" s="19" t="s">
        <v>14</v>
      </c>
      <c r="L29" s="19" t="s">
        <v>49</v>
      </c>
      <c r="M29" s="20">
        <v>6</v>
      </c>
      <c r="N29" s="21">
        <v>99999</v>
      </c>
      <c r="O29" s="22">
        <v>10</v>
      </c>
      <c r="P29" s="23">
        <v>539994.6</v>
      </c>
      <c r="Q29" s="22">
        <v>4.7</v>
      </c>
      <c r="R29" s="22">
        <v>20</v>
      </c>
      <c r="S29" s="23">
        <f>(Table13[[#This Row],[Unit Price]]*Table13[[#This Row],[No.of Units]])*18%</f>
        <v>107998.92</v>
      </c>
      <c r="T29" s="22" t="s">
        <v>1507</v>
      </c>
    </row>
    <row r="30" spans="2:20" x14ac:dyDescent="0.3">
      <c r="B30" s="5" t="s">
        <v>50</v>
      </c>
      <c r="C30" s="1">
        <v>5438780</v>
      </c>
      <c r="D30" s="1">
        <v>37</v>
      </c>
      <c r="E30" s="1" t="s">
        <v>12</v>
      </c>
      <c r="F30" s="16">
        <v>45665</v>
      </c>
      <c r="G30" s="1" t="s">
        <v>1470</v>
      </c>
      <c r="H30" s="1" t="s">
        <v>1483</v>
      </c>
      <c r="I30" s="17" t="s">
        <v>1503</v>
      </c>
      <c r="J30" s="18" t="s">
        <v>17</v>
      </c>
      <c r="K30" s="19" t="s">
        <v>18</v>
      </c>
      <c r="L30" s="19" t="s">
        <v>49</v>
      </c>
      <c r="M30" s="20">
        <v>44</v>
      </c>
      <c r="N30" s="21">
        <v>4999</v>
      </c>
      <c r="O30" s="22">
        <v>18</v>
      </c>
      <c r="P30" s="23">
        <v>180363.91999999998</v>
      </c>
      <c r="Q30" s="22">
        <v>4.4000000000000004</v>
      </c>
      <c r="R30" s="22">
        <v>20</v>
      </c>
      <c r="S30" s="23">
        <f>(Table13[[#This Row],[Unit Price]]*Table13[[#This Row],[No.of Units]])*18%</f>
        <v>39592.080000000002</v>
      </c>
      <c r="T30" s="22" t="s">
        <v>1508</v>
      </c>
    </row>
    <row r="31" spans="2:20" x14ac:dyDescent="0.3">
      <c r="B31" s="5" t="s">
        <v>51</v>
      </c>
      <c r="C31" s="1">
        <v>8343960</v>
      </c>
      <c r="D31" s="1">
        <v>62</v>
      </c>
      <c r="E31" s="1" t="s">
        <v>20</v>
      </c>
      <c r="F31" s="16">
        <v>45665</v>
      </c>
      <c r="G31" s="1" t="s">
        <v>1470</v>
      </c>
      <c r="H31" s="1" t="s">
        <v>1472</v>
      </c>
      <c r="I31" s="17" t="s">
        <v>1504</v>
      </c>
      <c r="J31" s="18" t="s">
        <v>21</v>
      </c>
      <c r="K31" s="19" t="s">
        <v>18</v>
      </c>
      <c r="L31" s="19" t="s">
        <v>49</v>
      </c>
      <c r="M31" s="20">
        <v>13</v>
      </c>
      <c r="N31" s="21">
        <v>24900</v>
      </c>
      <c r="O31" s="22">
        <v>5</v>
      </c>
      <c r="P31" s="23">
        <v>307515</v>
      </c>
      <c r="Q31" s="22">
        <v>4.8</v>
      </c>
      <c r="R31" s="22">
        <v>20</v>
      </c>
      <c r="S31" s="23">
        <f>(Table13[[#This Row],[Unit Price]]*Table13[[#This Row],[No.of Units]])*18%</f>
        <v>58266</v>
      </c>
      <c r="T31" s="22" t="s">
        <v>1508</v>
      </c>
    </row>
    <row r="32" spans="2:20" x14ac:dyDescent="0.3">
      <c r="B32" s="5" t="s">
        <v>52</v>
      </c>
      <c r="C32" s="1">
        <v>986513</v>
      </c>
      <c r="D32" s="1">
        <v>20</v>
      </c>
      <c r="E32" s="1" t="s">
        <v>12</v>
      </c>
      <c r="F32" s="16">
        <v>45665</v>
      </c>
      <c r="G32" s="1" t="s">
        <v>1470</v>
      </c>
      <c r="H32" s="1" t="s">
        <v>1472</v>
      </c>
      <c r="I32" s="17" t="s">
        <v>1505</v>
      </c>
      <c r="J32" s="18" t="s">
        <v>23</v>
      </c>
      <c r="K32" s="19" t="s">
        <v>14</v>
      </c>
      <c r="L32" s="19" t="s">
        <v>49</v>
      </c>
      <c r="M32" s="20">
        <v>4</v>
      </c>
      <c r="N32" s="21">
        <v>84999</v>
      </c>
      <c r="O32" s="22">
        <v>12</v>
      </c>
      <c r="P32" s="23">
        <v>299196.48</v>
      </c>
      <c r="Q32" s="22">
        <v>4.5</v>
      </c>
      <c r="R32" s="22">
        <v>20</v>
      </c>
      <c r="S32" s="23">
        <f>(Table13[[#This Row],[Unit Price]]*Table13[[#This Row],[No.of Units]])*18%</f>
        <v>61199.28</v>
      </c>
      <c r="T32" s="22" t="s">
        <v>1508</v>
      </c>
    </row>
    <row r="33" spans="2:20" x14ac:dyDescent="0.3">
      <c r="B33" s="5" t="s">
        <v>53</v>
      </c>
      <c r="C33" s="1">
        <v>947452</v>
      </c>
      <c r="D33" s="1">
        <v>77</v>
      </c>
      <c r="E33" s="1" t="s">
        <v>20</v>
      </c>
      <c r="F33" s="16">
        <v>45665</v>
      </c>
      <c r="G33" s="1" t="s">
        <v>1470</v>
      </c>
      <c r="H33" s="1" t="s">
        <v>1472</v>
      </c>
      <c r="I33" s="17" t="s">
        <v>1504</v>
      </c>
      <c r="J33" s="18" t="s">
        <v>25</v>
      </c>
      <c r="K33" s="19" t="s">
        <v>26</v>
      </c>
      <c r="L33" s="19" t="s">
        <v>49</v>
      </c>
      <c r="M33" s="20">
        <v>5</v>
      </c>
      <c r="N33" s="21">
        <v>69999</v>
      </c>
      <c r="O33" s="22">
        <v>8</v>
      </c>
      <c r="P33" s="23">
        <v>321995.40000000002</v>
      </c>
      <c r="Q33" s="22">
        <v>4.8</v>
      </c>
      <c r="R33" s="22">
        <v>20</v>
      </c>
      <c r="S33" s="23">
        <f>(Table13[[#This Row],[Unit Price]]*Table13[[#This Row],[No.of Units]])*18%</f>
        <v>62999.1</v>
      </c>
      <c r="T33" s="22" t="s">
        <v>1508</v>
      </c>
    </row>
    <row r="34" spans="2:20" x14ac:dyDescent="0.3">
      <c r="B34" s="5" t="s">
        <v>54</v>
      </c>
      <c r="C34" s="1">
        <v>1326018</v>
      </c>
      <c r="D34" s="1">
        <v>26</v>
      </c>
      <c r="E34" s="1" t="s">
        <v>12</v>
      </c>
      <c r="F34" s="16">
        <v>45665</v>
      </c>
      <c r="G34" s="1" t="s">
        <v>1470</v>
      </c>
      <c r="H34" s="1" t="s">
        <v>1471</v>
      </c>
      <c r="I34" s="17" t="s">
        <v>1503</v>
      </c>
      <c r="J34" s="18" t="s">
        <v>28</v>
      </c>
      <c r="K34" s="19" t="s">
        <v>26</v>
      </c>
      <c r="L34" s="19" t="s">
        <v>49</v>
      </c>
      <c r="M34" s="20">
        <v>8</v>
      </c>
      <c r="N34" s="21">
        <v>42999</v>
      </c>
      <c r="O34" s="22">
        <v>15</v>
      </c>
      <c r="P34" s="23">
        <v>292393.2</v>
      </c>
      <c r="Q34" s="22">
        <v>4.5999999999999996</v>
      </c>
      <c r="R34" s="22">
        <v>20</v>
      </c>
      <c r="S34" s="23">
        <f>(Table13[[#This Row],[Unit Price]]*Table13[[#This Row],[No.of Units]])*18%</f>
        <v>61918.559999999998</v>
      </c>
      <c r="T34" s="22" t="s">
        <v>1508</v>
      </c>
    </row>
    <row r="35" spans="2:20" x14ac:dyDescent="0.3">
      <c r="B35" s="5" t="s">
        <v>55</v>
      </c>
      <c r="C35" s="1">
        <v>9281717</v>
      </c>
      <c r="D35" s="1">
        <v>40</v>
      </c>
      <c r="E35" s="1" t="s">
        <v>12</v>
      </c>
      <c r="F35" s="16">
        <v>45672</v>
      </c>
      <c r="G35" s="1" t="s">
        <v>1470</v>
      </c>
      <c r="H35" s="1" t="s">
        <v>1471</v>
      </c>
      <c r="I35" s="17" t="s">
        <v>1502</v>
      </c>
      <c r="J35" s="18" t="s">
        <v>13</v>
      </c>
      <c r="K35" s="19" t="s">
        <v>14</v>
      </c>
      <c r="L35" s="19" t="s">
        <v>15</v>
      </c>
      <c r="M35" s="20">
        <v>6</v>
      </c>
      <c r="N35" s="21">
        <v>99999</v>
      </c>
      <c r="O35" s="22">
        <v>10</v>
      </c>
      <c r="P35" s="23">
        <v>539994.6</v>
      </c>
      <c r="Q35" s="22">
        <v>4.7</v>
      </c>
      <c r="R35" s="22">
        <v>20</v>
      </c>
      <c r="S35" s="23">
        <f>(Table13[[#This Row],[Unit Price]]*Table13[[#This Row],[No.of Units]])*18%</f>
        <v>107998.92</v>
      </c>
      <c r="T35" s="22" t="s">
        <v>1508</v>
      </c>
    </row>
    <row r="36" spans="2:20" x14ac:dyDescent="0.3">
      <c r="B36" s="5" t="s">
        <v>56</v>
      </c>
      <c r="C36" s="1">
        <v>6866119</v>
      </c>
      <c r="D36" s="1">
        <v>52</v>
      </c>
      <c r="E36" s="1" t="s">
        <v>20</v>
      </c>
      <c r="F36" s="16">
        <v>45672</v>
      </c>
      <c r="G36" s="1" t="s">
        <v>1470</v>
      </c>
      <c r="H36" s="1" t="s">
        <v>1471</v>
      </c>
      <c r="I36" s="17" t="s">
        <v>1503</v>
      </c>
      <c r="J36" s="18" t="s">
        <v>17</v>
      </c>
      <c r="K36" s="19" t="s">
        <v>18</v>
      </c>
      <c r="L36" s="19" t="s">
        <v>15</v>
      </c>
      <c r="M36" s="20">
        <v>40</v>
      </c>
      <c r="N36" s="21">
        <v>4999</v>
      </c>
      <c r="O36" s="22">
        <v>18</v>
      </c>
      <c r="P36" s="23">
        <v>163967.20000000001</v>
      </c>
      <c r="Q36" s="22">
        <v>4.4000000000000004</v>
      </c>
      <c r="R36" s="22">
        <v>20</v>
      </c>
      <c r="S36" s="23">
        <f>(Table13[[#This Row],[Unit Price]]*Table13[[#This Row],[No.of Units]])*18%</f>
        <v>35992.799999999996</v>
      </c>
      <c r="T36" s="22" t="s">
        <v>1508</v>
      </c>
    </row>
    <row r="37" spans="2:20" x14ac:dyDescent="0.3">
      <c r="B37" s="5" t="s">
        <v>57</v>
      </c>
      <c r="C37" s="1">
        <v>9400852</v>
      </c>
      <c r="D37" s="1">
        <v>38</v>
      </c>
      <c r="E37" s="1" t="s">
        <v>12</v>
      </c>
      <c r="F37" s="16">
        <v>45672</v>
      </c>
      <c r="G37" s="1" t="s">
        <v>1470</v>
      </c>
      <c r="H37" s="1" t="s">
        <v>1483</v>
      </c>
      <c r="I37" s="17" t="s">
        <v>1504</v>
      </c>
      <c r="J37" s="18" t="s">
        <v>21</v>
      </c>
      <c r="K37" s="19" t="s">
        <v>18</v>
      </c>
      <c r="L37" s="19" t="s">
        <v>15</v>
      </c>
      <c r="M37" s="20">
        <v>12</v>
      </c>
      <c r="N37" s="21">
        <v>24900</v>
      </c>
      <c r="O37" s="22">
        <v>5</v>
      </c>
      <c r="P37" s="23">
        <v>283860</v>
      </c>
      <c r="Q37" s="22">
        <v>4.8</v>
      </c>
      <c r="R37" s="22">
        <v>20</v>
      </c>
      <c r="S37" s="23">
        <f>(Table13[[#This Row],[Unit Price]]*Table13[[#This Row],[No.of Units]])*18%</f>
        <v>53784</v>
      </c>
      <c r="T37" s="22" t="s">
        <v>1508</v>
      </c>
    </row>
    <row r="38" spans="2:20" x14ac:dyDescent="0.3">
      <c r="B38" s="5" t="s">
        <v>58</v>
      </c>
      <c r="C38" s="1">
        <v>2606836</v>
      </c>
      <c r="D38" s="1">
        <v>39</v>
      </c>
      <c r="E38" s="1" t="s">
        <v>12</v>
      </c>
      <c r="F38" s="16">
        <v>45672</v>
      </c>
      <c r="G38" s="1" t="s">
        <v>1470</v>
      </c>
      <c r="H38" s="1" t="s">
        <v>1482</v>
      </c>
      <c r="I38" s="17" t="s">
        <v>1505</v>
      </c>
      <c r="J38" s="18" t="s">
        <v>23</v>
      </c>
      <c r="K38" s="19" t="s">
        <v>14</v>
      </c>
      <c r="L38" s="19" t="s">
        <v>15</v>
      </c>
      <c r="M38" s="20">
        <v>3</v>
      </c>
      <c r="N38" s="21">
        <v>84999</v>
      </c>
      <c r="O38" s="22">
        <v>12</v>
      </c>
      <c r="P38" s="23">
        <v>224397.36</v>
      </c>
      <c r="Q38" s="22">
        <v>4.5</v>
      </c>
      <c r="R38" s="22">
        <v>20</v>
      </c>
      <c r="S38" s="23">
        <f>(Table13[[#This Row],[Unit Price]]*Table13[[#This Row],[No.of Units]])*18%</f>
        <v>45899.46</v>
      </c>
      <c r="T38" s="22" t="s">
        <v>1508</v>
      </c>
    </row>
    <row r="39" spans="2:20" x14ac:dyDescent="0.3">
      <c r="B39" s="5" t="s">
        <v>59</v>
      </c>
      <c r="C39" s="1">
        <v>8481179</v>
      </c>
      <c r="D39" s="1">
        <v>37</v>
      </c>
      <c r="E39" s="1" t="s">
        <v>12</v>
      </c>
      <c r="F39" s="16">
        <v>45672</v>
      </c>
      <c r="G39" s="1" t="s">
        <v>1470</v>
      </c>
      <c r="H39" s="1" t="s">
        <v>1471</v>
      </c>
      <c r="I39" s="17" t="s">
        <v>1504</v>
      </c>
      <c r="J39" s="18" t="s">
        <v>25</v>
      </c>
      <c r="K39" s="19" t="s">
        <v>26</v>
      </c>
      <c r="L39" s="19" t="s">
        <v>15</v>
      </c>
      <c r="M39" s="20">
        <v>6</v>
      </c>
      <c r="N39" s="21">
        <v>69999</v>
      </c>
      <c r="O39" s="22">
        <v>8</v>
      </c>
      <c r="P39" s="23">
        <v>386394.48</v>
      </c>
      <c r="Q39" s="22">
        <v>4.8</v>
      </c>
      <c r="R39" s="22">
        <v>20</v>
      </c>
      <c r="S39" s="23">
        <f>(Table13[[#This Row],[Unit Price]]*Table13[[#This Row],[No.of Units]])*18%</f>
        <v>75598.92</v>
      </c>
      <c r="T39" s="22" t="s">
        <v>1508</v>
      </c>
    </row>
    <row r="40" spans="2:20" x14ac:dyDescent="0.3">
      <c r="B40" s="5" t="s">
        <v>60</v>
      </c>
      <c r="C40" s="1">
        <v>9686095</v>
      </c>
      <c r="D40" s="1">
        <v>73</v>
      </c>
      <c r="E40" s="1" t="s">
        <v>20</v>
      </c>
      <c r="F40" s="16">
        <v>45672</v>
      </c>
      <c r="G40" s="1" t="s">
        <v>1470</v>
      </c>
      <c r="H40" s="1" t="s">
        <v>1472</v>
      </c>
      <c r="I40" s="17" t="s">
        <v>1503</v>
      </c>
      <c r="J40" s="18" t="s">
        <v>28</v>
      </c>
      <c r="K40" s="19" t="s">
        <v>26</v>
      </c>
      <c r="L40" s="19" t="s">
        <v>15</v>
      </c>
      <c r="M40" s="20">
        <v>11</v>
      </c>
      <c r="N40" s="21">
        <v>42999</v>
      </c>
      <c r="O40" s="22">
        <v>15</v>
      </c>
      <c r="P40" s="23">
        <v>402040.65</v>
      </c>
      <c r="Q40" s="22">
        <v>4.5999999999999996</v>
      </c>
      <c r="R40" s="22">
        <v>20</v>
      </c>
      <c r="S40" s="23">
        <f>(Table13[[#This Row],[Unit Price]]*Table13[[#This Row],[No.of Units]])*18%</f>
        <v>85138.02</v>
      </c>
      <c r="T40" s="22" t="s">
        <v>1508</v>
      </c>
    </row>
    <row r="41" spans="2:20" x14ac:dyDescent="0.3">
      <c r="B41" s="5" t="s">
        <v>61</v>
      </c>
      <c r="C41" s="1">
        <v>9033015</v>
      </c>
      <c r="D41" s="1">
        <v>41</v>
      </c>
      <c r="E41" s="1" t="s">
        <v>12</v>
      </c>
      <c r="F41" s="16">
        <v>45672</v>
      </c>
      <c r="G41" s="1" t="s">
        <v>1470</v>
      </c>
      <c r="H41" s="1" t="s">
        <v>1471</v>
      </c>
      <c r="I41" s="17" t="s">
        <v>1502</v>
      </c>
      <c r="J41" s="18" t="s">
        <v>13</v>
      </c>
      <c r="K41" s="19" t="s">
        <v>14</v>
      </c>
      <c r="L41" s="19" t="s">
        <v>29</v>
      </c>
      <c r="M41" s="20">
        <v>4</v>
      </c>
      <c r="N41" s="21">
        <v>99999</v>
      </c>
      <c r="O41" s="22">
        <v>10</v>
      </c>
      <c r="P41" s="23">
        <v>359996.4</v>
      </c>
      <c r="Q41" s="22">
        <v>4.7</v>
      </c>
      <c r="R41" s="22">
        <v>20</v>
      </c>
      <c r="S41" s="23">
        <f>(Table13[[#This Row],[Unit Price]]*Table13[[#This Row],[No.of Units]])*18%</f>
        <v>71999.28</v>
      </c>
      <c r="T41" s="22" t="s">
        <v>1507</v>
      </c>
    </row>
    <row r="42" spans="2:20" x14ac:dyDescent="0.3">
      <c r="B42" s="5" t="s">
        <v>62</v>
      </c>
      <c r="C42" s="1">
        <v>6932218</v>
      </c>
      <c r="D42" s="1">
        <v>41</v>
      </c>
      <c r="E42" s="1" t="s">
        <v>12</v>
      </c>
      <c r="F42" s="16">
        <v>45672</v>
      </c>
      <c r="G42" s="1" t="s">
        <v>1470</v>
      </c>
      <c r="H42" s="1" t="s">
        <v>1482</v>
      </c>
      <c r="I42" s="17" t="s">
        <v>1503</v>
      </c>
      <c r="J42" s="18" t="s">
        <v>17</v>
      </c>
      <c r="K42" s="19" t="s">
        <v>18</v>
      </c>
      <c r="L42" s="19" t="s">
        <v>29</v>
      </c>
      <c r="M42" s="20">
        <v>60</v>
      </c>
      <c r="N42" s="21">
        <v>4999</v>
      </c>
      <c r="O42" s="22">
        <v>18</v>
      </c>
      <c r="P42" s="23">
        <v>245950.8</v>
      </c>
      <c r="Q42" s="22">
        <v>4.4000000000000004</v>
      </c>
      <c r="R42" s="22">
        <v>20</v>
      </c>
      <c r="S42" s="23">
        <f>(Table13[[#This Row],[Unit Price]]*Table13[[#This Row],[No.of Units]])*18%</f>
        <v>53989.2</v>
      </c>
      <c r="T42" s="22" t="s">
        <v>1507</v>
      </c>
    </row>
    <row r="43" spans="2:20" x14ac:dyDescent="0.3">
      <c r="B43" s="5" t="s">
        <v>63</v>
      </c>
      <c r="C43" s="1">
        <v>8796291</v>
      </c>
      <c r="D43" s="1">
        <v>35</v>
      </c>
      <c r="E43" s="1" t="s">
        <v>12</v>
      </c>
      <c r="F43" s="16">
        <v>45672</v>
      </c>
      <c r="G43" s="1" t="s">
        <v>1470</v>
      </c>
      <c r="H43" s="1" t="s">
        <v>1471</v>
      </c>
      <c r="I43" s="17" t="s">
        <v>1504</v>
      </c>
      <c r="J43" s="18" t="s">
        <v>21</v>
      </c>
      <c r="K43" s="19" t="s">
        <v>18</v>
      </c>
      <c r="L43" s="19" t="s">
        <v>29</v>
      </c>
      <c r="M43" s="20">
        <v>15</v>
      </c>
      <c r="N43" s="21">
        <v>24900</v>
      </c>
      <c r="O43" s="22">
        <v>5</v>
      </c>
      <c r="P43" s="23">
        <v>354825</v>
      </c>
      <c r="Q43" s="22">
        <v>4.8</v>
      </c>
      <c r="R43" s="22">
        <v>20</v>
      </c>
      <c r="S43" s="23">
        <f>(Table13[[#This Row],[Unit Price]]*Table13[[#This Row],[No.of Units]])*18%</f>
        <v>67230</v>
      </c>
      <c r="T43" s="22" t="s">
        <v>1508</v>
      </c>
    </row>
    <row r="44" spans="2:20" x14ac:dyDescent="0.3">
      <c r="B44" s="5" t="s">
        <v>64</v>
      </c>
      <c r="C44" s="1">
        <v>9654105</v>
      </c>
      <c r="D44" s="1">
        <v>72</v>
      </c>
      <c r="E44" s="1" t="s">
        <v>20</v>
      </c>
      <c r="F44" s="16">
        <v>45672</v>
      </c>
      <c r="G44" s="1" t="s">
        <v>1470</v>
      </c>
      <c r="H44" s="1" t="s">
        <v>1472</v>
      </c>
      <c r="I44" s="17" t="s">
        <v>1505</v>
      </c>
      <c r="J44" s="18" t="s">
        <v>23</v>
      </c>
      <c r="K44" s="19" t="s">
        <v>14</v>
      </c>
      <c r="L44" s="19" t="s">
        <v>29</v>
      </c>
      <c r="M44" s="20">
        <v>3</v>
      </c>
      <c r="N44" s="21">
        <v>84999</v>
      </c>
      <c r="O44" s="22">
        <v>12</v>
      </c>
      <c r="P44" s="23">
        <v>224397.36</v>
      </c>
      <c r="Q44" s="22">
        <v>4.5</v>
      </c>
      <c r="R44" s="22">
        <v>20</v>
      </c>
      <c r="S44" s="23">
        <f>(Table13[[#This Row],[Unit Price]]*Table13[[#This Row],[No.of Units]])*18%</f>
        <v>45899.46</v>
      </c>
      <c r="T44" s="22" t="s">
        <v>1507</v>
      </c>
    </row>
    <row r="45" spans="2:20" x14ac:dyDescent="0.3">
      <c r="B45" s="5" t="s">
        <v>65</v>
      </c>
      <c r="C45" s="1">
        <v>637532</v>
      </c>
      <c r="D45" s="1">
        <v>39</v>
      </c>
      <c r="E45" s="1" t="s">
        <v>12</v>
      </c>
      <c r="F45" s="16">
        <v>45672</v>
      </c>
      <c r="G45" s="1" t="s">
        <v>1470</v>
      </c>
      <c r="H45" s="1" t="s">
        <v>1472</v>
      </c>
      <c r="I45" s="17" t="s">
        <v>1504</v>
      </c>
      <c r="J45" s="18" t="s">
        <v>25</v>
      </c>
      <c r="K45" s="19" t="s">
        <v>26</v>
      </c>
      <c r="L45" s="19" t="s">
        <v>29</v>
      </c>
      <c r="M45" s="20">
        <v>5</v>
      </c>
      <c r="N45" s="21">
        <v>69999</v>
      </c>
      <c r="O45" s="22">
        <v>8</v>
      </c>
      <c r="P45" s="23">
        <v>321995.40000000002</v>
      </c>
      <c r="Q45" s="22">
        <v>4.8</v>
      </c>
      <c r="R45" s="22">
        <v>20</v>
      </c>
      <c r="S45" s="23">
        <f>(Table13[[#This Row],[Unit Price]]*Table13[[#This Row],[No.of Units]])*18%</f>
        <v>62999.1</v>
      </c>
      <c r="T45" s="22" t="s">
        <v>1508</v>
      </c>
    </row>
    <row r="46" spans="2:20" x14ac:dyDescent="0.3">
      <c r="B46" s="5" t="s">
        <v>65</v>
      </c>
      <c r="C46" s="1">
        <v>637532</v>
      </c>
      <c r="D46" s="1">
        <v>39</v>
      </c>
      <c r="E46" s="1" t="s">
        <v>12</v>
      </c>
      <c r="F46" s="16">
        <v>45672</v>
      </c>
      <c r="G46" s="1" t="s">
        <v>1470</v>
      </c>
      <c r="H46" s="1" t="s">
        <v>1471</v>
      </c>
      <c r="I46" s="17" t="s">
        <v>1503</v>
      </c>
      <c r="J46" s="18" t="s">
        <v>28</v>
      </c>
      <c r="K46" s="19" t="s">
        <v>26</v>
      </c>
      <c r="L46" s="19" t="s">
        <v>29</v>
      </c>
      <c r="M46" s="20">
        <v>6</v>
      </c>
      <c r="N46" s="21">
        <v>42999</v>
      </c>
      <c r="O46" s="22">
        <v>15</v>
      </c>
      <c r="P46" s="23">
        <v>219294.9</v>
      </c>
      <c r="Q46" s="22">
        <v>4.5999999999999996</v>
      </c>
      <c r="R46" s="22">
        <v>20</v>
      </c>
      <c r="S46" s="23">
        <f>(Table13[[#This Row],[Unit Price]]*Table13[[#This Row],[No.of Units]])*18%</f>
        <v>46438.92</v>
      </c>
      <c r="T46" s="22" t="s">
        <v>1508</v>
      </c>
    </row>
    <row r="47" spans="2:20" x14ac:dyDescent="0.3">
      <c r="B47" s="5" t="s">
        <v>66</v>
      </c>
      <c r="C47" s="1">
        <v>3393819</v>
      </c>
      <c r="D47" s="1">
        <v>44</v>
      </c>
      <c r="E47" s="1" t="s">
        <v>12</v>
      </c>
      <c r="F47" s="16">
        <v>45672</v>
      </c>
      <c r="G47" s="1" t="s">
        <v>1470</v>
      </c>
      <c r="H47" s="1" t="s">
        <v>1482</v>
      </c>
      <c r="I47" s="17" t="s">
        <v>1502</v>
      </c>
      <c r="J47" s="18" t="s">
        <v>13</v>
      </c>
      <c r="K47" s="19" t="s">
        <v>14</v>
      </c>
      <c r="L47" s="19" t="s">
        <v>35</v>
      </c>
      <c r="M47" s="20">
        <v>4</v>
      </c>
      <c r="N47" s="21">
        <v>99999</v>
      </c>
      <c r="O47" s="22">
        <v>10</v>
      </c>
      <c r="P47" s="23">
        <v>359996.4</v>
      </c>
      <c r="Q47" s="22">
        <v>4.7</v>
      </c>
      <c r="R47" s="22">
        <v>20</v>
      </c>
      <c r="S47" s="23">
        <f>(Table13[[#This Row],[Unit Price]]*Table13[[#This Row],[No.of Units]])*18%</f>
        <v>71999.28</v>
      </c>
      <c r="T47" s="22" t="s">
        <v>1508</v>
      </c>
    </row>
    <row r="48" spans="2:20" x14ac:dyDescent="0.3">
      <c r="B48" s="5" t="s">
        <v>67</v>
      </c>
      <c r="C48" s="1">
        <v>5673590</v>
      </c>
      <c r="D48" s="1">
        <v>22</v>
      </c>
      <c r="E48" s="1" t="s">
        <v>12</v>
      </c>
      <c r="F48" s="16">
        <v>45672</v>
      </c>
      <c r="G48" s="1" t="s">
        <v>1470</v>
      </c>
      <c r="H48" s="1" t="s">
        <v>1480</v>
      </c>
      <c r="I48" s="17" t="s">
        <v>1503</v>
      </c>
      <c r="J48" s="18" t="s">
        <v>17</v>
      </c>
      <c r="K48" s="19" t="s">
        <v>18</v>
      </c>
      <c r="L48" s="19" t="s">
        <v>35</v>
      </c>
      <c r="M48" s="20">
        <v>33</v>
      </c>
      <c r="N48" s="21">
        <v>4999</v>
      </c>
      <c r="O48" s="22">
        <v>18</v>
      </c>
      <c r="P48" s="23">
        <v>135272.94</v>
      </c>
      <c r="Q48" s="22">
        <v>4.4000000000000004</v>
      </c>
      <c r="R48" s="22">
        <v>20</v>
      </c>
      <c r="S48" s="23">
        <f>(Table13[[#This Row],[Unit Price]]*Table13[[#This Row],[No.of Units]])*18%</f>
        <v>29694.059999999998</v>
      </c>
      <c r="T48" s="22" t="s">
        <v>1508</v>
      </c>
    </row>
    <row r="49" spans="2:20" x14ac:dyDescent="0.3">
      <c r="B49" s="5" t="s">
        <v>68</v>
      </c>
      <c r="C49" s="1">
        <v>5846829</v>
      </c>
      <c r="D49" s="1">
        <v>64</v>
      </c>
      <c r="E49" s="1" t="s">
        <v>20</v>
      </c>
      <c r="F49" s="16">
        <v>45672</v>
      </c>
      <c r="G49" s="1" t="s">
        <v>1470</v>
      </c>
      <c r="H49" s="1" t="s">
        <v>1472</v>
      </c>
      <c r="I49" s="17" t="s">
        <v>1504</v>
      </c>
      <c r="J49" s="18" t="s">
        <v>21</v>
      </c>
      <c r="K49" s="19" t="s">
        <v>18</v>
      </c>
      <c r="L49" s="19" t="s">
        <v>35</v>
      </c>
      <c r="M49" s="20">
        <v>5</v>
      </c>
      <c r="N49" s="21">
        <v>24900</v>
      </c>
      <c r="O49" s="22">
        <v>5</v>
      </c>
      <c r="P49" s="23">
        <v>118275</v>
      </c>
      <c r="Q49" s="22">
        <v>4.8</v>
      </c>
      <c r="R49" s="22">
        <v>20</v>
      </c>
      <c r="S49" s="23">
        <f>(Table13[[#This Row],[Unit Price]]*Table13[[#This Row],[No.of Units]])*18%</f>
        <v>22410</v>
      </c>
      <c r="T49" s="22" t="s">
        <v>1508</v>
      </c>
    </row>
    <row r="50" spans="2:20" x14ac:dyDescent="0.3">
      <c r="B50" s="5" t="s">
        <v>69</v>
      </c>
      <c r="C50" s="1">
        <v>4087298</v>
      </c>
      <c r="D50" s="1">
        <v>30</v>
      </c>
      <c r="E50" s="1" t="s">
        <v>12</v>
      </c>
      <c r="F50" s="16">
        <v>45672</v>
      </c>
      <c r="G50" s="1" t="s">
        <v>1470</v>
      </c>
      <c r="H50" s="1" t="s">
        <v>1471</v>
      </c>
      <c r="I50" s="17" t="s">
        <v>1505</v>
      </c>
      <c r="J50" s="18" t="s">
        <v>23</v>
      </c>
      <c r="K50" s="19" t="s">
        <v>14</v>
      </c>
      <c r="L50" s="19" t="s">
        <v>35</v>
      </c>
      <c r="M50" s="20">
        <v>1</v>
      </c>
      <c r="N50" s="21">
        <v>84999</v>
      </c>
      <c r="O50" s="22">
        <v>12</v>
      </c>
      <c r="P50" s="23">
        <v>74799.12</v>
      </c>
      <c r="Q50" s="22">
        <v>4.5</v>
      </c>
      <c r="R50" s="22">
        <v>20</v>
      </c>
      <c r="S50" s="23">
        <f>(Table13[[#This Row],[Unit Price]]*Table13[[#This Row],[No.of Units]])*18%</f>
        <v>15299.82</v>
      </c>
      <c r="T50" s="22" t="s">
        <v>1507</v>
      </c>
    </row>
    <row r="51" spans="2:20" x14ac:dyDescent="0.3">
      <c r="B51" s="5" t="s">
        <v>70</v>
      </c>
      <c r="C51" s="1">
        <v>7694743</v>
      </c>
      <c r="D51" s="1">
        <v>46</v>
      </c>
      <c r="E51" s="1" t="s">
        <v>12</v>
      </c>
      <c r="F51" s="16">
        <v>45672</v>
      </c>
      <c r="G51" s="1" t="s">
        <v>1470</v>
      </c>
      <c r="H51" s="1" t="s">
        <v>1482</v>
      </c>
      <c r="I51" s="17" t="s">
        <v>1504</v>
      </c>
      <c r="J51" s="18" t="s">
        <v>25</v>
      </c>
      <c r="K51" s="19" t="s">
        <v>26</v>
      </c>
      <c r="L51" s="19" t="s">
        <v>35</v>
      </c>
      <c r="M51" s="20">
        <v>5</v>
      </c>
      <c r="N51" s="21">
        <v>69999</v>
      </c>
      <c r="O51" s="22">
        <v>8</v>
      </c>
      <c r="P51" s="23">
        <v>321995.40000000002</v>
      </c>
      <c r="Q51" s="22">
        <v>4.8</v>
      </c>
      <c r="R51" s="22">
        <v>20</v>
      </c>
      <c r="S51" s="23">
        <f>(Table13[[#This Row],[Unit Price]]*Table13[[#This Row],[No.of Units]])*18%</f>
        <v>62999.1</v>
      </c>
      <c r="T51" s="22" t="s">
        <v>1507</v>
      </c>
    </row>
    <row r="52" spans="2:20" x14ac:dyDescent="0.3">
      <c r="B52" s="5" t="s">
        <v>71</v>
      </c>
      <c r="C52" s="1">
        <v>8068610</v>
      </c>
      <c r="D52" s="1">
        <v>48</v>
      </c>
      <c r="E52" s="1" t="s">
        <v>12</v>
      </c>
      <c r="F52" s="16">
        <v>45672</v>
      </c>
      <c r="G52" s="1" t="s">
        <v>1470</v>
      </c>
      <c r="H52" s="1" t="s">
        <v>1481</v>
      </c>
      <c r="I52" s="17" t="s">
        <v>1503</v>
      </c>
      <c r="J52" s="18" t="s">
        <v>28</v>
      </c>
      <c r="K52" s="19" t="s">
        <v>26</v>
      </c>
      <c r="L52" s="19" t="s">
        <v>35</v>
      </c>
      <c r="M52" s="20">
        <v>3</v>
      </c>
      <c r="N52" s="21">
        <v>42999</v>
      </c>
      <c r="O52" s="22">
        <v>15</v>
      </c>
      <c r="P52" s="23">
        <v>109647.45</v>
      </c>
      <c r="Q52" s="22">
        <v>4.5999999999999996</v>
      </c>
      <c r="R52" s="22">
        <v>20</v>
      </c>
      <c r="S52" s="23">
        <f>(Table13[[#This Row],[Unit Price]]*Table13[[#This Row],[No.of Units]])*18%</f>
        <v>23219.46</v>
      </c>
      <c r="T52" s="22" t="s">
        <v>1507</v>
      </c>
    </row>
    <row r="53" spans="2:20" x14ac:dyDescent="0.3">
      <c r="B53" s="5" t="s">
        <v>72</v>
      </c>
      <c r="C53" s="1">
        <v>7917674</v>
      </c>
      <c r="D53" s="1">
        <v>25</v>
      </c>
      <c r="E53" s="1" t="s">
        <v>12</v>
      </c>
      <c r="F53" s="16">
        <v>45672</v>
      </c>
      <c r="G53" s="1" t="s">
        <v>1470</v>
      </c>
      <c r="H53" s="1" t="s">
        <v>1482</v>
      </c>
      <c r="I53" s="17" t="s">
        <v>1502</v>
      </c>
      <c r="J53" s="18" t="s">
        <v>13</v>
      </c>
      <c r="K53" s="19" t="s">
        <v>14</v>
      </c>
      <c r="L53" s="19" t="s">
        <v>42</v>
      </c>
      <c r="M53" s="20">
        <v>3</v>
      </c>
      <c r="N53" s="21">
        <v>99999</v>
      </c>
      <c r="O53" s="22">
        <v>10</v>
      </c>
      <c r="P53" s="23">
        <v>269997.3</v>
      </c>
      <c r="Q53" s="22">
        <v>4.7</v>
      </c>
      <c r="R53" s="22">
        <v>20</v>
      </c>
      <c r="S53" s="23">
        <f>(Table13[[#This Row],[Unit Price]]*Table13[[#This Row],[No.of Units]])*18%</f>
        <v>53999.46</v>
      </c>
      <c r="T53" s="22" t="s">
        <v>1508</v>
      </c>
    </row>
    <row r="54" spans="2:20" x14ac:dyDescent="0.3">
      <c r="B54" s="5" t="s">
        <v>73</v>
      </c>
      <c r="C54" s="1">
        <v>2709798</v>
      </c>
      <c r="D54" s="1">
        <v>35</v>
      </c>
      <c r="E54" s="1" t="s">
        <v>12</v>
      </c>
      <c r="F54" s="16">
        <v>45672</v>
      </c>
      <c r="G54" s="1" t="s">
        <v>1470</v>
      </c>
      <c r="H54" s="1" t="s">
        <v>1483</v>
      </c>
      <c r="I54" s="17" t="s">
        <v>1503</v>
      </c>
      <c r="J54" s="18" t="s">
        <v>17</v>
      </c>
      <c r="K54" s="19" t="s">
        <v>18</v>
      </c>
      <c r="L54" s="19" t="s">
        <v>42</v>
      </c>
      <c r="M54" s="20">
        <v>45</v>
      </c>
      <c r="N54" s="21">
        <v>4999</v>
      </c>
      <c r="O54" s="22">
        <v>18</v>
      </c>
      <c r="P54" s="23">
        <v>184463.1</v>
      </c>
      <c r="Q54" s="22">
        <v>4.4000000000000004</v>
      </c>
      <c r="R54" s="22">
        <v>20</v>
      </c>
      <c r="S54" s="23">
        <f>(Table13[[#This Row],[Unit Price]]*Table13[[#This Row],[No.of Units]])*18%</f>
        <v>40491.9</v>
      </c>
      <c r="T54" s="22" t="s">
        <v>1507</v>
      </c>
    </row>
    <row r="55" spans="2:20" x14ac:dyDescent="0.3">
      <c r="B55" s="5" t="s">
        <v>74</v>
      </c>
      <c r="C55" s="1">
        <v>4213846</v>
      </c>
      <c r="D55" s="1">
        <v>27</v>
      </c>
      <c r="E55" s="1" t="s">
        <v>12</v>
      </c>
      <c r="F55" s="16">
        <v>45672</v>
      </c>
      <c r="G55" s="1" t="s">
        <v>1470</v>
      </c>
      <c r="H55" s="1" t="s">
        <v>1471</v>
      </c>
      <c r="I55" s="17" t="s">
        <v>1504</v>
      </c>
      <c r="J55" s="18" t="s">
        <v>21</v>
      </c>
      <c r="K55" s="19" t="s">
        <v>18</v>
      </c>
      <c r="L55" s="19" t="s">
        <v>42</v>
      </c>
      <c r="M55" s="20">
        <v>8</v>
      </c>
      <c r="N55" s="21">
        <v>24900</v>
      </c>
      <c r="O55" s="22">
        <v>5</v>
      </c>
      <c r="P55" s="23">
        <v>189240</v>
      </c>
      <c r="Q55" s="22">
        <v>4.8</v>
      </c>
      <c r="R55" s="22">
        <v>20</v>
      </c>
      <c r="S55" s="23">
        <f>(Table13[[#This Row],[Unit Price]]*Table13[[#This Row],[No.of Units]])*18%</f>
        <v>35856</v>
      </c>
      <c r="T55" s="22" t="s">
        <v>1507</v>
      </c>
    </row>
    <row r="56" spans="2:20" x14ac:dyDescent="0.3">
      <c r="B56" s="5" t="s">
        <v>75</v>
      </c>
      <c r="C56" s="1">
        <v>7381557</v>
      </c>
      <c r="D56" s="1">
        <v>21</v>
      </c>
      <c r="E56" s="1" t="s">
        <v>12</v>
      </c>
      <c r="F56" s="16">
        <v>45672</v>
      </c>
      <c r="G56" s="1" t="s">
        <v>1470</v>
      </c>
      <c r="H56" s="1" t="s">
        <v>1483</v>
      </c>
      <c r="I56" s="17" t="s">
        <v>1505</v>
      </c>
      <c r="J56" s="18" t="s">
        <v>23</v>
      </c>
      <c r="K56" s="19" t="s">
        <v>14</v>
      </c>
      <c r="L56" s="19" t="s">
        <v>42</v>
      </c>
      <c r="M56" s="20">
        <v>3</v>
      </c>
      <c r="N56" s="21">
        <v>84999</v>
      </c>
      <c r="O56" s="22">
        <v>12</v>
      </c>
      <c r="P56" s="23">
        <v>224397.36</v>
      </c>
      <c r="Q56" s="22">
        <v>4.5</v>
      </c>
      <c r="R56" s="22">
        <v>20</v>
      </c>
      <c r="S56" s="23">
        <f>(Table13[[#This Row],[Unit Price]]*Table13[[#This Row],[No.of Units]])*18%</f>
        <v>45899.46</v>
      </c>
      <c r="T56" s="22" t="s">
        <v>1508</v>
      </c>
    </row>
    <row r="57" spans="2:20" x14ac:dyDescent="0.3">
      <c r="B57" s="5" t="s">
        <v>76</v>
      </c>
      <c r="C57" s="1">
        <v>817885</v>
      </c>
      <c r="D57" s="1">
        <v>43</v>
      </c>
      <c r="E57" s="1" t="s">
        <v>12</v>
      </c>
      <c r="F57" s="16">
        <v>45672</v>
      </c>
      <c r="G57" s="1" t="s">
        <v>1470</v>
      </c>
      <c r="H57" s="1" t="s">
        <v>1483</v>
      </c>
      <c r="I57" s="17" t="s">
        <v>1504</v>
      </c>
      <c r="J57" s="18" t="s">
        <v>25</v>
      </c>
      <c r="K57" s="19" t="s">
        <v>26</v>
      </c>
      <c r="L57" s="19" t="s">
        <v>42</v>
      </c>
      <c r="M57" s="20">
        <v>6</v>
      </c>
      <c r="N57" s="21">
        <v>69999</v>
      </c>
      <c r="O57" s="22">
        <v>8</v>
      </c>
      <c r="P57" s="23">
        <v>386394.48</v>
      </c>
      <c r="Q57" s="22">
        <v>4.8</v>
      </c>
      <c r="R57" s="22">
        <v>20</v>
      </c>
      <c r="S57" s="23">
        <f>(Table13[[#This Row],[Unit Price]]*Table13[[#This Row],[No.of Units]])*18%</f>
        <v>75598.92</v>
      </c>
      <c r="T57" s="22" t="s">
        <v>1508</v>
      </c>
    </row>
    <row r="58" spans="2:20" x14ac:dyDescent="0.3">
      <c r="B58" s="5" t="s">
        <v>77</v>
      </c>
      <c r="C58" s="1">
        <v>2439278</v>
      </c>
      <c r="D58" s="1">
        <v>39</v>
      </c>
      <c r="E58" s="1" t="s">
        <v>12</v>
      </c>
      <c r="F58" s="16">
        <v>45672</v>
      </c>
      <c r="G58" s="1" t="s">
        <v>1470</v>
      </c>
      <c r="H58" s="1" t="s">
        <v>1482</v>
      </c>
      <c r="I58" s="17" t="s">
        <v>1503</v>
      </c>
      <c r="J58" s="18" t="s">
        <v>28</v>
      </c>
      <c r="K58" s="19" t="s">
        <v>26</v>
      </c>
      <c r="L58" s="19" t="s">
        <v>42</v>
      </c>
      <c r="M58" s="20">
        <v>5</v>
      </c>
      <c r="N58" s="21">
        <v>42999</v>
      </c>
      <c r="O58" s="22">
        <v>15</v>
      </c>
      <c r="P58" s="23">
        <v>182745.75</v>
      </c>
      <c r="Q58" s="22">
        <v>4.5999999999999996</v>
      </c>
      <c r="R58" s="22">
        <v>20</v>
      </c>
      <c r="S58" s="23">
        <f>(Table13[[#This Row],[Unit Price]]*Table13[[#This Row],[No.of Units]])*18%</f>
        <v>38699.1</v>
      </c>
      <c r="T58" s="22" t="s">
        <v>1508</v>
      </c>
    </row>
    <row r="59" spans="2:20" x14ac:dyDescent="0.3">
      <c r="B59" s="5" t="s">
        <v>78</v>
      </c>
      <c r="C59" s="1">
        <v>8874360</v>
      </c>
      <c r="D59" s="1">
        <v>23</v>
      </c>
      <c r="E59" s="1" t="s">
        <v>12</v>
      </c>
      <c r="F59" s="16">
        <v>45672</v>
      </c>
      <c r="G59" s="1" t="s">
        <v>1470</v>
      </c>
      <c r="H59" s="1" t="s">
        <v>1483</v>
      </c>
      <c r="I59" s="17" t="s">
        <v>1502</v>
      </c>
      <c r="J59" s="18" t="s">
        <v>13</v>
      </c>
      <c r="K59" s="19" t="s">
        <v>14</v>
      </c>
      <c r="L59" s="19" t="s">
        <v>49</v>
      </c>
      <c r="M59" s="20">
        <v>3</v>
      </c>
      <c r="N59" s="21">
        <v>99999</v>
      </c>
      <c r="O59" s="22">
        <v>10</v>
      </c>
      <c r="P59" s="23">
        <v>269997.3</v>
      </c>
      <c r="Q59" s="22">
        <v>4.7</v>
      </c>
      <c r="R59" s="22">
        <v>20</v>
      </c>
      <c r="S59" s="23">
        <f>(Table13[[#This Row],[Unit Price]]*Table13[[#This Row],[No.of Units]])*18%</f>
        <v>53999.46</v>
      </c>
      <c r="T59" s="22" t="s">
        <v>1508</v>
      </c>
    </row>
    <row r="60" spans="2:20" x14ac:dyDescent="0.3">
      <c r="B60" s="5" t="s">
        <v>79</v>
      </c>
      <c r="C60" s="1">
        <v>4675134</v>
      </c>
      <c r="D60" s="1">
        <v>58</v>
      </c>
      <c r="E60" s="1" t="s">
        <v>20</v>
      </c>
      <c r="F60" s="16">
        <v>45672</v>
      </c>
      <c r="G60" s="1" t="s">
        <v>1470</v>
      </c>
      <c r="H60" s="1" t="s">
        <v>1480</v>
      </c>
      <c r="I60" s="17" t="s">
        <v>1503</v>
      </c>
      <c r="J60" s="18" t="s">
        <v>17</v>
      </c>
      <c r="K60" s="19" t="s">
        <v>18</v>
      </c>
      <c r="L60" s="19" t="s">
        <v>49</v>
      </c>
      <c r="M60" s="20">
        <v>39</v>
      </c>
      <c r="N60" s="21">
        <v>4999</v>
      </c>
      <c r="O60" s="22">
        <v>18</v>
      </c>
      <c r="P60" s="23">
        <v>159868.02000000002</v>
      </c>
      <c r="Q60" s="22">
        <v>4.4000000000000004</v>
      </c>
      <c r="R60" s="22">
        <v>20</v>
      </c>
      <c r="S60" s="23">
        <f>(Table13[[#This Row],[Unit Price]]*Table13[[#This Row],[No.of Units]])*18%</f>
        <v>35092.979999999996</v>
      </c>
      <c r="T60" s="22" t="s">
        <v>1507</v>
      </c>
    </row>
    <row r="61" spans="2:20" x14ac:dyDescent="0.3">
      <c r="B61" s="5" t="s">
        <v>80</v>
      </c>
      <c r="C61" s="1">
        <v>9907523</v>
      </c>
      <c r="D61" s="1">
        <v>27</v>
      </c>
      <c r="E61" s="1" t="s">
        <v>12</v>
      </c>
      <c r="F61" s="16">
        <v>45672</v>
      </c>
      <c r="G61" s="1" t="s">
        <v>1470</v>
      </c>
      <c r="H61" s="1" t="s">
        <v>1471</v>
      </c>
      <c r="I61" s="17" t="s">
        <v>1504</v>
      </c>
      <c r="J61" s="18" t="s">
        <v>21</v>
      </c>
      <c r="K61" s="19" t="s">
        <v>18</v>
      </c>
      <c r="L61" s="19" t="s">
        <v>49</v>
      </c>
      <c r="M61" s="20">
        <v>7</v>
      </c>
      <c r="N61" s="21">
        <v>24900</v>
      </c>
      <c r="O61" s="22">
        <v>5</v>
      </c>
      <c r="P61" s="23">
        <v>165585</v>
      </c>
      <c r="Q61" s="22">
        <v>4.8</v>
      </c>
      <c r="R61" s="22">
        <v>20</v>
      </c>
      <c r="S61" s="23">
        <f>(Table13[[#This Row],[Unit Price]]*Table13[[#This Row],[No.of Units]])*18%</f>
        <v>31374</v>
      </c>
      <c r="T61" s="22" t="s">
        <v>1508</v>
      </c>
    </row>
    <row r="62" spans="2:20" x14ac:dyDescent="0.3">
      <c r="B62" s="5" t="s">
        <v>80</v>
      </c>
      <c r="C62" s="1">
        <v>9907523</v>
      </c>
      <c r="D62" s="1">
        <v>38</v>
      </c>
      <c r="E62" s="1" t="s">
        <v>12</v>
      </c>
      <c r="F62" s="16">
        <v>45672</v>
      </c>
      <c r="G62" s="1" t="s">
        <v>1470</v>
      </c>
      <c r="H62" s="1" t="s">
        <v>1471</v>
      </c>
      <c r="I62" s="17" t="s">
        <v>1505</v>
      </c>
      <c r="J62" s="18" t="s">
        <v>23</v>
      </c>
      <c r="K62" s="19" t="s">
        <v>14</v>
      </c>
      <c r="L62" s="19" t="s">
        <v>49</v>
      </c>
      <c r="M62" s="20">
        <v>6</v>
      </c>
      <c r="N62" s="21">
        <v>84999</v>
      </c>
      <c r="O62" s="22">
        <v>12</v>
      </c>
      <c r="P62" s="23">
        <v>448794.72</v>
      </c>
      <c r="Q62" s="22">
        <v>4.5</v>
      </c>
      <c r="R62" s="22">
        <v>20</v>
      </c>
      <c r="S62" s="23">
        <f>(Table13[[#This Row],[Unit Price]]*Table13[[#This Row],[No.of Units]])*18%</f>
        <v>91798.92</v>
      </c>
      <c r="T62" s="22" t="s">
        <v>1507</v>
      </c>
    </row>
    <row r="63" spans="2:20" x14ac:dyDescent="0.3">
      <c r="B63" s="5" t="s">
        <v>81</v>
      </c>
      <c r="C63" s="1">
        <v>7643005</v>
      </c>
      <c r="D63" s="1">
        <v>75</v>
      </c>
      <c r="E63" s="1" t="s">
        <v>20</v>
      </c>
      <c r="F63" s="16">
        <v>45672</v>
      </c>
      <c r="G63" s="1" t="s">
        <v>1470</v>
      </c>
      <c r="H63" s="1" t="s">
        <v>1472</v>
      </c>
      <c r="I63" s="17" t="s">
        <v>1504</v>
      </c>
      <c r="J63" s="18" t="s">
        <v>25</v>
      </c>
      <c r="K63" s="19" t="s">
        <v>26</v>
      </c>
      <c r="L63" s="19" t="s">
        <v>49</v>
      </c>
      <c r="M63" s="20">
        <v>6</v>
      </c>
      <c r="N63" s="21">
        <v>69999</v>
      </c>
      <c r="O63" s="22">
        <v>8</v>
      </c>
      <c r="P63" s="23">
        <v>386394.48</v>
      </c>
      <c r="Q63" s="22">
        <v>4.8</v>
      </c>
      <c r="R63" s="22">
        <v>20</v>
      </c>
      <c r="S63" s="23">
        <f>(Table13[[#This Row],[Unit Price]]*Table13[[#This Row],[No.of Units]])*18%</f>
        <v>75598.92</v>
      </c>
      <c r="T63" s="22" t="s">
        <v>1507</v>
      </c>
    </row>
    <row r="64" spans="2:20" x14ac:dyDescent="0.3">
      <c r="B64" s="5" t="s">
        <v>82</v>
      </c>
      <c r="C64" s="1">
        <v>381223</v>
      </c>
      <c r="D64" s="1">
        <v>47</v>
      </c>
      <c r="E64" s="1" t="s">
        <v>12</v>
      </c>
      <c r="F64" s="16">
        <v>45672</v>
      </c>
      <c r="G64" s="1" t="s">
        <v>1470</v>
      </c>
      <c r="H64" s="1" t="s">
        <v>1480</v>
      </c>
      <c r="I64" s="17" t="s">
        <v>1503</v>
      </c>
      <c r="J64" s="18" t="s">
        <v>28</v>
      </c>
      <c r="K64" s="19" t="s">
        <v>26</v>
      </c>
      <c r="L64" s="19" t="s">
        <v>49</v>
      </c>
      <c r="M64" s="20">
        <v>7</v>
      </c>
      <c r="N64" s="21">
        <v>42999</v>
      </c>
      <c r="O64" s="22">
        <v>15</v>
      </c>
      <c r="P64" s="23">
        <v>255844.05</v>
      </c>
      <c r="Q64" s="22">
        <v>4.5999999999999996</v>
      </c>
      <c r="R64" s="22">
        <v>20</v>
      </c>
      <c r="S64" s="23">
        <f>(Table13[[#This Row],[Unit Price]]*Table13[[#This Row],[No.of Units]])*18%</f>
        <v>54178.74</v>
      </c>
      <c r="T64" s="22" t="s">
        <v>1507</v>
      </c>
    </row>
    <row r="65" spans="2:20" x14ac:dyDescent="0.3">
      <c r="B65" s="5" t="s">
        <v>83</v>
      </c>
      <c r="C65" s="1">
        <v>8538186</v>
      </c>
      <c r="D65" s="1">
        <v>62</v>
      </c>
      <c r="E65" s="1" t="s">
        <v>20</v>
      </c>
      <c r="F65" s="16">
        <v>45679</v>
      </c>
      <c r="G65" s="1" t="s">
        <v>1470</v>
      </c>
      <c r="H65" s="1" t="s">
        <v>1471</v>
      </c>
      <c r="I65" s="17" t="s">
        <v>1502</v>
      </c>
      <c r="J65" s="18" t="s">
        <v>13</v>
      </c>
      <c r="K65" s="19" t="s">
        <v>14</v>
      </c>
      <c r="L65" s="19" t="s">
        <v>15</v>
      </c>
      <c r="M65" s="20">
        <v>3</v>
      </c>
      <c r="N65" s="21">
        <v>99999</v>
      </c>
      <c r="O65" s="22">
        <v>10</v>
      </c>
      <c r="P65" s="23">
        <v>269997.3</v>
      </c>
      <c r="Q65" s="22">
        <v>4.7</v>
      </c>
      <c r="R65" s="22">
        <v>20</v>
      </c>
      <c r="S65" s="23">
        <f>(Table13[[#This Row],[Unit Price]]*Table13[[#This Row],[No.of Units]])*18%</f>
        <v>53999.46</v>
      </c>
      <c r="T65" s="22" t="s">
        <v>1507</v>
      </c>
    </row>
    <row r="66" spans="2:20" x14ac:dyDescent="0.3">
      <c r="B66" s="5" t="s">
        <v>84</v>
      </c>
      <c r="C66" s="1">
        <v>1785530</v>
      </c>
      <c r="D66" s="1">
        <v>42</v>
      </c>
      <c r="E66" s="1" t="s">
        <v>12</v>
      </c>
      <c r="F66" s="16">
        <v>45679</v>
      </c>
      <c r="G66" s="1" t="s">
        <v>1470</v>
      </c>
      <c r="H66" s="1" t="s">
        <v>1471</v>
      </c>
      <c r="I66" s="17" t="s">
        <v>1503</v>
      </c>
      <c r="J66" s="18" t="s">
        <v>17</v>
      </c>
      <c r="K66" s="19" t="s">
        <v>18</v>
      </c>
      <c r="L66" s="19" t="s">
        <v>15</v>
      </c>
      <c r="M66" s="20">
        <v>51</v>
      </c>
      <c r="N66" s="21">
        <v>4999</v>
      </c>
      <c r="O66" s="22">
        <v>18</v>
      </c>
      <c r="P66" s="23">
        <v>209058.18</v>
      </c>
      <c r="Q66" s="22">
        <v>4.4000000000000004</v>
      </c>
      <c r="R66" s="22">
        <v>20</v>
      </c>
      <c r="S66" s="23">
        <f>(Table13[[#This Row],[Unit Price]]*Table13[[#This Row],[No.of Units]])*18%</f>
        <v>45890.82</v>
      </c>
      <c r="T66" s="22" t="s">
        <v>1508</v>
      </c>
    </row>
    <row r="67" spans="2:20" x14ac:dyDescent="0.3">
      <c r="B67" s="5" t="s">
        <v>85</v>
      </c>
      <c r="C67" s="1">
        <v>824767</v>
      </c>
      <c r="D67" s="1">
        <v>34</v>
      </c>
      <c r="E67" s="1" t="s">
        <v>12</v>
      </c>
      <c r="F67" s="16">
        <v>45679</v>
      </c>
      <c r="G67" s="1" t="s">
        <v>1470</v>
      </c>
      <c r="H67" s="1" t="s">
        <v>1483</v>
      </c>
      <c r="I67" s="17" t="s">
        <v>1504</v>
      </c>
      <c r="J67" s="18" t="s">
        <v>21</v>
      </c>
      <c r="K67" s="19" t="s">
        <v>18</v>
      </c>
      <c r="L67" s="19" t="s">
        <v>15</v>
      </c>
      <c r="M67" s="20">
        <v>5</v>
      </c>
      <c r="N67" s="21">
        <v>24900</v>
      </c>
      <c r="O67" s="22">
        <v>5</v>
      </c>
      <c r="P67" s="23">
        <v>118275</v>
      </c>
      <c r="Q67" s="22">
        <v>4.8</v>
      </c>
      <c r="R67" s="22">
        <v>20</v>
      </c>
      <c r="S67" s="23">
        <f>(Table13[[#This Row],[Unit Price]]*Table13[[#This Row],[No.of Units]])*18%</f>
        <v>22410</v>
      </c>
      <c r="T67" s="22" t="s">
        <v>1507</v>
      </c>
    </row>
    <row r="68" spans="2:20" x14ac:dyDescent="0.3">
      <c r="B68" s="5" t="s">
        <v>86</v>
      </c>
      <c r="C68" s="1">
        <v>8169153</v>
      </c>
      <c r="D68" s="1">
        <v>20</v>
      </c>
      <c r="E68" s="1" t="s">
        <v>12</v>
      </c>
      <c r="F68" s="16">
        <v>45679</v>
      </c>
      <c r="G68" s="1" t="s">
        <v>1470</v>
      </c>
      <c r="H68" s="1" t="s">
        <v>1471</v>
      </c>
      <c r="I68" s="17" t="s">
        <v>1505</v>
      </c>
      <c r="J68" s="18" t="s">
        <v>23</v>
      </c>
      <c r="K68" s="19" t="s">
        <v>14</v>
      </c>
      <c r="L68" s="19" t="s">
        <v>15</v>
      </c>
      <c r="M68" s="20">
        <v>6</v>
      </c>
      <c r="N68" s="21">
        <v>84999</v>
      </c>
      <c r="O68" s="22">
        <v>12</v>
      </c>
      <c r="P68" s="23">
        <v>448794.72</v>
      </c>
      <c r="Q68" s="22">
        <v>4.5</v>
      </c>
      <c r="R68" s="22">
        <v>20</v>
      </c>
      <c r="S68" s="23">
        <f>(Table13[[#This Row],[Unit Price]]*Table13[[#This Row],[No.of Units]])*18%</f>
        <v>91798.92</v>
      </c>
      <c r="T68" s="22" t="s">
        <v>1508</v>
      </c>
    </row>
    <row r="69" spans="2:20" x14ac:dyDescent="0.3">
      <c r="B69" s="5" t="s">
        <v>87</v>
      </c>
      <c r="C69" s="1">
        <v>5169174</v>
      </c>
      <c r="D69" s="1">
        <v>44</v>
      </c>
      <c r="E69" s="1" t="s">
        <v>12</v>
      </c>
      <c r="F69" s="16">
        <v>45679</v>
      </c>
      <c r="G69" s="1" t="s">
        <v>1474</v>
      </c>
      <c r="H69" s="1" t="s">
        <v>1482</v>
      </c>
      <c r="I69" s="17" t="s">
        <v>1504</v>
      </c>
      <c r="J69" s="18" t="s">
        <v>25</v>
      </c>
      <c r="K69" s="19" t="s">
        <v>26</v>
      </c>
      <c r="L69" s="19" t="s">
        <v>15</v>
      </c>
      <c r="M69" s="20">
        <v>3</v>
      </c>
      <c r="N69" s="21">
        <v>69999</v>
      </c>
      <c r="O69" s="22">
        <v>8</v>
      </c>
      <c r="P69" s="23">
        <v>193197.24</v>
      </c>
      <c r="Q69" s="22">
        <v>4.8</v>
      </c>
      <c r="R69" s="22">
        <v>20</v>
      </c>
      <c r="S69" s="23">
        <f>(Table13[[#This Row],[Unit Price]]*Table13[[#This Row],[No.of Units]])*18%</f>
        <v>37799.46</v>
      </c>
      <c r="T69" s="22" t="s">
        <v>1508</v>
      </c>
    </row>
    <row r="70" spans="2:20" x14ac:dyDescent="0.3">
      <c r="B70" s="5" t="s">
        <v>88</v>
      </c>
      <c r="C70" s="1">
        <v>2130722</v>
      </c>
      <c r="D70" s="1">
        <v>24</v>
      </c>
      <c r="E70" s="1" t="s">
        <v>12</v>
      </c>
      <c r="F70" s="16">
        <v>45679</v>
      </c>
      <c r="G70" s="1" t="s">
        <v>1470</v>
      </c>
      <c r="H70" s="1" t="s">
        <v>1482</v>
      </c>
      <c r="I70" s="17" t="s">
        <v>1503</v>
      </c>
      <c r="J70" s="18" t="s">
        <v>28</v>
      </c>
      <c r="K70" s="19" t="s">
        <v>26</v>
      </c>
      <c r="L70" s="19" t="s">
        <v>15</v>
      </c>
      <c r="M70" s="20">
        <v>5</v>
      </c>
      <c r="N70" s="21">
        <v>42999</v>
      </c>
      <c r="O70" s="22">
        <v>15</v>
      </c>
      <c r="P70" s="23">
        <v>182745.75</v>
      </c>
      <c r="Q70" s="22">
        <v>4.5999999999999996</v>
      </c>
      <c r="R70" s="22">
        <v>20</v>
      </c>
      <c r="S70" s="23">
        <f>(Table13[[#This Row],[Unit Price]]*Table13[[#This Row],[No.of Units]])*18%</f>
        <v>38699.1</v>
      </c>
      <c r="T70" s="22" t="s">
        <v>1508</v>
      </c>
    </row>
    <row r="71" spans="2:20" x14ac:dyDescent="0.3">
      <c r="B71" s="5" t="s">
        <v>89</v>
      </c>
      <c r="C71" s="1">
        <v>8399604</v>
      </c>
      <c r="D71" s="1">
        <v>31</v>
      </c>
      <c r="E71" s="1" t="s">
        <v>12</v>
      </c>
      <c r="F71" s="16">
        <v>45679</v>
      </c>
      <c r="G71" s="1" t="s">
        <v>1470</v>
      </c>
      <c r="H71" s="1" t="s">
        <v>1471</v>
      </c>
      <c r="I71" s="17" t="s">
        <v>1502</v>
      </c>
      <c r="J71" s="18" t="s">
        <v>13</v>
      </c>
      <c r="K71" s="19" t="s">
        <v>14</v>
      </c>
      <c r="L71" s="19" t="s">
        <v>29</v>
      </c>
      <c r="M71" s="20">
        <v>5</v>
      </c>
      <c r="N71" s="21">
        <v>99999</v>
      </c>
      <c r="O71" s="22">
        <v>10</v>
      </c>
      <c r="P71" s="23">
        <v>449995.5</v>
      </c>
      <c r="Q71" s="22">
        <v>4.7</v>
      </c>
      <c r="R71" s="22">
        <v>20</v>
      </c>
      <c r="S71" s="23">
        <f>(Table13[[#This Row],[Unit Price]]*Table13[[#This Row],[No.of Units]])*18%</f>
        <v>89999.099999999991</v>
      </c>
      <c r="T71" s="22" t="s">
        <v>1508</v>
      </c>
    </row>
    <row r="72" spans="2:20" x14ac:dyDescent="0.3">
      <c r="B72" s="5" t="s">
        <v>90</v>
      </c>
      <c r="C72" s="1">
        <v>8213196</v>
      </c>
      <c r="D72" s="1">
        <v>75</v>
      </c>
      <c r="E72" s="1" t="s">
        <v>20</v>
      </c>
      <c r="F72" s="16">
        <v>45679</v>
      </c>
      <c r="G72" s="1" t="s">
        <v>1470</v>
      </c>
      <c r="H72" s="1" t="s">
        <v>1482</v>
      </c>
      <c r="I72" s="17" t="s">
        <v>1503</v>
      </c>
      <c r="J72" s="18" t="s">
        <v>17</v>
      </c>
      <c r="K72" s="19" t="s">
        <v>18</v>
      </c>
      <c r="L72" s="19" t="s">
        <v>29</v>
      </c>
      <c r="M72" s="20">
        <v>55</v>
      </c>
      <c r="N72" s="21">
        <v>4999</v>
      </c>
      <c r="O72" s="22">
        <v>18</v>
      </c>
      <c r="P72" s="23">
        <v>225454.9</v>
      </c>
      <c r="Q72" s="22">
        <v>4.4000000000000004</v>
      </c>
      <c r="R72" s="22">
        <v>20</v>
      </c>
      <c r="S72" s="23">
        <f>(Table13[[#This Row],[Unit Price]]*Table13[[#This Row],[No.of Units]])*18%</f>
        <v>49490.1</v>
      </c>
      <c r="T72" s="22" t="s">
        <v>1508</v>
      </c>
    </row>
    <row r="73" spans="2:20" x14ac:dyDescent="0.3">
      <c r="B73" s="5" t="s">
        <v>91</v>
      </c>
      <c r="C73" s="1">
        <v>3286680</v>
      </c>
      <c r="D73" s="1">
        <v>46</v>
      </c>
      <c r="E73" s="1" t="s">
        <v>12</v>
      </c>
      <c r="F73" s="16">
        <v>45679</v>
      </c>
      <c r="G73" s="1" t="s">
        <v>1470</v>
      </c>
      <c r="H73" s="1" t="s">
        <v>1482</v>
      </c>
      <c r="I73" s="17" t="s">
        <v>1504</v>
      </c>
      <c r="J73" s="18" t="s">
        <v>21</v>
      </c>
      <c r="K73" s="19" t="s">
        <v>18</v>
      </c>
      <c r="L73" s="19" t="s">
        <v>29</v>
      </c>
      <c r="M73" s="20">
        <v>10</v>
      </c>
      <c r="N73" s="21">
        <v>24900</v>
      </c>
      <c r="O73" s="22">
        <v>5</v>
      </c>
      <c r="P73" s="23">
        <v>236550</v>
      </c>
      <c r="Q73" s="22">
        <v>4.8</v>
      </c>
      <c r="R73" s="22">
        <v>20</v>
      </c>
      <c r="S73" s="23">
        <f>(Table13[[#This Row],[Unit Price]]*Table13[[#This Row],[No.of Units]])*18%</f>
        <v>44820</v>
      </c>
      <c r="T73" s="22" t="s">
        <v>1507</v>
      </c>
    </row>
    <row r="74" spans="2:20" x14ac:dyDescent="0.3">
      <c r="B74" s="5" t="s">
        <v>92</v>
      </c>
      <c r="C74" s="1">
        <v>6014983</v>
      </c>
      <c r="D74" s="1">
        <v>48</v>
      </c>
      <c r="E74" s="1" t="s">
        <v>12</v>
      </c>
      <c r="F74" s="16">
        <v>45679</v>
      </c>
      <c r="G74" s="1" t="s">
        <v>1470</v>
      </c>
      <c r="H74" s="1" t="s">
        <v>1482</v>
      </c>
      <c r="I74" s="17" t="s">
        <v>1505</v>
      </c>
      <c r="J74" s="18" t="s">
        <v>23</v>
      </c>
      <c r="K74" s="19" t="s">
        <v>14</v>
      </c>
      <c r="L74" s="19" t="s">
        <v>29</v>
      </c>
      <c r="M74" s="20">
        <v>3</v>
      </c>
      <c r="N74" s="21">
        <v>84999</v>
      </c>
      <c r="O74" s="22">
        <v>12</v>
      </c>
      <c r="P74" s="23">
        <v>224397.36</v>
      </c>
      <c r="Q74" s="22">
        <v>4.5</v>
      </c>
      <c r="R74" s="22">
        <v>20</v>
      </c>
      <c r="S74" s="23">
        <f>(Table13[[#This Row],[Unit Price]]*Table13[[#This Row],[No.of Units]])*18%</f>
        <v>45899.46</v>
      </c>
      <c r="T74" s="22" t="s">
        <v>1508</v>
      </c>
    </row>
    <row r="75" spans="2:20" x14ac:dyDescent="0.3">
      <c r="B75" s="5" t="s">
        <v>93</v>
      </c>
      <c r="C75" s="1">
        <v>6950860</v>
      </c>
      <c r="D75" s="1">
        <v>26</v>
      </c>
      <c r="E75" s="1" t="s">
        <v>12</v>
      </c>
      <c r="F75" s="16">
        <v>45679</v>
      </c>
      <c r="G75" s="1" t="s">
        <v>1470</v>
      </c>
      <c r="H75" s="1" t="s">
        <v>1471</v>
      </c>
      <c r="I75" s="17" t="s">
        <v>1504</v>
      </c>
      <c r="J75" s="18" t="s">
        <v>25</v>
      </c>
      <c r="K75" s="19" t="s">
        <v>26</v>
      </c>
      <c r="L75" s="19" t="s">
        <v>29</v>
      </c>
      <c r="M75" s="20">
        <v>3</v>
      </c>
      <c r="N75" s="21">
        <v>69999</v>
      </c>
      <c r="O75" s="22">
        <v>8</v>
      </c>
      <c r="P75" s="23">
        <v>193197.24</v>
      </c>
      <c r="Q75" s="22">
        <v>4.8</v>
      </c>
      <c r="R75" s="22">
        <v>20</v>
      </c>
      <c r="S75" s="23">
        <f>(Table13[[#This Row],[Unit Price]]*Table13[[#This Row],[No.of Units]])*18%</f>
        <v>37799.46</v>
      </c>
      <c r="T75" s="22" t="s">
        <v>1507</v>
      </c>
    </row>
    <row r="76" spans="2:20" x14ac:dyDescent="0.3">
      <c r="B76" s="5" t="s">
        <v>94</v>
      </c>
      <c r="C76" s="1">
        <v>7030051</v>
      </c>
      <c r="D76" s="1">
        <v>36</v>
      </c>
      <c r="E76" s="1" t="s">
        <v>12</v>
      </c>
      <c r="F76" s="16">
        <v>45679</v>
      </c>
      <c r="G76" s="1" t="s">
        <v>1470</v>
      </c>
      <c r="H76" s="1" t="s">
        <v>1482</v>
      </c>
      <c r="I76" s="17" t="s">
        <v>1503</v>
      </c>
      <c r="J76" s="18" t="s">
        <v>28</v>
      </c>
      <c r="K76" s="19" t="s">
        <v>26</v>
      </c>
      <c r="L76" s="19" t="s">
        <v>29</v>
      </c>
      <c r="M76" s="20">
        <v>8</v>
      </c>
      <c r="N76" s="21">
        <v>42999</v>
      </c>
      <c r="O76" s="22">
        <v>15</v>
      </c>
      <c r="P76" s="23">
        <v>292393.2</v>
      </c>
      <c r="Q76" s="22">
        <v>4.5999999999999996</v>
      </c>
      <c r="R76" s="22">
        <v>20</v>
      </c>
      <c r="S76" s="23">
        <f>(Table13[[#This Row],[Unit Price]]*Table13[[#This Row],[No.of Units]])*18%</f>
        <v>61918.559999999998</v>
      </c>
      <c r="T76" s="22" t="s">
        <v>1508</v>
      </c>
    </row>
    <row r="77" spans="2:20" x14ac:dyDescent="0.3">
      <c r="B77" s="5" t="s">
        <v>95</v>
      </c>
      <c r="C77" s="1">
        <v>6041386</v>
      </c>
      <c r="D77" s="1">
        <v>23</v>
      </c>
      <c r="E77" s="1" t="s">
        <v>12</v>
      </c>
      <c r="F77" s="16">
        <v>45679</v>
      </c>
      <c r="G77" s="1" t="s">
        <v>1470</v>
      </c>
      <c r="H77" s="1" t="s">
        <v>1472</v>
      </c>
      <c r="I77" s="17" t="s">
        <v>1502</v>
      </c>
      <c r="J77" s="18" t="s">
        <v>13</v>
      </c>
      <c r="K77" s="19" t="s">
        <v>14</v>
      </c>
      <c r="L77" s="19" t="s">
        <v>35</v>
      </c>
      <c r="M77" s="20">
        <v>4</v>
      </c>
      <c r="N77" s="21">
        <v>99999</v>
      </c>
      <c r="O77" s="22">
        <v>10</v>
      </c>
      <c r="P77" s="23">
        <v>359996.4</v>
      </c>
      <c r="Q77" s="22">
        <v>4.7</v>
      </c>
      <c r="R77" s="22">
        <v>20</v>
      </c>
      <c r="S77" s="23">
        <f>(Table13[[#This Row],[Unit Price]]*Table13[[#This Row],[No.of Units]])*18%</f>
        <v>71999.28</v>
      </c>
      <c r="T77" s="22" t="s">
        <v>1507</v>
      </c>
    </row>
    <row r="78" spans="2:20" x14ac:dyDescent="0.3">
      <c r="B78" s="5" t="s">
        <v>96</v>
      </c>
      <c r="C78" s="1">
        <v>7958450</v>
      </c>
      <c r="D78" s="1">
        <v>32</v>
      </c>
      <c r="E78" s="1" t="s">
        <v>12</v>
      </c>
      <c r="F78" s="16">
        <v>45679</v>
      </c>
      <c r="G78" s="1" t="s">
        <v>1470</v>
      </c>
      <c r="H78" s="1" t="s">
        <v>1471</v>
      </c>
      <c r="I78" s="17" t="s">
        <v>1503</v>
      </c>
      <c r="J78" s="18" t="s">
        <v>17</v>
      </c>
      <c r="K78" s="19" t="s">
        <v>18</v>
      </c>
      <c r="L78" s="19" t="s">
        <v>35</v>
      </c>
      <c r="M78" s="20">
        <v>31</v>
      </c>
      <c r="N78" s="21">
        <v>4999</v>
      </c>
      <c r="O78" s="22">
        <v>18</v>
      </c>
      <c r="P78" s="23">
        <v>127074.58</v>
      </c>
      <c r="Q78" s="22">
        <v>4.4000000000000004</v>
      </c>
      <c r="R78" s="22">
        <v>20</v>
      </c>
      <c r="S78" s="23">
        <f>(Table13[[#This Row],[Unit Price]]*Table13[[#This Row],[No.of Units]])*18%</f>
        <v>27894.42</v>
      </c>
      <c r="T78" s="22" t="s">
        <v>1508</v>
      </c>
    </row>
    <row r="79" spans="2:20" x14ac:dyDescent="0.3">
      <c r="B79" s="5" t="s">
        <v>97</v>
      </c>
      <c r="C79" s="1">
        <v>7814128</v>
      </c>
      <c r="D79" s="1">
        <v>26</v>
      </c>
      <c r="E79" s="1" t="s">
        <v>12</v>
      </c>
      <c r="F79" s="16">
        <v>45679</v>
      </c>
      <c r="G79" s="1" t="s">
        <v>1470</v>
      </c>
      <c r="H79" s="1" t="s">
        <v>1481</v>
      </c>
      <c r="I79" s="17" t="s">
        <v>1504</v>
      </c>
      <c r="J79" s="18" t="s">
        <v>21</v>
      </c>
      <c r="K79" s="19" t="s">
        <v>18</v>
      </c>
      <c r="L79" s="19" t="s">
        <v>35</v>
      </c>
      <c r="M79" s="20">
        <v>4</v>
      </c>
      <c r="N79" s="21">
        <v>24900</v>
      </c>
      <c r="O79" s="22">
        <v>5</v>
      </c>
      <c r="P79" s="23">
        <v>94620</v>
      </c>
      <c r="Q79" s="22">
        <v>4.8</v>
      </c>
      <c r="R79" s="22">
        <v>20</v>
      </c>
      <c r="S79" s="23">
        <f>(Table13[[#This Row],[Unit Price]]*Table13[[#This Row],[No.of Units]])*18%</f>
        <v>17928</v>
      </c>
      <c r="T79" s="22" t="s">
        <v>1508</v>
      </c>
    </row>
    <row r="80" spans="2:20" x14ac:dyDescent="0.3">
      <c r="B80" s="5" t="s">
        <v>98</v>
      </c>
      <c r="C80" s="1">
        <v>9793483</v>
      </c>
      <c r="D80" s="1">
        <v>45</v>
      </c>
      <c r="E80" s="1" t="s">
        <v>12</v>
      </c>
      <c r="F80" s="16">
        <v>45679</v>
      </c>
      <c r="G80" s="1" t="s">
        <v>1470</v>
      </c>
      <c r="H80" s="1" t="s">
        <v>1482</v>
      </c>
      <c r="I80" s="17" t="s">
        <v>1505</v>
      </c>
      <c r="J80" s="18" t="s">
        <v>23</v>
      </c>
      <c r="K80" s="19" t="s">
        <v>14</v>
      </c>
      <c r="L80" s="19" t="s">
        <v>35</v>
      </c>
      <c r="M80" s="20">
        <v>3</v>
      </c>
      <c r="N80" s="21">
        <v>84999</v>
      </c>
      <c r="O80" s="22">
        <v>12</v>
      </c>
      <c r="P80" s="23">
        <v>224397.36</v>
      </c>
      <c r="Q80" s="22">
        <v>4.5</v>
      </c>
      <c r="R80" s="22">
        <v>20</v>
      </c>
      <c r="S80" s="23">
        <f>(Table13[[#This Row],[Unit Price]]*Table13[[#This Row],[No.of Units]])*18%</f>
        <v>45899.46</v>
      </c>
      <c r="T80" s="22" t="s">
        <v>1508</v>
      </c>
    </row>
    <row r="81" spans="2:20" x14ac:dyDescent="0.3">
      <c r="B81" s="5" t="s">
        <v>99</v>
      </c>
      <c r="C81" s="1">
        <v>5297818</v>
      </c>
      <c r="D81" s="1">
        <v>49</v>
      </c>
      <c r="E81" s="1" t="s">
        <v>12</v>
      </c>
      <c r="F81" s="16">
        <v>45679</v>
      </c>
      <c r="G81" s="1" t="s">
        <v>1470</v>
      </c>
      <c r="H81" s="1" t="s">
        <v>1472</v>
      </c>
      <c r="I81" s="17" t="s">
        <v>1504</v>
      </c>
      <c r="J81" s="18" t="s">
        <v>25</v>
      </c>
      <c r="K81" s="19" t="s">
        <v>26</v>
      </c>
      <c r="L81" s="19" t="s">
        <v>35</v>
      </c>
      <c r="M81" s="20">
        <v>3</v>
      </c>
      <c r="N81" s="21">
        <v>69999</v>
      </c>
      <c r="O81" s="22">
        <v>8</v>
      </c>
      <c r="P81" s="23">
        <v>193197.24</v>
      </c>
      <c r="Q81" s="22">
        <v>4.8</v>
      </c>
      <c r="R81" s="22">
        <v>20</v>
      </c>
      <c r="S81" s="23">
        <f>(Table13[[#This Row],[Unit Price]]*Table13[[#This Row],[No.of Units]])*18%</f>
        <v>37799.46</v>
      </c>
      <c r="T81" s="22" t="s">
        <v>1508</v>
      </c>
    </row>
    <row r="82" spans="2:20" x14ac:dyDescent="0.3">
      <c r="B82" s="5" t="s">
        <v>100</v>
      </c>
      <c r="C82" s="1">
        <v>2070545</v>
      </c>
      <c r="D82" s="1">
        <v>21</v>
      </c>
      <c r="E82" s="1" t="s">
        <v>12</v>
      </c>
      <c r="F82" s="16">
        <v>45679</v>
      </c>
      <c r="G82" s="1" t="s">
        <v>1470</v>
      </c>
      <c r="H82" s="1" t="s">
        <v>1472</v>
      </c>
      <c r="I82" s="17" t="s">
        <v>1503</v>
      </c>
      <c r="J82" s="18" t="s">
        <v>28</v>
      </c>
      <c r="K82" s="19" t="s">
        <v>26</v>
      </c>
      <c r="L82" s="19" t="s">
        <v>35</v>
      </c>
      <c r="M82" s="20">
        <v>10</v>
      </c>
      <c r="N82" s="21">
        <v>42999</v>
      </c>
      <c r="O82" s="22">
        <v>15</v>
      </c>
      <c r="P82" s="23">
        <v>365491.5</v>
      </c>
      <c r="Q82" s="22">
        <v>4.5999999999999996</v>
      </c>
      <c r="R82" s="22">
        <v>20</v>
      </c>
      <c r="S82" s="23">
        <f>(Table13[[#This Row],[Unit Price]]*Table13[[#This Row],[No.of Units]])*18%</f>
        <v>77398.2</v>
      </c>
      <c r="T82" s="22" t="s">
        <v>1508</v>
      </c>
    </row>
    <row r="83" spans="2:20" x14ac:dyDescent="0.3">
      <c r="B83" s="5" t="s">
        <v>101</v>
      </c>
      <c r="C83" s="1">
        <v>1756314</v>
      </c>
      <c r="D83" s="1">
        <v>39</v>
      </c>
      <c r="E83" s="1" t="s">
        <v>12</v>
      </c>
      <c r="F83" s="16">
        <v>45679</v>
      </c>
      <c r="G83" s="1" t="s">
        <v>1470</v>
      </c>
      <c r="H83" s="1" t="s">
        <v>1482</v>
      </c>
      <c r="I83" s="17" t="s">
        <v>1502</v>
      </c>
      <c r="J83" s="18" t="s">
        <v>13</v>
      </c>
      <c r="K83" s="19" t="s">
        <v>14</v>
      </c>
      <c r="L83" s="19" t="s">
        <v>42</v>
      </c>
      <c r="M83" s="20">
        <v>5</v>
      </c>
      <c r="N83" s="21">
        <v>99999</v>
      </c>
      <c r="O83" s="22">
        <v>10</v>
      </c>
      <c r="P83" s="23">
        <v>449995.5</v>
      </c>
      <c r="Q83" s="22">
        <v>4.7</v>
      </c>
      <c r="R83" s="22">
        <v>20</v>
      </c>
      <c r="S83" s="23">
        <f>(Table13[[#This Row],[Unit Price]]*Table13[[#This Row],[No.of Units]])*18%</f>
        <v>89999.099999999991</v>
      </c>
      <c r="T83" s="22" t="s">
        <v>1507</v>
      </c>
    </row>
    <row r="84" spans="2:20" x14ac:dyDescent="0.3">
      <c r="B84" s="5" t="s">
        <v>102</v>
      </c>
      <c r="C84" s="1">
        <v>8786932</v>
      </c>
      <c r="D84" s="1">
        <v>55</v>
      </c>
      <c r="E84" s="1" t="s">
        <v>20</v>
      </c>
      <c r="F84" s="16">
        <v>45679</v>
      </c>
      <c r="G84" s="1" t="s">
        <v>1470</v>
      </c>
      <c r="H84" s="1" t="s">
        <v>1483</v>
      </c>
      <c r="I84" s="17" t="s">
        <v>1503</v>
      </c>
      <c r="J84" s="18" t="s">
        <v>17</v>
      </c>
      <c r="K84" s="19" t="s">
        <v>18</v>
      </c>
      <c r="L84" s="19" t="s">
        <v>42</v>
      </c>
      <c r="M84" s="20">
        <v>56</v>
      </c>
      <c r="N84" s="21">
        <v>4999</v>
      </c>
      <c r="O84" s="22">
        <v>18</v>
      </c>
      <c r="P84" s="23">
        <v>229554.08000000002</v>
      </c>
      <c r="Q84" s="22">
        <v>4.4000000000000004</v>
      </c>
      <c r="R84" s="22">
        <v>20</v>
      </c>
      <c r="S84" s="23">
        <f>(Table13[[#This Row],[Unit Price]]*Table13[[#This Row],[No.of Units]])*18%</f>
        <v>50389.919999999998</v>
      </c>
      <c r="T84" s="22" t="s">
        <v>1508</v>
      </c>
    </row>
    <row r="85" spans="2:20" x14ac:dyDescent="0.3">
      <c r="B85" s="5" t="s">
        <v>103</v>
      </c>
      <c r="C85" s="1">
        <v>8573929</v>
      </c>
      <c r="D85" s="1">
        <v>30</v>
      </c>
      <c r="E85" s="1" t="s">
        <v>12</v>
      </c>
      <c r="F85" s="16">
        <v>45679</v>
      </c>
      <c r="G85" s="1" t="s">
        <v>1470</v>
      </c>
      <c r="H85" s="1" t="s">
        <v>1472</v>
      </c>
      <c r="I85" s="17" t="s">
        <v>1504</v>
      </c>
      <c r="J85" s="18" t="s">
        <v>21</v>
      </c>
      <c r="K85" s="19" t="s">
        <v>18</v>
      </c>
      <c r="L85" s="19" t="s">
        <v>42</v>
      </c>
      <c r="M85" s="20">
        <v>15</v>
      </c>
      <c r="N85" s="21">
        <v>24900</v>
      </c>
      <c r="O85" s="22">
        <v>5</v>
      </c>
      <c r="P85" s="23">
        <v>354825</v>
      </c>
      <c r="Q85" s="22">
        <v>4.8</v>
      </c>
      <c r="R85" s="22">
        <v>20</v>
      </c>
      <c r="S85" s="23">
        <f>(Table13[[#This Row],[Unit Price]]*Table13[[#This Row],[No.of Units]])*18%</f>
        <v>67230</v>
      </c>
      <c r="T85" s="22" t="s">
        <v>1507</v>
      </c>
    </row>
    <row r="86" spans="2:20" x14ac:dyDescent="0.3">
      <c r="B86" s="5" t="s">
        <v>103</v>
      </c>
      <c r="C86" s="1">
        <v>8573929</v>
      </c>
      <c r="D86" s="1">
        <v>46</v>
      </c>
      <c r="E86" s="1" t="s">
        <v>12</v>
      </c>
      <c r="F86" s="16">
        <v>45679</v>
      </c>
      <c r="G86" s="1" t="s">
        <v>1470</v>
      </c>
      <c r="H86" s="1" t="s">
        <v>1471</v>
      </c>
      <c r="I86" s="17" t="s">
        <v>1505</v>
      </c>
      <c r="J86" s="18" t="s">
        <v>23</v>
      </c>
      <c r="K86" s="19" t="s">
        <v>14</v>
      </c>
      <c r="L86" s="19" t="s">
        <v>42</v>
      </c>
      <c r="M86" s="20">
        <v>2</v>
      </c>
      <c r="N86" s="21">
        <v>84999</v>
      </c>
      <c r="O86" s="22">
        <v>12</v>
      </c>
      <c r="P86" s="23">
        <v>149598.24</v>
      </c>
      <c r="Q86" s="22">
        <v>4.5</v>
      </c>
      <c r="R86" s="22">
        <v>20</v>
      </c>
      <c r="S86" s="23">
        <f>(Table13[[#This Row],[Unit Price]]*Table13[[#This Row],[No.of Units]])*18%</f>
        <v>30599.64</v>
      </c>
      <c r="T86" s="22" t="s">
        <v>1507</v>
      </c>
    </row>
    <row r="87" spans="2:20" x14ac:dyDescent="0.3">
      <c r="B87" s="5" t="s">
        <v>104</v>
      </c>
      <c r="C87" s="1">
        <v>8980704</v>
      </c>
      <c r="D87" s="1">
        <v>59</v>
      </c>
      <c r="E87" s="1" t="s">
        <v>20</v>
      </c>
      <c r="F87" s="16">
        <v>45679</v>
      </c>
      <c r="G87" s="1" t="s">
        <v>1474</v>
      </c>
      <c r="H87" s="1" t="s">
        <v>1482</v>
      </c>
      <c r="I87" s="17" t="s">
        <v>1504</v>
      </c>
      <c r="J87" s="18" t="s">
        <v>25</v>
      </c>
      <c r="K87" s="19" t="s">
        <v>26</v>
      </c>
      <c r="L87" s="19" t="s">
        <v>42</v>
      </c>
      <c r="M87" s="20">
        <v>5</v>
      </c>
      <c r="N87" s="21">
        <v>69999</v>
      </c>
      <c r="O87" s="22">
        <v>8</v>
      </c>
      <c r="P87" s="23">
        <v>321995.40000000002</v>
      </c>
      <c r="Q87" s="22">
        <v>4.8</v>
      </c>
      <c r="R87" s="22">
        <v>20</v>
      </c>
      <c r="S87" s="23">
        <f>(Table13[[#This Row],[Unit Price]]*Table13[[#This Row],[No.of Units]])*18%</f>
        <v>62999.1</v>
      </c>
      <c r="T87" s="22" t="s">
        <v>1507</v>
      </c>
    </row>
    <row r="88" spans="2:20" x14ac:dyDescent="0.3">
      <c r="B88" s="5" t="s">
        <v>105</v>
      </c>
      <c r="C88" s="1">
        <v>2516658</v>
      </c>
      <c r="D88" s="1">
        <v>55</v>
      </c>
      <c r="E88" s="1" t="s">
        <v>20</v>
      </c>
      <c r="F88" s="16">
        <v>45679</v>
      </c>
      <c r="G88" s="1" t="s">
        <v>1470</v>
      </c>
      <c r="H88" s="1" t="s">
        <v>1472</v>
      </c>
      <c r="I88" s="17" t="s">
        <v>1503</v>
      </c>
      <c r="J88" s="18" t="s">
        <v>28</v>
      </c>
      <c r="K88" s="19" t="s">
        <v>26</v>
      </c>
      <c r="L88" s="19" t="s">
        <v>42</v>
      </c>
      <c r="M88" s="20">
        <v>7</v>
      </c>
      <c r="N88" s="21">
        <v>42999</v>
      </c>
      <c r="O88" s="22">
        <v>15</v>
      </c>
      <c r="P88" s="23">
        <v>255844.05</v>
      </c>
      <c r="Q88" s="22">
        <v>4.5999999999999996</v>
      </c>
      <c r="R88" s="22">
        <v>20</v>
      </c>
      <c r="S88" s="23">
        <f>(Table13[[#This Row],[Unit Price]]*Table13[[#This Row],[No.of Units]])*18%</f>
        <v>54178.74</v>
      </c>
      <c r="T88" s="22" t="s">
        <v>1508</v>
      </c>
    </row>
    <row r="89" spans="2:20" x14ac:dyDescent="0.3">
      <c r="B89" s="5" t="s">
        <v>106</v>
      </c>
      <c r="C89" s="1">
        <v>105497</v>
      </c>
      <c r="D89" s="1">
        <v>37</v>
      </c>
      <c r="E89" s="1" t="s">
        <v>12</v>
      </c>
      <c r="F89" s="16">
        <v>45679</v>
      </c>
      <c r="G89" s="1" t="s">
        <v>1473</v>
      </c>
      <c r="H89" s="1" t="s">
        <v>1471</v>
      </c>
      <c r="I89" s="17" t="s">
        <v>1502</v>
      </c>
      <c r="J89" s="18" t="s">
        <v>13</v>
      </c>
      <c r="K89" s="19" t="s">
        <v>14</v>
      </c>
      <c r="L89" s="19" t="s">
        <v>49</v>
      </c>
      <c r="M89" s="20">
        <v>3</v>
      </c>
      <c r="N89" s="21">
        <v>99999</v>
      </c>
      <c r="O89" s="22">
        <v>10</v>
      </c>
      <c r="P89" s="23">
        <v>269997.3</v>
      </c>
      <c r="Q89" s="22">
        <v>4.7</v>
      </c>
      <c r="R89" s="22">
        <v>20</v>
      </c>
      <c r="S89" s="23">
        <f>(Table13[[#This Row],[Unit Price]]*Table13[[#This Row],[No.of Units]])*18%</f>
        <v>53999.46</v>
      </c>
      <c r="T89" s="22" t="s">
        <v>1508</v>
      </c>
    </row>
    <row r="90" spans="2:20" x14ac:dyDescent="0.3">
      <c r="B90" s="5" t="s">
        <v>107</v>
      </c>
      <c r="C90" s="1">
        <v>6468339</v>
      </c>
      <c r="D90" s="1">
        <v>19</v>
      </c>
      <c r="E90" s="1" t="s">
        <v>34</v>
      </c>
      <c r="F90" s="16">
        <v>45679</v>
      </c>
      <c r="G90" s="1" t="s">
        <v>1470</v>
      </c>
      <c r="H90" s="1" t="s">
        <v>1471</v>
      </c>
      <c r="I90" s="17" t="s">
        <v>1503</v>
      </c>
      <c r="J90" s="18" t="s">
        <v>17</v>
      </c>
      <c r="K90" s="19" t="s">
        <v>18</v>
      </c>
      <c r="L90" s="19" t="s">
        <v>49</v>
      </c>
      <c r="M90" s="20">
        <v>30</v>
      </c>
      <c r="N90" s="21">
        <v>4999</v>
      </c>
      <c r="O90" s="22">
        <v>18</v>
      </c>
      <c r="P90" s="23">
        <v>122975.4</v>
      </c>
      <c r="Q90" s="22">
        <v>4.4000000000000004</v>
      </c>
      <c r="R90" s="22">
        <v>20</v>
      </c>
      <c r="S90" s="23">
        <f>(Table13[[#This Row],[Unit Price]]*Table13[[#This Row],[No.of Units]])*18%</f>
        <v>26994.6</v>
      </c>
      <c r="T90" s="22" t="s">
        <v>1508</v>
      </c>
    </row>
    <row r="91" spans="2:20" x14ac:dyDescent="0.3">
      <c r="B91" s="5" t="s">
        <v>108</v>
      </c>
      <c r="C91" s="1">
        <v>6702100</v>
      </c>
      <c r="D91" s="1">
        <v>49</v>
      </c>
      <c r="E91" s="1" t="s">
        <v>12</v>
      </c>
      <c r="F91" s="16">
        <v>45679</v>
      </c>
      <c r="G91" s="1" t="s">
        <v>1475</v>
      </c>
      <c r="H91" s="1" t="s">
        <v>1482</v>
      </c>
      <c r="I91" s="17" t="s">
        <v>1504</v>
      </c>
      <c r="J91" s="18" t="s">
        <v>21</v>
      </c>
      <c r="K91" s="19" t="s">
        <v>18</v>
      </c>
      <c r="L91" s="19" t="s">
        <v>49</v>
      </c>
      <c r="M91" s="20">
        <v>10</v>
      </c>
      <c r="N91" s="21">
        <v>24900</v>
      </c>
      <c r="O91" s="22">
        <v>5</v>
      </c>
      <c r="P91" s="23">
        <v>236550</v>
      </c>
      <c r="Q91" s="22">
        <v>4.8</v>
      </c>
      <c r="R91" s="22">
        <v>20</v>
      </c>
      <c r="S91" s="23">
        <f>(Table13[[#This Row],[Unit Price]]*Table13[[#This Row],[No.of Units]])*18%</f>
        <v>44820</v>
      </c>
      <c r="T91" s="22" t="s">
        <v>1508</v>
      </c>
    </row>
    <row r="92" spans="2:20" x14ac:dyDescent="0.3">
      <c r="B92" s="5" t="s">
        <v>109</v>
      </c>
      <c r="C92" s="1">
        <v>6243782</v>
      </c>
      <c r="D92" s="1">
        <v>33</v>
      </c>
      <c r="E92" s="1" t="s">
        <v>12</v>
      </c>
      <c r="F92" s="16">
        <v>45679</v>
      </c>
      <c r="G92" s="1" t="s">
        <v>1470</v>
      </c>
      <c r="H92" s="1" t="s">
        <v>1471</v>
      </c>
      <c r="I92" s="17" t="s">
        <v>1505</v>
      </c>
      <c r="J92" s="18" t="s">
        <v>23</v>
      </c>
      <c r="K92" s="19" t="s">
        <v>14</v>
      </c>
      <c r="L92" s="19" t="s">
        <v>49</v>
      </c>
      <c r="M92" s="20">
        <v>5</v>
      </c>
      <c r="N92" s="21">
        <v>84999</v>
      </c>
      <c r="O92" s="22">
        <v>12</v>
      </c>
      <c r="P92" s="23">
        <v>373995.6</v>
      </c>
      <c r="Q92" s="22">
        <v>4.5</v>
      </c>
      <c r="R92" s="22">
        <v>20</v>
      </c>
      <c r="S92" s="23">
        <f>(Table13[[#This Row],[Unit Price]]*Table13[[#This Row],[No.of Units]])*18%</f>
        <v>76499.099999999991</v>
      </c>
      <c r="T92" s="22" t="s">
        <v>1507</v>
      </c>
    </row>
    <row r="93" spans="2:20" x14ac:dyDescent="0.3">
      <c r="B93" s="5" t="s">
        <v>110</v>
      </c>
      <c r="C93" s="1">
        <v>3641651</v>
      </c>
      <c r="D93" s="1">
        <v>22</v>
      </c>
      <c r="E93" s="1" t="s">
        <v>12</v>
      </c>
      <c r="F93" s="16">
        <v>45679</v>
      </c>
      <c r="G93" s="1" t="s">
        <v>1470</v>
      </c>
      <c r="H93" s="1" t="s">
        <v>1471</v>
      </c>
      <c r="I93" s="17" t="s">
        <v>1504</v>
      </c>
      <c r="J93" s="18" t="s">
        <v>25</v>
      </c>
      <c r="K93" s="19" t="s">
        <v>26</v>
      </c>
      <c r="L93" s="19" t="s">
        <v>49</v>
      </c>
      <c r="M93" s="20">
        <v>5</v>
      </c>
      <c r="N93" s="21">
        <v>69999</v>
      </c>
      <c r="O93" s="22">
        <v>8</v>
      </c>
      <c r="P93" s="23">
        <v>321995.40000000002</v>
      </c>
      <c r="Q93" s="22">
        <v>4.8</v>
      </c>
      <c r="R93" s="22">
        <v>20</v>
      </c>
      <c r="S93" s="23">
        <f>(Table13[[#This Row],[Unit Price]]*Table13[[#This Row],[No.of Units]])*18%</f>
        <v>62999.1</v>
      </c>
      <c r="T93" s="22" t="s">
        <v>1508</v>
      </c>
    </row>
    <row r="94" spans="2:20" x14ac:dyDescent="0.3">
      <c r="B94" s="5" t="s">
        <v>111</v>
      </c>
      <c r="C94" s="1">
        <v>7662369</v>
      </c>
      <c r="D94" s="1">
        <v>18</v>
      </c>
      <c r="E94" s="1" t="s">
        <v>34</v>
      </c>
      <c r="F94" s="16">
        <v>45679</v>
      </c>
      <c r="G94" s="1" t="s">
        <v>1470</v>
      </c>
      <c r="H94" s="1" t="s">
        <v>1482</v>
      </c>
      <c r="I94" s="17" t="s">
        <v>1503</v>
      </c>
      <c r="J94" s="18" t="s">
        <v>28</v>
      </c>
      <c r="K94" s="19" t="s">
        <v>26</v>
      </c>
      <c r="L94" s="19" t="s">
        <v>49</v>
      </c>
      <c r="M94" s="20">
        <v>6</v>
      </c>
      <c r="N94" s="21">
        <v>42999</v>
      </c>
      <c r="O94" s="22">
        <v>15</v>
      </c>
      <c r="P94" s="23">
        <v>219294.9</v>
      </c>
      <c r="Q94" s="22">
        <v>4.5999999999999996</v>
      </c>
      <c r="R94" s="22">
        <v>20</v>
      </c>
      <c r="S94" s="23">
        <f>(Table13[[#This Row],[Unit Price]]*Table13[[#This Row],[No.of Units]])*18%</f>
        <v>46438.92</v>
      </c>
      <c r="T94" s="22" t="s">
        <v>1508</v>
      </c>
    </row>
    <row r="95" spans="2:20" x14ac:dyDescent="0.3">
      <c r="B95" s="5" t="s">
        <v>112</v>
      </c>
      <c r="C95" s="1">
        <v>8575376</v>
      </c>
      <c r="D95" s="1">
        <v>32</v>
      </c>
      <c r="E95" s="1" t="s">
        <v>12</v>
      </c>
      <c r="F95" s="16">
        <v>45686</v>
      </c>
      <c r="G95" s="1" t="s">
        <v>1470</v>
      </c>
      <c r="H95" s="1" t="s">
        <v>1472</v>
      </c>
      <c r="I95" s="17" t="s">
        <v>1502</v>
      </c>
      <c r="J95" s="18" t="s">
        <v>13</v>
      </c>
      <c r="K95" s="19" t="s">
        <v>14</v>
      </c>
      <c r="L95" s="19" t="s">
        <v>15</v>
      </c>
      <c r="M95" s="20">
        <v>4</v>
      </c>
      <c r="N95" s="21">
        <v>99999</v>
      </c>
      <c r="O95" s="22">
        <v>10</v>
      </c>
      <c r="P95" s="23">
        <v>359996.4</v>
      </c>
      <c r="Q95" s="22">
        <v>4.7</v>
      </c>
      <c r="R95" s="22">
        <v>20</v>
      </c>
      <c r="S95" s="23">
        <f>(Table13[[#This Row],[Unit Price]]*Table13[[#This Row],[No.of Units]])*18%</f>
        <v>71999.28</v>
      </c>
      <c r="T95" s="22" t="s">
        <v>1508</v>
      </c>
    </row>
    <row r="96" spans="2:20" x14ac:dyDescent="0.3">
      <c r="B96" s="5" t="s">
        <v>113</v>
      </c>
      <c r="C96" s="1">
        <v>7384618</v>
      </c>
      <c r="D96" s="1">
        <v>48</v>
      </c>
      <c r="E96" s="1" t="s">
        <v>12</v>
      </c>
      <c r="F96" s="16">
        <v>45686</v>
      </c>
      <c r="G96" s="1" t="s">
        <v>1470</v>
      </c>
      <c r="H96" s="1" t="s">
        <v>1472</v>
      </c>
      <c r="I96" s="17" t="s">
        <v>1503</v>
      </c>
      <c r="J96" s="18" t="s">
        <v>17</v>
      </c>
      <c r="K96" s="19" t="s">
        <v>18</v>
      </c>
      <c r="L96" s="19" t="s">
        <v>15</v>
      </c>
      <c r="M96" s="20">
        <v>56</v>
      </c>
      <c r="N96" s="21">
        <v>4999</v>
      </c>
      <c r="O96" s="22">
        <v>18</v>
      </c>
      <c r="P96" s="23">
        <v>229554.08000000002</v>
      </c>
      <c r="Q96" s="22">
        <v>4.4000000000000004</v>
      </c>
      <c r="R96" s="22">
        <v>20</v>
      </c>
      <c r="S96" s="23">
        <f>(Table13[[#This Row],[Unit Price]]*Table13[[#This Row],[No.of Units]])*18%</f>
        <v>50389.919999999998</v>
      </c>
      <c r="T96" s="22" t="s">
        <v>1508</v>
      </c>
    </row>
    <row r="97" spans="2:20" x14ac:dyDescent="0.3">
      <c r="B97" s="5" t="s">
        <v>113</v>
      </c>
      <c r="C97" s="1">
        <v>7384618</v>
      </c>
      <c r="D97" s="1">
        <v>36</v>
      </c>
      <c r="E97" s="1" t="s">
        <v>12</v>
      </c>
      <c r="F97" s="16">
        <v>45686</v>
      </c>
      <c r="G97" s="1" t="s">
        <v>1470</v>
      </c>
      <c r="H97" s="1" t="s">
        <v>1482</v>
      </c>
      <c r="I97" s="17" t="s">
        <v>1504</v>
      </c>
      <c r="J97" s="18" t="s">
        <v>21</v>
      </c>
      <c r="K97" s="19" t="s">
        <v>18</v>
      </c>
      <c r="L97" s="19" t="s">
        <v>15</v>
      </c>
      <c r="M97" s="20">
        <v>13</v>
      </c>
      <c r="N97" s="21">
        <v>24900</v>
      </c>
      <c r="O97" s="22">
        <v>5</v>
      </c>
      <c r="P97" s="23">
        <v>307515</v>
      </c>
      <c r="Q97" s="22">
        <v>4.8</v>
      </c>
      <c r="R97" s="22">
        <v>20</v>
      </c>
      <c r="S97" s="23">
        <f>(Table13[[#This Row],[Unit Price]]*Table13[[#This Row],[No.of Units]])*18%</f>
        <v>58266</v>
      </c>
      <c r="T97" s="22" t="s">
        <v>1508</v>
      </c>
    </row>
    <row r="98" spans="2:20" x14ac:dyDescent="0.3">
      <c r="B98" s="5" t="s">
        <v>114</v>
      </c>
      <c r="C98" s="1">
        <v>3542194</v>
      </c>
      <c r="D98" s="1">
        <v>20</v>
      </c>
      <c r="E98" s="1" t="s">
        <v>12</v>
      </c>
      <c r="F98" s="16">
        <v>45686</v>
      </c>
      <c r="G98" s="1" t="s">
        <v>1470</v>
      </c>
      <c r="H98" s="1" t="s">
        <v>1471</v>
      </c>
      <c r="I98" s="17" t="s">
        <v>1505</v>
      </c>
      <c r="J98" s="18" t="s">
        <v>23</v>
      </c>
      <c r="K98" s="19" t="s">
        <v>14</v>
      </c>
      <c r="L98" s="19" t="s">
        <v>15</v>
      </c>
      <c r="M98" s="20">
        <v>5</v>
      </c>
      <c r="N98" s="21">
        <v>84999</v>
      </c>
      <c r="O98" s="22">
        <v>12</v>
      </c>
      <c r="P98" s="23">
        <v>373995.6</v>
      </c>
      <c r="Q98" s="22">
        <v>4.5</v>
      </c>
      <c r="R98" s="22">
        <v>20</v>
      </c>
      <c r="S98" s="23">
        <f>(Table13[[#This Row],[Unit Price]]*Table13[[#This Row],[No.of Units]])*18%</f>
        <v>76499.099999999991</v>
      </c>
      <c r="T98" s="22" t="s">
        <v>1508</v>
      </c>
    </row>
    <row r="99" spans="2:20" x14ac:dyDescent="0.3">
      <c r="B99" s="5" t="s">
        <v>115</v>
      </c>
      <c r="C99" s="1">
        <v>6859790</v>
      </c>
      <c r="D99" s="1">
        <v>48</v>
      </c>
      <c r="E99" s="1" t="s">
        <v>12</v>
      </c>
      <c r="F99" s="16">
        <v>45686</v>
      </c>
      <c r="G99" s="1" t="s">
        <v>1470</v>
      </c>
      <c r="H99" s="1" t="s">
        <v>1480</v>
      </c>
      <c r="I99" s="17" t="s">
        <v>1504</v>
      </c>
      <c r="J99" s="18" t="s">
        <v>25</v>
      </c>
      <c r="K99" s="19" t="s">
        <v>26</v>
      </c>
      <c r="L99" s="19" t="s">
        <v>15</v>
      </c>
      <c r="M99" s="20">
        <v>4</v>
      </c>
      <c r="N99" s="21">
        <v>69999</v>
      </c>
      <c r="O99" s="22">
        <v>8</v>
      </c>
      <c r="P99" s="23">
        <v>257596.32</v>
      </c>
      <c r="Q99" s="22">
        <v>4.8</v>
      </c>
      <c r="R99" s="22">
        <v>20</v>
      </c>
      <c r="S99" s="23">
        <f>(Table13[[#This Row],[Unit Price]]*Table13[[#This Row],[No.of Units]])*18%</f>
        <v>50399.28</v>
      </c>
      <c r="T99" s="22" t="s">
        <v>1508</v>
      </c>
    </row>
    <row r="100" spans="2:20" x14ac:dyDescent="0.3">
      <c r="B100" s="5" t="s">
        <v>116</v>
      </c>
      <c r="C100" s="1">
        <v>347306</v>
      </c>
      <c r="D100" s="1">
        <v>66</v>
      </c>
      <c r="E100" s="1" t="s">
        <v>20</v>
      </c>
      <c r="F100" s="16">
        <v>45686</v>
      </c>
      <c r="G100" s="1" t="s">
        <v>1470</v>
      </c>
      <c r="H100" s="1" t="s">
        <v>1471</v>
      </c>
      <c r="I100" s="17" t="s">
        <v>1503</v>
      </c>
      <c r="J100" s="18" t="s">
        <v>28</v>
      </c>
      <c r="K100" s="19" t="s">
        <v>26</v>
      </c>
      <c r="L100" s="19" t="s">
        <v>15</v>
      </c>
      <c r="M100" s="20">
        <v>8</v>
      </c>
      <c r="N100" s="21">
        <v>42999</v>
      </c>
      <c r="O100" s="22">
        <v>15</v>
      </c>
      <c r="P100" s="23">
        <v>292393.2</v>
      </c>
      <c r="Q100" s="22">
        <v>4.5999999999999996</v>
      </c>
      <c r="R100" s="22">
        <v>20</v>
      </c>
      <c r="S100" s="23">
        <f>(Table13[[#This Row],[Unit Price]]*Table13[[#This Row],[No.of Units]])*18%</f>
        <v>61918.559999999998</v>
      </c>
      <c r="T100" s="22" t="s">
        <v>1508</v>
      </c>
    </row>
    <row r="101" spans="2:20" x14ac:dyDescent="0.3">
      <c r="B101" s="5" t="s">
        <v>117</v>
      </c>
      <c r="C101" s="1">
        <v>7048232</v>
      </c>
      <c r="D101" s="1">
        <v>60</v>
      </c>
      <c r="E101" s="1" t="s">
        <v>20</v>
      </c>
      <c r="F101" s="16">
        <v>45686</v>
      </c>
      <c r="G101" s="1" t="s">
        <v>1470</v>
      </c>
      <c r="H101" s="1" t="s">
        <v>1482</v>
      </c>
      <c r="I101" s="17" t="s">
        <v>1502</v>
      </c>
      <c r="J101" s="18" t="s">
        <v>13</v>
      </c>
      <c r="K101" s="19" t="s">
        <v>14</v>
      </c>
      <c r="L101" s="19" t="s">
        <v>29</v>
      </c>
      <c r="M101" s="20">
        <v>3</v>
      </c>
      <c r="N101" s="21">
        <v>99999</v>
      </c>
      <c r="O101" s="22">
        <v>10</v>
      </c>
      <c r="P101" s="23">
        <v>269997.3</v>
      </c>
      <c r="Q101" s="22">
        <v>4.7</v>
      </c>
      <c r="R101" s="22">
        <v>20</v>
      </c>
      <c r="S101" s="23">
        <f>(Table13[[#This Row],[Unit Price]]*Table13[[#This Row],[No.of Units]])*18%</f>
        <v>53999.46</v>
      </c>
      <c r="T101" s="22" t="s">
        <v>1507</v>
      </c>
    </row>
    <row r="102" spans="2:20" x14ac:dyDescent="0.3">
      <c r="B102" s="5" t="s">
        <v>118</v>
      </c>
      <c r="C102" s="1">
        <v>5516090</v>
      </c>
      <c r="D102" s="1">
        <v>47</v>
      </c>
      <c r="E102" s="1" t="s">
        <v>12</v>
      </c>
      <c r="F102" s="16">
        <v>45686</v>
      </c>
      <c r="G102" s="1" t="s">
        <v>1470</v>
      </c>
      <c r="H102" s="1" t="s">
        <v>1483</v>
      </c>
      <c r="I102" s="17" t="s">
        <v>1503</v>
      </c>
      <c r="J102" s="18" t="s">
        <v>17</v>
      </c>
      <c r="K102" s="19" t="s">
        <v>18</v>
      </c>
      <c r="L102" s="19" t="s">
        <v>29</v>
      </c>
      <c r="M102" s="20">
        <v>56</v>
      </c>
      <c r="N102" s="21">
        <v>4999</v>
      </c>
      <c r="O102" s="22">
        <v>18</v>
      </c>
      <c r="P102" s="23">
        <v>229554.08000000002</v>
      </c>
      <c r="Q102" s="22">
        <v>4.4000000000000004</v>
      </c>
      <c r="R102" s="22">
        <v>20</v>
      </c>
      <c r="S102" s="23">
        <f>(Table13[[#This Row],[Unit Price]]*Table13[[#This Row],[No.of Units]])*18%</f>
        <v>50389.919999999998</v>
      </c>
      <c r="T102" s="22" t="s">
        <v>1507</v>
      </c>
    </row>
    <row r="103" spans="2:20" x14ac:dyDescent="0.3">
      <c r="B103" s="5" t="s">
        <v>119</v>
      </c>
      <c r="C103" s="1">
        <v>294848</v>
      </c>
      <c r="D103" s="1">
        <v>19</v>
      </c>
      <c r="E103" s="1" t="s">
        <v>34</v>
      </c>
      <c r="F103" s="16">
        <v>45686</v>
      </c>
      <c r="G103" s="1" t="s">
        <v>1470</v>
      </c>
      <c r="H103" s="1" t="s">
        <v>1472</v>
      </c>
      <c r="I103" s="17" t="s">
        <v>1504</v>
      </c>
      <c r="J103" s="18" t="s">
        <v>21</v>
      </c>
      <c r="K103" s="19" t="s">
        <v>18</v>
      </c>
      <c r="L103" s="19" t="s">
        <v>29</v>
      </c>
      <c r="M103" s="20">
        <v>8</v>
      </c>
      <c r="N103" s="21">
        <v>24900</v>
      </c>
      <c r="O103" s="22">
        <v>5</v>
      </c>
      <c r="P103" s="23">
        <v>189240</v>
      </c>
      <c r="Q103" s="22">
        <v>4.8</v>
      </c>
      <c r="R103" s="22">
        <v>20</v>
      </c>
      <c r="S103" s="23">
        <f>(Table13[[#This Row],[Unit Price]]*Table13[[#This Row],[No.of Units]])*18%</f>
        <v>35856</v>
      </c>
      <c r="T103" s="22" t="s">
        <v>1508</v>
      </c>
    </row>
    <row r="104" spans="2:20" x14ac:dyDescent="0.3">
      <c r="B104" s="5" t="s">
        <v>120</v>
      </c>
      <c r="C104" s="1">
        <v>6522716</v>
      </c>
      <c r="D104" s="1">
        <v>48</v>
      </c>
      <c r="E104" s="1" t="s">
        <v>12</v>
      </c>
      <c r="F104" s="16">
        <v>45686</v>
      </c>
      <c r="G104" s="1" t="s">
        <v>1470</v>
      </c>
      <c r="H104" s="1" t="s">
        <v>1471</v>
      </c>
      <c r="I104" s="17" t="s">
        <v>1505</v>
      </c>
      <c r="J104" s="18" t="s">
        <v>23</v>
      </c>
      <c r="K104" s="19" t="s">
        <v>14</v>
      </c>
      <c r="L104" s="19" t="s">
        <v>29</v>
      </c>
      <c r="M104" s="20">
        <v>4</v>
      </c>
      <c r="N104" s="21">
        <v>84999</v>
      </c>
      <c r="O104" s="22">
        <v>12</v>
      </c>
      <c r="P104" s="23">
        <v>299196.48</v>
      </c>
      <c r="Q104" s="22">
        <v>4.5</v>
      </c>
      <c r="R104" s="22">
        <v>20</v>
      </c>
      <c r="S104" s="23">
        <f>(Table13[[#This Row],[Unit Price]]*Table13[[#This Row],[No.of Units]])*18%</f>
        <v>61199.28</v>
      </c>
      <c r="T104" s="22" t="s">
        <v>1507</v>
      </c>
    </row>
    <row r="105" spans="2:20" x14ac:dyDescent="0.3">
      <c r="B105" s="5" t="s">
        <v>120</v>
      </c>
      <c r="C105" s="1">
        <v>6522716</v>
      </c>
      <c r="D105" s="1">
        <v>78</v>
      </c>
      <c r="E105" s="1" t="s">
        <v>20</v>
      </c>
      <c r="F105" s="16">
        <v>45686</v>
      </c>
      <c r="G105" s="1" t="s">
        <v>1470</v>
      </c>
      <c r="H105" s="1" t="s">
        <v>1482</v>
      </c>
      <c r="I105" s="17" t="s">
        <v>1504</v>
      </c>
      <c r="J105" s="18" t="s">
        <v>25</v>
      </c>
      <c r="K105" s="19" t="s">
        <v>26</v>
      </c>
      <c r="L105" s="19" t="s">
        <v>29</v>
      </c>
      <c r="M105" s="20">
        <v>6</v>
      </c>
      <c r="N105" s="21">
        <v>69999</v>
      </c>
      <c r="O105" s="22">
        <v>8</v>
      </c>
      <c r="P105" s="23">
        <v>386394.48</v>
      </c>
      <c r="Q105" s="22">
        <v>4.8</v>
      </c>
      <c r="R105" s="22">
        <v>20</v>
      </c>
      <c r="S105" s="23">
        <f>(Table13[[#This Row],[Unit Price]]*Table13[[#This Row],[No.of Units]])*18%</f>
        <v>75598.92</v>
      </c>
      <c r="T105" s="22" t="s">
        <v>1508</v>
      </c>
    </row>
    <row r="106" spans="2:20" x14ac:dyDescent="0.3">
      <c r="B106" s="5" t="s">
        <v>121</v>
      </c>
      <c r="C106" s="1">
        <v>3094141</v>
      </c>
      <c r="D106" s="1">
        <v>40</v>
      </c>
      <c r="E106" s="1" t="s">
        <v>12</v>
      </c>
      <c r="F106" s="16">
        <v>45686</v>
      </c>
      <c r="G106" s="1" t="s">
        <v>1470</v>
      </c>
      <c r="H106" s="1" t="s">
        <v>1471</v>
      </c>
      <c r="I106" s="17" t="s">
        <v>1503</v>
      </c>
      <c r="J106" s="18" t="s">
        <v>28</v>
      </c>
      <c r="K106" s="19" t="s">
        <v>26</v>
      </c>
      <c r="L106" s="19" t="s">
        <v>29</v>
      </c>
      <c r="M106" s="20">
        <v>10</v>
      </c>
      <c r="N106" s="21">
        <v>42999</v>
      </c>
      <c r="O106" s="22">
        <v>15</v>
      </c>
      <c r="P106" s="23">
        <v>365491.5</v>
      </c>
      <c r="Q106" s="22">
        <v>4.5999999999999996</v>
      </c>
      <c r="R106" s="22">
        <v>20</v>
      </c>
      <c r="S106" s="23">
        <f>(Table13[[#This Row],[Unit Price]]*Table13[[#This Row],[No.of Units]])*18%</f>
        <v>77398.2</v>
      </c>
      <c r="T106" s="22" t="s">
        <v>1508</v>
      </c>
    </row>
    <row r="107" spans="2:20" x14ac:dyDescent="0.3">
      <c r="B107" s="5" t="s">
        <v>122</v>
      </c>
      <c r="C107" s="1">
        <v>8966819</v>
      </c>
      <c r="D107" s="1">
        <v>38</v>
      </c>
      <c r="E107" s="1" t="s">
        <v>12</v>
      </c>
      <c r="F107" s="16">
        <v>45686</v>
      </c>
      <c r="G107" s="1" t="s">
        <v>1470</v>
      </c>
      <c r="H107" s="1" t="s">
        <v>1472</v>
      </c>
      <c r="I107" s="17" t="s">
        <v>1502</v>
      </c>
      <c r="J107" s="18" t="s">
        <v>13</v>
      </c>
      <c r="K107" s="19" t="s">
        <v>14</v>
      </c>
      <c r="L107" s="19" t="s">
        <v>35</v>
      </c>
      <c r="M107" s="20">
        <v>6</v>
      </c>
      <c r="N107" s="21">
        <v>99999</v>
      </c>
      <c r="O107" s="22">
        <v>10</v>
      </c>
      <c r="P107" s="23">
        <v>539994.6</v>
      </c>
      <c r="Q107" s="22">
        <v>4.7</v>
      </c>
      <c r="R107" s="22">
        <v>20</v>
      </c>
      <c r="S107" s="23">
        <f>(Table13[[#This Row],[Unit Price]]*Table13[[#This Row],[No.of Units]])*18%</f>
        <v>107998.92</v>
      </c>
      <c r="T107" s="22" t="s">
        <v>1507</v>
      </c>
    </row>
    <row r="108" spans="2:20" x14ac:dyDescent="0.3">
      <c r="B108" s="5" t="s">
        <v>123</v>
      </c>
      <c r="C108" s="1">
        <v>2716293</v>
      </c>
      <c r="D108" s="1">
        <v>21</v>
      </c>
      <c r="E108" s="1" t="s">
        <v>12</v>
      </c>
      <c r="F108" s="16">
        <v>45686</v>
      </c>
      <c r="G108" s="1" t="s">
        <v>1470</v>
      </c>
      <c r="H108" s="1" t="s">
        <v>1471</v>
      </c>
      <c r="I108" s="17" t="s">
        <v>1503</v>
      </c>
      <c r="J108" s="18" t="s">
        <v>17</v>
      </c>
      <c r="K108" s="19" t="s">
        <v>18</v>
      </c>
      <c r="L108" s="19" t="s">
        <v>35</v>
      </c>
      <c r="M108" s="20">
        <v>44</v>
      </c>
      <c r="N108" s="21">
        <v>4999</v>
      </c>
      <c r="O108" s="22">
        <v>18</v>
      </c>
      <c r="P108" s="23">
        <v>180363.91999999998</v>
      </c>
      <c r="Q108" s="22">
        <v>4.4000000000000004</v>
      </c>
      <c r="R108" s="22">
        <v>20</v>
      </c>
      <c r="S108" s="23">
        <f>(Table13[[#This Row],[Unit Price]]*Table13[[#This Row],[No.of Units]])*18%</f>
        <v>39592.080000000002</v>
      </c>
      <c r="T108" s="22" t="s">
        <v>1508</v>
      </c>
    </row>
    <row r="109" spans="2:20" x14ac:dyDescent="0.3">
      <c r="B109" s="5" t="s">
        <v>124</v>
      </c>
      <c r="C109" s="1">
        <v>9848998</v>
      </c>
      <c r="D109" s="1">
        <v>38</v>
      </c>
      <c r="E109" s="1" t="s">
        <v>12</v>
      </c>
      <c r="F109" s="16">
        <v>45686</v>
      </c>
      <c r="G109" s="1" t="s">
        <v>1470</v>
      </c>
      <c r="H109" s="1" t="s">
        <v>1471</v>
      </c>
      <c r="I109" s="17" t="s">
        <v>1504</v>
      </c>
      <c r="J109" s="18" t="s">
        <v>21</v>
      </c>
      <c r="K109" s="19" t="s">
        <v>18</v>
      </c>
      <c r="L109" s="19" t="s">
        <v>35</v>
      </c>
      <c r="M109" s="20">
        <v>8</v>
      </c>
      <c r="N109" s="21">
        <v>24900</v>
      </c>
      <c r="O109" s="22">
        <v>5</v>
      </c>
      <c r="P109" s="23">
        <v>189240</v>
      </c>
      <c r="Q109" s="22">
        <v>4.8</v>
      </c>
      <c r="R109" s="22">
        <v>20</v>
      </c>
      <c r="S109" s="23">
        <f>(Table13[[#This Row],[Unit Price]]*Table13[[#This Row],[No.of Units]])*18%</f>
        <v>35856</v>
      </c>
      <c r="T109" s="22" t="s">
        <v>1507</v>
      </c>
    </row>
    <row r="110" spans="2:20" x14ac:dyDescent="0.3">
      <c r="B110" s="5" t="s">
        <v>125</v>
      </c>
      <c r="C110" s="1">
        <v>6592212</v>
      </c>
      <c r="D110" s="1">
        <v>25</v>
      </c>
      <c r="E110" s="1" t="s">
        <v>12</v>
      </c>
      <c r="F110" s="16">
        <v>45686</v>
      </c>
      <c r="G110" s="1" t="s">
        <v>1470</v>
      </c>
      <c r="H110" s="1" t="s">
        <v>1471</v>
      </c>
      <c r="I110" s="17" t="s">
        <v>1505</v>
      </c>
      <c r="J110" s="18" t="s">
        <v>23</v>
      </c>
      <c r="K110" s="19" t="s">
        <v>14</v>
      </c>
      <c r="L110" s="19" t="s">
        <v>35</v>
      </c>
      <c r="M110" s="20">
        <v>5</v>
      </c>
      <c r="N110" s="21">
        <v>84999</v>
      </c>
      <c r="O110" s="22">
        <v>12</v>
      </c>
      <c r="P110" s="23">
        <v>373995.6</v>
      </c>
      <c r="Q110" s="22">
        <v>4.5</v>
      </c>
      <c r="R110" s="22">
        <v>20</v>
      </c>
      <c r="S110" s="23">
        <f>(Table13[[#This Row],[Unit Price]]*Table13[[#This Row],[No.of Units]])*18%</f>
        <v>76499.099999999991</v>
      </c>
      <c r="T110" s="22" t="s">
        <v>1507</v>
      </c>
    </row>
    <row r="111" spans="2:20" x14ac:dyDescent="0.3">
      <c r="B111" s="5" t="s">
        <v>126</v>
      </c>
      <c r="C111" s="1">
        <v>5467416</v>
      </c>
      <c r="D111" s="1">
        <v>35</v>
      </c>
      <c r="E111" s="1" t="s">
        <v>12</v>
      </c>
      <c r="F111" s="16">
        <v>45686</v>
      </c>
      <c r="G111" s="1" t="s">
        <v>1470</v>
      </c>
      <c r="H111" s="1" t="s">
        <v>1472</v>
      </c>
      <c r="I111" s="17" t="s">
        <v>1504</v>
      </c>
      <c r="J111" s="18" t="s">
        <v>25</v>
      </c>
      <c r="K111" s="19" t="s">
        <v>26</v>
      </c>
      <c r="L111" s="19" t="s">
        <v>35</v>
      </c>
      <c r="M111" s="20">
        <v>2</v>
      </c>
      <c r="N111" s="21">
        <v>69999</v>
      </c>
      <c r="O111" s="22">
        <v>8</v>
      </c>
      <c r="P111" s="23">
        <v>128798.16</v>
      </c>
      <c r="Q111" s="22">
        <v>4.8</v>
      </c>
      <c r="R111" s="22">
        <v>20</v>
      </c>
      <c r="S111" s="23">
        <f>(Table13[[#This Row],[Unit Price]]*Table13[[#This Row],[No.of Units]])*18%</f>
        <v>25199.64</v>
      </c>
      <c r="T111" s="22" t="s">
        <v>1508</v>
      </c>
    </row>
    <row r="112" spans="2:20" x14ac:dyDescent="0.3">
      <c r="B112" s="5" t="s">
        <v>127</v>
      </c>
      <c r="C112" s="1">
        <v>1265802</v>
      </c>
      <c r="D112" s="1">
        <v>23</v>
      </c>
      <c r="E112" s="1" t="s">
        <v>12</v>
      </c>
      <c r="F112" s="16">
        <v>45686</v>
      </c>
      <c r="G112" s="1" t="s">
        <v>1470</v>
      </c>
      <c r="H112" s="1" t="s">
        <v>1471</v>
      </c>
      <c r="I112" s="17" t="s">
        <v>1503</v>
      </c>
      <c r="J112" s="18" t="s">
        <v>28</v>
      </c>
      <c r="K112" s="19" t="s">
        <v>26</v>
      </c>
      <c r="L112" s="19" t="s">
        <v>35</v>
      </c>
      <c r="M112" s="20">
        <v>2</v>
      </c>
      <c r="N112" s="21">
        <v>42999</v>
      </c>
      <c r="O112" s="22">
        <v>15</v>
      </c>
      <c r="P112" s="23">
        <v>73098.3</v>
      </c>
      <c r="Q112" s="22">
        <v>4.5999999999999996</v>
      </c>
      <c r="R112" s="22">
        <v>20</v>
      </c>
      <c r="S112" s="23">
        <f>(Table13[[#This Row],[Unit Price]]*Table13[[#This Row],[No.of Units]])*18%</f>
        <v>15479.64</v>
      </c>
      <c r="T112" s="22" t="s">
        <v>1508</v>
      </c>
    </row>
    <row r="113" spans="2:20" x14ac:dyDescent="0.3">
      <c r="B113" s="5" t="s">
        <v>128</v>
      </c>
      <c r="C113" s="1">
        <v>9585512</v>
      </c>
      <c r="D113" s="1">
        <v>61</v>
      </c>
      <c r="E113" s="1" t="s">
        <v>20</v>
      </c>
      <c r="F113" s="16">
        <v>45686</v>
      </c>
      <c r="G113" s="1" t="s">
        <v>1470</v>
      </c>
      <c r="H113" s="1" t="s">
        <v>1482</v>
      </c>
      <c r="I113" s="17" t="s">
        <v>1502</v>
      </c>
      <c r="J113" s="18" t="s">
        <v>13</v>
      </c>
      <c r="K113" s="19" t="s">
        <v>14</v>
      </c>
      <c r="L113" s="19" t="s">
        <v>42</v>
      </c>
      <c r="M113" s="20">
        <v>6</v>
      </c>
      <c r="N113" s="21">
        <v>99999</v>
      </c>
      <c r="O113" s="22">
        <v>10</v>
      </c>
      <c r="P113" s="23">
        <v>539994.6</v>
      </c>
      <c r="Q113" s="22">
        <v>4.7</v>
      </c>
      <c r="R113" s="22">
        <v>20</v>
      </c>
      <c r="S113" s="23">
        <f>(Table13[[#This Row],[Unit Price]]*Table13[[#This Row],[No.of Units]])*18%</f>
        <v>107998.92</v>
      </c>
      <c r="T113" s="22" t="s">
        <v>1507</v>
      </c>
    </row>
    <row r="114" spans="2:20" x14ac:dyDescent="0.3">
      <c r="B114" s="5" t="s">
        <v>129</v>
      </c>
      <c r="C114" s="1">
        <v>6513430</v>
      </c>
      <c r="D114" s="1">
        <v>40</v>
      </c>
      <c r="E114" s="1" t="s">
        <v>12</v>
      </c>
      <c r="F114" s="16">
        <v>45686</v>
      </c>
      <c r="G114" s="1" t="s">
        <v>1470</v>
      </c>
      <c r="H114" s="1" t="s">
        <v>1472</v>
      </c>
      <c r="I114" s="17" t="s">
        <v>1503</v>
      </c>
      <c r="J114" s="18" t="s">
        <v>17</v>
      </c>
      <c r="K114" s="19" t="s">
        <v>18</v>
      </c>
      <c r="L114" s="19" t="s">
        <v>42</v>
      </c>
      <c r="M114" s="20">
        <v>58</v>
      </c>
      <c r="N114" s="21">
        <v>4999</v>
      </c>
      <c r="O114" s="22">
        <v>18</v>
      </c>
      <c r="P114" s="23">
        <v>237752.44</v>
      </c>
      <c r="Q114" s="22">
        <v>4.4000000000000004</v>
      </c>
      <c r="R114" s="22">
        <v>20</v>
      </c>
      <c r="S114" s="23">
        <f>(Table13[[#This Row],[Unit Price]]*Table13[[#This Row],[No.of Units]])*18%</f>
        <v>52189.56</v>
      </c>
      <c r="T114" s="22" t="s">
        <v>1507</v>
      </c>
    </row>
    <row r="115" spans="2:20" x14ac:dyDescent="0.3">
      <c r="B115" s="5" t="s">
        <v>130</v>
      </c>
      <c r="C115" s="1">
        <v>7694216</v>
      </c>
      <c r="D115" s="1">
        <v>32</v>
      </c>
      <c r="E115" s="1" t="s">
        <v>12</v>
      </c>
      <c r="F115" s="16">
        <v>45686</v>
      </c>
      <c r="G115" s="1" t="s">
        <v>1470</v>
      </c>
      <c r="H115" s="1" t="s">
        <v>1472</v>
      </c>
      <c r="I115" s="17" t="s">
        <v>1504</v>
      </c>
      <c r="J115" s="18" t="s">
        <v>21</v>
      </c>
      <c r="K115" s="19" t="s">
        <v>18</v>
      </c>
      <c r="L115" s="19" t="s">
        <v>42</v>
      </c>
      <c r="M115" s="20">
        <v>14</v>
      </c>
      <c r="N115" s="21">
        <v>24900</v>
      </c>
      <c r="O115" s="22">
        <v>5</v>
      </c>
      <c r="P115" s="23">
        <v>331170</v>
      </c>
      <c r="Q115" s="22">
        <v>4.8</v>
      </c>
      <c r="R115" s="22">
        <v>20</v>
      </c>
      <c r="S115" s="23">
        <f>(Table13[[#This Row],[Unit Price]]*Table13[[#This Row],[No.of Units]])*18%</f>
        <v>62748</v>
      </c>
      <c r="T115" s="22" t="s">
        <v>1508</v>
      </c>
    </row>
    <row r="116" spans="2:20" x14ac:dyDescent="0.3">
      <c r="B116" s="5" t="s">
        <v>131</v>
      </c>
      <c r="C116" s="1">
        <v>5911668</v>
      </c>
      <c r="D116" s="1">
        <v>31</v>
      </c>
      <c r="E116" s="1" t="s">
        <v>12</v>
      </c>
      <c r="F116" s="16">
        <v>45686</v>
      </c>
      <c r="G116" s="1" t="s">
        <v>1470</v>
      </c>
      <c r="H116" s="1" t="s">
        <v>1481</v>
      </c>
      <c r="I116" s="17" t="s">
        <v>1505</v>
      </c>
      <c r="J116" s="18" t="s">
        <v>23</v>
      </c>
      <c r="K116" s="19" t="s">
        <v>14</v>
      </c>
      <c r="L116" s="19" t="s">
        <v>42</v>
      </c>
      <c r="M116" s="20">
        <v>4</v>
      </c>
      <c r="N116" s="21">
        <v>84999</v>
      </c>
      <c r="O116" s="22">
        <v>12</v>
      </c>
      <c r="P116" s="23">
        <v>299196.48</v>
      </c>
      <c r="Q116" s="22">
        <v>4.5</v>
      </c>
      <c r="R116" s="22">
        <v>20</v>
      </c>
      <c r="S116" s="23">
        <f>(Table13[[#This Row],[Unit Price]]*Table13[[#This Row],[No.of Units]])*18%</f>
        <v>61199.28</v>
      </c>
      <c r="T116" s="22" t="s">
        <v>1508</v>
      </c>
    </row>
    <row r="117" spans="2:20" x14ac:dyDescent="0.3">
      <c r="B117" s="5" t="s">
        <v>132</v>
      </c>
      <c r="C117" s="1">
        <v>5364170</v>
      </c>
      <c r="D117" s="1">
        <v>29</v>
      </c>
      <c r="E117" s="1" t="s">
        <v>12</v>
      </c>
      <c r="F117" s="16">
        <v>45686</v>
      </c>
      <c r="G117" s="1" t="s">
        <v>1470</v>
      </c>
      <c r="H117" s="1" t="s">
        <v>1471</v>
      </c>
      <c r="I117" s="17" t="s">
        <v>1504</v>
      </c>
      <c r="J117" s="18" t="s">
        <v>25</v>
      </c>
      <c r="K117" s="19" t="s">
        <v>26</v>
      </c>
      <c r="L117" s="19" t="s">
        <v>42</v>
      </c>
      <c r="M117" s="20">
        <v>3</v>
      </c>
      <c r="N117" s="21">
        <v>69999</v>
      </c>
      <c r="O117" s="22">
        <v>8</v>
      </c>
      <c r="P117" s="23">
        <v>193197.24</v>
      </c>
      <c r="Q117" s="22">
        <v>4.8</v>
      </c>
      <c r="R117" s="22">
        <v>20</v>
      </c>
      <c r="S117" s="23">
        <f>(Table13[[#This Row],[Unit Price]]*Table13[[#This Row],[No.of Units]])*18%</f>
        <v>37799.46</v>
      </c>
      <c r="T117" s="22" t="s">
        <v>1508</v>
      </c>
    </row>
    <row r="118" spans="2:20" x14ac:dyDescent="0.3">
      <c r="B118" s="5" t="s">
        <v>133</v>
      </c>
      <c r="C118" s="1">
        <v>3614770</v>
      </c>
      <c r="D118" s="1">
        <v>27</v>
      </c>
      <c r="E118" s="1" t="s">
        <v>12</v>
      </c>
      <c r="F118" s="16">
        <v>45686</v>
      </c>
      <c r="G118" s="1" t="s">
        <v>1470</v>
      </c>
      <c r="H118" s="1" t="s">
        <v>1471</v>
      </c>
      <c r="I118" s="17" t="s">
        <v>1503</v>
      </c>
      <c r="J118" s="18" t="s">
        <v>28</v>
      </c>
      <c r="K118" s="19" t="s">
        <v>26</v>
      </c>
      <c r="L118" s="19" t="s">
        <v>42</v>
      </c>
      <c r="M118" s="20">
        <v>6</v>
      </c>
      <c r="N118" s="21">
        <v>42999</v>
      </c>
      <c r="O118" s="22">
        <v>15</v>
      </c>
      <c r="P118" s="23">
        <v>219294.9</v>
      </c>
      <c r="Q118" s="22">
        <v>4.5999999999999996</v>
      </c>
      <c r="R118" s="22">
        <v>20</v>
      </c>
      <c r="S118" s="23">
        <f>(Table13[[#This Row],[Unit Price]]*Table13[[#This Row],[No.of Units]])*18%</f>
        <v>46438.92</v>
      </c>
      <c r="T118" s="22" t="s">
        <v>1508</v>
      </c>
    </row>
    <row r="119" spans="2:20" x14ac:dyDescent="0.3">
      <c r="B119" s="5" t="s">
        <v>134</v>
      </c>
      <c r="C119" s="1">
        <v>1246579</v>
      </c>
      <c r="D119" s="1">
        <v>48</v>
      </c>
      <c r="E119" s="1" t="s">
        <v>12</v>
      </c>
      <c r="F119" s="16">
        <v>45686</v>
      </c>
      <c r="G119" s="1" t="s">
        <v>1470</v>
      </c>
      <c r="H119" s="1" t="s">
        <v>1471</v>
      </c>
      <c r="I119" s="17" t="s">
        <v>1502</v>
      </c>
      <c r="J119" s="18" t="s">
        <v>13</v>
      </c>
      <c r="K119" s="19" t="s">
        <v>14</v>
      </c>
      <c r="L119" s="19" t="s">
        <v>49</v>
      </c>
      <c r="M119" s="20">
        <v>6</v>
      </c>
      <c r="N119" s="21">
        <v>99999</v>
      </c>
      <c r="O119" s="22">
        <v>10</v>
      </c>
      <c r="P119" s="23">
        <v>539994.6</v>
      </c>
      <c r="Q119" s="22">
        <v>4.7</v>
      </c>
      <c r="R119" s="22">
        <v>20</v>
      </c>
      <c r="S119" s="23">
        <f>(Table13[[#This Row],[Unit Price]]*Table13[[#This Row],[No.of Units]])*18%</f>
        <v>107998.92</v>
      </c>
      <c r="T119" s="22" t="s">
        <v>1507</v>
      </c>
    </row>
    <row r="120" spans="2:20" x14ac:dyDescent="0.3">
      <c r="B120" s="5" t="s">
        <v>135</v>
      </c>
      <c r="C120" s="1">
        <v>6695683</v>
      </c>
      <c r="D120" s="1">
        <v>30</v>
      </c>
      <c r="E120" s="1" t="s">
        <v>12</v>
      </c>
      <c r="F120" s="16">
        <v>45686</v>
      </c>
      <c r="G120" s="1" t="s">
        <v>1474</v>
      </c>
      <c r="H120" s="1" t="s">
        <v>1482</v>
      </c>
      <c r="I120" s="17" t="s">
        <v>1503</v>
      </c>
      <c r="J120" s="18" t="s">
        <v>17</v>
      </c>
      <c r="K120" s="19" t="s">
        <v>18</v>
      </c>
      <c r="L120" s="19" t="s">
        <v>49</v>
      </c>
      <c r="M120" s="20">
        <v>37</v>
      </c>
      <c r="N120" s="21">
        <v>4999</v>
      </c>
      <c r="O120" s="22">
        <v>18</v>
      </c>
      <c r="P120" s="23">
        <v>151669.66</v>
      </c>
      <c r="Q120" s="22">
        <v>4.4000000000000004</v>
      </c>
      <c r="R120" s="22">
        <v>20</v>
      </c>
      <c r="S120" s="23">
        <f>(Table13[[#This Row],[Unit Price]]*Table13[[#This Row],[No.of Units]])*18%</f>
        <v>33293.339999999997</v>
      </c>
      <c r="T120" s="22" t="s">
        <v>1508</v>
      </c>
    </row>
    <row r="121" spans="2:20" x14ac:dyDescent="0.3">
      <c r="B121" s="5" t="s">
        <v>136</v>
      </c>
      <c r="C121" s="1">
        <v>1994186</v>
      </c>
      <c r="D121" s="1">
        <v>71</v>
      </c>
      <c r="E121" s="1" t="s">
        <v>20</v>
      </c>
      <c r="F121" s="16">
        <v>45686</v>
      </c>
      <c r="G121" s="1" t="s">
        <v>1470</v>
      </c>
      <c r="H121" s="1" t="s">
        <v>1482</v>
      </c>
      <c r="I121" s="17" t="s">
        <v>1504</v>
      </c>
      <c r="J121" s="18" t="s">
        <v>21</v>
      </c>
      <c r="K121" s="19" t="s">
        <v>18</v>
      </c>
      <c r="L121" s="19" t="s">
        <v>49</v>
      </c>
      <c r="M121" s="20">
        <v>13</v>
      </c>
      <c r="N121" s="21">
        <v>24900</v>
      </c>
      <c r="O121" s="22">
        <v>5</v>
      </c>
      <c r="P121" s="23">
        <v>307515</v>
      </c>
      <c r="Q121" s="22">
        <v>4.8</v>
      </c>
      <c r="R121" s="22">
        <v>20</v>
      </c>
      <c r="S121" s="23">
        <f>(Table13[[#This Row],[Unit Price]]*Table13[[#This Row],[No.of Units]])*18%</f>
        <v>58266</v>
      </c>
      <c r="T121" s="22" t="s">
        <v>1507</v>
      </c>
    </row>
    <row r="122" spans="2:20" x14ac:dyDescent="0.3">
      <c r="B122" s="5" t="s">
        <v>137</v>
      </c>
      <c r="C122" s="1">
        <v>172471</v>
      </c>
      <c r="D122" s="1">
        <v>41</v>
      </c>
      <c r="E122" s="1" t="s">
        <v>12</v>
      </c>
      <c r="F122" s="16">
        <v>45686</v>
      </c>
      <c r="G122" s="1" t="s">
        <v>1470</v>
      </c>
      <c r="H122" s="1" t="s">
        <v>1472</v>
      </c>
      <c r="I122" s="17" t="s">
        <v>1505</v>
      </c>
      <c r="J122" s="18" t="s">
        <v>23</v>
      </c>
      <c r="K122" s="19" t="s">
        <v>14</v>
      </c>
      <c r="L122" s="19" t="s">
        <v>49</v>
      </c>
      <c r="M122" s="20">
        <v>5</v>
      </c>
      <c r="N122" s="21">
        <v>84999</v>
      </c>
      <c r="O122" s="22">
        <v>12</v>
      </c>
      <c r="P122" s="23">
        <v>373995.6</v>
      </c>
      <c r="Q122" s="22">
        <v>4.5</v>
      </c>
      <c r="R122" s="22">
        <v>20</v>
      </c>
      <c r="S122" s="23">
        <f>(Table13[[#This Row],[Unit Price]]*Table13[[#This Row],[No.of Units]])*18%</f>
        <v>76499.099999999991</v>
      </c>
      <c r="T122" s="22" t="s">
        <v>1507</v>
      </c>
    </row>
    <row r="123" spans="2:20" x14ac:dyDescent="0.3">
      <c r="B123" s="5" t="s">
        <v>138</v>
      </c>
      <c r="C123" s="1">
        <v>681598</v>
      </c>
      <c r="D123" s="1">
        <v>28</v>
      </c>
      <c r="E123" s="1" t="s">
        <v>12</v>
      </c>
      <c r="F123" s="16">
        <v>45686</v>
      </c>
      <c r="G123" s="1" t="s">
        <v>1470</v>
      </c>
      <c r="H123" s="1" t="s">
        <v>1482</v>
      </c>
      <c r="I123" s="17" t="s">
        <v>1504</v>
      </c>
      <c r="J123" s="18" t="s">
        <v>25</v>
      </c>
      <c r="K123" s="19" t="s">
        <v>26</v>
      </c>
      <c r="L123" s="19" t="s">
        <v>49</v>
      </c>
      <c r="M123" s="20">
        <v>3</v>
      </c>
      <c r="N123" s="21">
        <v>69999</v>
      </c>
      <c r="O123" s="22">
        <v>8</v>
      </c>
      <c r="P123" s="23">
        <v>193197.24</v>
      </c>
      <c r="Q123" s="22">
        <v>4.8</v>
      </c>
      <c r="R123" s="22">
        <v>20</v>
      </c>
      <c r="S123" s="23">
        <f>(Table13[[#This Row],[Unit Price]]*Table13[[#This Row],[No.of Units]])*18%</f>
        <v>37799.46</v>
      </c>
      <c r="T123" s="22" t="s">
        <v>1508</v>
      </c>
    </row>
    <row r="124" spans="2:20" x14ac:dyDescent="0.3">
      <c r="B124" s="5" t="s">
        <v>139</v>
      </c>
      <c r="C124" s="1">
        <v>1388772</v>
      </c>
      <c r="D124" s="1">
        <v>19</v>
      </c>
      <c r="E124" s="1" t="s">
        <v>34</v>
      </c>
      <c r="F124" s="16">
        <v>45686</v>
      </c>
      <c r="G124" s="1" t="s">
        <v>1470</v>
      </c>
      <c r="H124" s="1" t="s">
        <v>1472</v>
      </c>
      <c r="I124" s="17" t="s">
        <v>1503</v>
      </c>
      <c r="J124" s="18" t="s">
        <v>28</v>
      </c>
      <c r="K124" s="19" t="s">
        <v>26</v>
      </c>
      <c r="L124" s="19" t="s">
        <v>49</v>
      </c>
      <c r="M124" s="20">
        <v>10</v>
      </c>
      <c r="N124" s="21">
        <v>42999</v>
      </c>
      <c r="O124" s="22">
        <v>15</v>
      </c>
      <c r="P124" s="23">
        <v>365491.5</v>
      </c>
      <c r="Q124" s="22">
        <v>4.5999999999999996</v>
      </c>
      <c r="R124" s="22">
        <v>20</v>
      </c>
      <c r="S124" s="23">
        <f>(Table13[[#This Row],[Unit Price]]*Table13[[#This Row],[No.of Units]])*18%</f>
        <v>77398.2</v>
      </c>
      <c r="T124" s="22" t="s">
        <v>1507</v>
      </c>
    </row>
    <row r="125" spans="2:20" x14ac:dyDescent="0.3">
      <c r="B125" s="5" t="s">
        <v>140</v>
      </c>
      <c r="C125" s="1">
        <v>3131740</v>
      </c>
      <c r="D125" s="1">
        <v>25</v>
      </c>
      <c r="E125" s="1" t="s">
        <v>12</v>
      </c>
      <c r="F125" s="16">
        <v>45693</v>
      </c>
      <c r="G125" s="1" t="s">
        <v>1470</v>
      </c>
      <c r="H125" s="1" t="s">
        <v>1482</v>
      </c>
      <c r="I125" s="17" t="s">
        <v>1502</v>
      </c>
      <c r="J125" s="18" t="s">
        <v>13</v>
      </c>
      <c r="K125" s="19" t="s">
        <v>14</v>
      </c>
      <c r="L125" s="19" t="s">
        <v>15</v>
      </c>
      <c r="M125" s="20">
        <v>5</v>
      </c>
      <c r="N125" s="21">
        <v>99999</v>
      </c>
      <c r="O125" s="22">
        <v>10</v>
      </c>
      <c r="P125" s="23">
        <v>449995.5</v>
      </c>
      <c r="Q125" s="22">
        <v>4.7</v>
      </c>
      <c r="R125" s="22">
        <v>20</v>
      </c>
      <c r="S125" s="23">
        <f>(Table13[[#This Row],[Unit Price]]*Table13[[#This Row],[No.of Units]])*18%</f>
        <v>89999.099999999991</v>
      </c>
      <c r="T125" s="22" t="s">
        <v>1508</v>
      </c>
    </row>
    <row r="126" spans="2:20" x14ac:dyDescent="0.3">
      <c r="B126" s="5" t="s">
        <v>141</v>
      </c>
      <c r="C126" s="1">
        <v>5496750</v>
      </c>
      <c r="D126" s="1">
        <v>57</v>
      </c>
      <c r="E126" s="1" t="s">
        <v>20</v>
      </c>
      <c r="F126" s="16">
        <v>45693</v>
      </c>
      <c r="G126" s="1" t="s">
        <v>1470</v>
      </c>
      <c r="H126" s="1" t="s">
        <v>1481</v>
      </c>
      <c r="I126" s="17" t="s">
        <v>1503</v>
      </c>
      <c r="J126" s="18" t="s">
        <v>17</v>
      </c>
      <c r="K126" s="19" t="s">
        <v>18</v>
      </c>
      <c r="L126" s="19" t="s">
        <v>15</v>
      </c>
      <c r="M126" s="20">
        <v>48</v>
      </c>
      <c r="N126" s="21">
        <v>4999</v>
      </c>
      <c r="O126" s="22">
        <v>18</v>
      </c>
      <c r="P126" s="23">
        <v>196760.64</v>
      </c>
      <c r="Q126" s="22">
        <v>4.4000000000000004</v>
      </c>
      <c r="R126" s="22">
        <v>20</v>
      </c>
      <c r="S126" s="23">
        <f>(Table13[[#This Row],[Unit Price]]*Table13[[#This Row],[No.of Units]])*18%</f>
        <v>43191.360000000001</v>
      </c>
      <c r="T126" s="22" t="s">
        <v>1508</v>
      </c>
    </row>
    <row r="127" spans="2:20" x14ac:dyDescent="0.3">
      <c r="B127" s="5" t="s">
        <v>141</v>
      </c>
      <c r="C127" s="1">
        <v>5496750</v>
      </c>
      <c r="D127" s="1">
        <v>73</v>
      </c>
      <c r="E127" s="1" t="s">
        <v>20</v>
      </c>
      <c r="F127" s="16">
        <v>45693</v>
      </c>
      <c r="G127" s="1" t="s">
        <v>1470</v>
      </c>
      <c r="H127" s="1" t="s">
        <v>1471</v>
      </c>
      <c r="I127" s="17" t="s">
        <v>1504</v>
      </c>
      <c r="J127" s="18" t="s">
        <v>21</v>
      </c>
      <c r="K127" s="19" t="s">
        <v>18</v>
      </c>
      <c r="L127" s="19" t="s">
        <v>15</v>
      </c>
      <c r="M127" s="20">
        <v>12</v>
      </c>
      <c r="N127" s="21">
        <v>24900</v>
      </c>
      <c r="O127" s="22">
        <v>5</v>
      </c>
      <c r="P127" s="23">
        <v>283860</v>
      </c>
      <c r="Q127" s="22">
        <v>4.8</v>
      </c>
      <c r="R127" s="22">
        <v>20</v>
      </c>
      <c r="S127" s="23">
        <f>(Table13[[#This Row],[Unit Price]]*Table13[[#This Row],[No.of Units]])*18%</f>
        <v>53784</v>
      </c>
      <c r="T127" s="22" t="s">
        <v>1508</v>
      </c>
    </row>
    <row r="128" spans="2:20" x14ac:dyDescent="0.3">
      <c r="B128" s="5" t="s">
        <v>142</v>
      </c>
      <c r="C128" s="1">
        <v>816846</v>
      </c>
      <c r="D128" s="1">
        <v>50</v>
      </c>
      <c r="E128" s="1" t="s">
        <v>20</v>
      </c>
      <c r="F128" s="16">
        <v>45693</v>
      </c>
      <c r="G128" s="1" t="s">
        <v>1470</v>
      </c>
      <c r="H128" s="1" t="s">
        <v>1472</v>
      </c>
      <c r="I128" s="17" t="s">
        <v>1505</v>
      </c>
      <c r="J128" s="18" t="s">
        <v>23</v>
      </c>
      <c r="K128" s="19" t="s">
        <v>14</v>
      </c>
      <c r="L128" s="19" t="s">
        <v>15</v>
      </c>
      <c r="M128" s="20">
        <v>2</v>
      </c>
      <c r="N128" s="21">
        <v>84999</v>
      </c>
      <c r="O128" s="22">
        <v>12</v>
      </c>
      <c r="P128" s="23">
        <v>149598.24</v>
      </c>
      <c r="Q128" s="22">
        <v>4.5</v>
      </c>
      <c r="R128" s="22">
        <v>20</v>
      </c>
      <c r="S128" s="23">
        <f>(Table13[[#This Row],[Unit Price]]*Table13[[#This Row],[No.of Units]])*18%</f>
        <v>30599.64</v>
      </c>
      <c r="T128" s="22" t="s">
        <v>1508</v>
      </c>
    </row>
    <row r="129" spans="2:20" x14ac:dyDescent="0.3">
      <c r="B129" s="5" t="s">
        <v>143</v>
      </c>
      <c r="C129" s="1">
        <v>278400</v>
      </c>
      <c r="D129" s="1">
        <v>31</v>
      </c>
      <c r="E129" s="1" t="s">
        <v>12</v>
      </c>
      <c r="F129" s="16">
        <v>45693</v>
      </c>
      <c r="G129" s="1" t="s">
        <v>1470</v>
      </c>
      <c r="H129" s="1" t="s">
        <v>1483</v>
      </c>
      <c r="I129" s="17" t="s">
        <v>1504</v>
      </c>
      <c r="J129" s="18" t="s">
        <v>25</v>
      </c>
      <c r="K129" s="19" t="s">
        <v>26</v>
      </c>
      <c r="L129" s="19" t="s">
        <v>15</v>
      </c>
      <c r="M129" s="20">
        <v>6</v>
      </c>
      <c r="N129" s="21">
        <v>69999</v>
      </c>
      <c r="O129" s="22">
        <v>8</v>
      </c>
      <c r="P129" s="23">
        <v>386394.48</v>
      </c>
      <c r="Q129" s="22">
        <v>4.8</v>
      </c>
      <c r="R129" s="22">
        <v>20</v>
      </c>
      <c r="S129" s="23">
        <f>(Table13[[#This Row],[Unit Price]]*Table13[[#This Row],[No.of Units]])*18%</f>
        <v>75598.92</v>
      </c>
      <c r="T129" s="22" t="s">
        <v>1508</v>
      </c>
    </row>
    <row r="130" spans="2:20" x14ac:dyDescent="0.3">
      <c r="B130" s="5" t="s">
        <v>144</v>
      </c>
      <c r="C130" s="1">
        <v>8079606</v>
      </c>
      <c r="D130" s="1">
        <v>33</v>
      </c>
      <c r="E130" s="1" t="s">
        <v>12</v>
      </c>
      <c r="F130" s="16">
        <v>45693</v>
      </c>
      <c r="G130" s="1" t="s">
        <v>1470</v>
      </c>
      <c r="H130" s="1" t="s">
        <v>1483</v>
      </c>
      <c r="I130" s="17" t="s">
        <v>1503</v>
      </c>
      <c r="J130" s="18" t="s">
        <v>28</v>
      </c>
      <c r="K130" s="19" t="s">
        <v>26</v>
      </c>
      <c r="L130" s="19" t="s">
        <v>15</v>
      </c>
      <c r="M130" s="20">
        <v>6</v>
      </c>
      <c r="N130" s="21">
        <v>42999</v>
      </c>
      <c r="O130" s="22">
        <v>15</v>
      </c>
      <c r="P130" s="23">
        <v>219294.9</v>
      </c>
      <c r="Q130" s="22">
        <v>4.5999999999999996</v>
      </c>
      <c r="R130" s="22">
        <v>20</v>
      </c>
      <c r="S130" s="23">
        <f>(Table13[[#This Row],[Unit Price]]*Table13[[#This Row],[No.of Units]])*18%</f>
        <v>46438.92</v>
      </c>
      <c r="T130" s="22" t="s">
        <v>1508</v>
      </c>
    </row>
    <row r="131" spans="2:20" x14ac:dyDescent="0.3">
      <c r="B131" s="5" t="s">
        <v>145</v>
      </c>
      <c r="C131" s="1">
        <v>4636514</v>
      </c>
      <c r="D131" s="1">
        <v>31</v>
      </c>
      <c r="E131" s="1" t="s">
        <v>12</v>
      </c>
      <c r="F131" s="16">
        <v>45693</v>
      </c>
      <c r="G131" s="1" t="s">
        <v>1470</v>
      </c>
      <c r="H131" s="1" t="s">
        <v>1482</v>
      </c>
      <c r="I131" s="17" t="s">
        <v>1502</v>
      </c>
      <c r="J131" s="18" t="s">
        <v>13</v>
      </c>
      <c r="K131" s="19" t="s">
        <v>14</v>
      </c>
      <c r="L131" s="19" t="s">
        <v>29</v>
      </c>
      <c r="M131" s="20">
        <v>6</v>
      </c>
      <c r="N131" s="21">
        <v>99999</v>
      </c>
      <c r="O131" s="22">
        <v>10</v>
      </c>
      <c r="P131" s="23">
        <v>539994.6</v>
      </c>
      <c r="Q131" s="22">
        <v>4.7</v>
      </c>
      <c r="R131" s="22">
        <v>20</v>
      </c>
      <c r="S131" s="23">
        <f>(Table13[[#This Row],[Unit Price]]*Table13[[#This Row],[No.of Units]])*18%</f>
        <v>107998.92</v>
      </c>
      <c r="T131" s="22" t="s">
        <v>1508</v>
      </c>
    </row>
    <row r="132" spans="2:20" x14ac:dyDescent="0.3">
      <c r="B132" s="5" t="s">
        <v>146</v>
      </c>
      <c r="C132" s="1">
        <v>9847734</v>
      </c>
      <c r="D132" s="1">
        <v>44</v>
      </c>
      <c r="E132" s="1" t="s">
        <v>12</v>
      </c>
      <c r="F132" s="16">
        <v>45693</v>
      </c>
      <c r="G132" s="1" t="s">
        <v>1470</v>
      </c>
      <c r="H132" s="1" t="s">
        <v>1482</v>
      </c>
      <c r="I132" s="17" t="s">
        <v>1503</v>
      </c>
      <c r="J132" s="18" t="s">
        <v>17</v>
      </c>
      <c r="K132" s="19" t="s">
        <v>18</v>
      </c>
      <c r="L132" s="19" t="s">
        <v>29</v>
      </c>
      <c r="M132" s="20">
        <v>90</v>
      </c>
      <c r="N132" s="21">
        <v>4999</v>
      </c>
      <c r="O132" s="22">
        <v>18</v>
      </c>
      <c r="P132" s="23">
        <v>368926.2</v>
      </c>
      <c r="Q132" s="22">
        <v>4.4000000000000004</v>
      </c>
      <c r="R132" s="22">
        <v>20</v>
      </c>
      <c r="S132" s="23">
        <f>(Table13[[#This Row],[Unit Price]]*Table13[[#This Row],[No.of Units]])*18%</f>
        <v>80983.8</v>
      </c>
      <c r="T132" s="22" t="s">
        <v>1508</v>
      </c>
    </row>
    <row r="133" spans="2:20" x14ac:dyDescent="0.3">
      <c r="B133" s="5" t="s">
        <v>147</v>
      </c>
      <c r="C133" s="1">
        <v>8860022</v>
      </c>
      <c r="D133" s="1">
        <v>26</v>
      </c>
      <c r="E133" s="1" t="s">
        <v>12</v>
      </c>
      <c r="F133" s="16">
        <v>45693</v>
      </c>
      <c r="G133" s="1" t="s">
        <v>1470</v>
      </c>
      <c r="H133" s="1" t="s">
        <v>1482</v>
      </c>
      <c r="I133" s="17" t="s">
        <v>1504</v>
      </c>
      <c r="J133" s="18" t="s">
        <v>21</v>
      </c>
      <c r="K133" s="19" t="s">
        <v>18</v>
      </c>
      <c r="L133" s="19" t="s">
        <v>29</v>
      </c>
      <c r="M133" s="20">
        <v>15</v>
      </c>
      <c r="N133" s="21">
        <v>24900</v>
      </c>
      <c r="O133" s="22">
        <v>5</v>
      </c>
      <c r="P133" s="23">
        <v>354825</v>
      </c>
      <c r="Q133" s="22">
        <v>4.8</v>
      </c>
      <c r="R133" s="22">
        <v>20</v>
      </c>
      <c r="S133" s="23">
        <f>(Table13[[#This Row],[Unit Price]]*Table13[[#This Row],[No.of Units]])*18%</f>
        <v>67230</v>
      </c>
      <c r="T133" s="22" t="s">
        <v>1508</v>
      </c>
    </row>
    <row r="134" spans="2:20" x14ac:dyDescent="0.3">
      <c r="B134" s="5" t="s">
        <v>148</v>
      </c>
      <c r="C134" s="1">
        <v>1669205</v>
      </c>
      <c r="D134" s="1">
        <v>25</v>
      </c>
      <c r="E134" s="1" t="s">
        <v>12</v>
      </c>
      <c r="F134" s="16">
        <v>45693</v>
      </c>
      <c r="G134" s="1" t="s">
        <v>1470</v>
      </c>
      <c r="H134" s="1" t="s">
        <v>1482</v>
      </c>
      <c r="I134" s="17" t="s">
        <v>1505</v>
      </c>
      <c r="J134" s="18" t="s">
        <v>23</v>
      </c>
      <c r="K134" s="19" t="s">
        <v>14</v>
      </c>
      <c r="L134" s="19" t="s">
        <v>29</v>
      </c>
      <c r="M134" s="20">
        <v>4</v>
      </c>
      <c r="N134" s="21">
        <v>84999</v>
      </c>
      <c r="O134" s="22">
        <v>12</v>
      </c>
      <c r="P134" s="23">
        <v>299196.48</v>
      </c>
      <c r="Q134" s="22">
        <v>4.5</v>
      </c>
      <c r="R134" s="22">
        <v>20</v>
      </c>
      <c r="S134" s="23">
        <f>(Table13[[#This Row],[Unit Price]]*Table13[[#This Row],[No.of Units]])*18%</f>
        <v>61199.28</v>
      </c>
      <c r="T134" s="22" t="s">
        <v>1508</v>
      </c>
    </row>
    <row r="135" spans="2:20" x14ac:dyDescent="0.3">
      <c r="B135" s="5" t="s">
        <v>149</v>
      </c>
      <c r="C135" s="1">
        <v>6737238</v>
      </c>
      <c r="D135" s="1">
        <v>49</v>
      </c>
      <c r="E135" s="1" t="s">
        <v>12</v>
      </c>
      <c r="F135" s="16">
        <v>45693</v>
      </c>
      <c r="G135" s="1" t="s">
        <v>1470</v>
      </c>
      <c r="H135" s="1" t="s">
        <v>1471</v>
      </c>
      <c r="I135" s="17" t="s">
        <v>1504</v>
      </c>
      <c r="J135" s="18" t="s">
        <v>25</v>
      </c>
      <c r="K135" s="19" t="s">
        <v>26</v>
      </c>
      <c r="L135" s="19" t="s">
        <v>29</v>
      </c>
      <c r="M135" s="20">
        <v>4</v>
      </c>
      <c r="N135" s="21">
        <v>69999</v>
      </c>
      <c r="O135" s="22">
        <v>8</v>
      </c>
      <c r="P135" s="23">
        <v>257596.32</v>
      </c>
      <c r="Q135" s="22">
        <v>4.8</v>
      </c>
      <c r="R135" s="22">
        <v>20</v>
      </c>
      <c r="S135" s="23">
        <f>(Table13[[#This Row],[Unit Price]]*Table13[[#This Row],[No.of Units]])*18%</f>
        <v>50399.28</v>
      </c>
      <c r="T135" s="22" t="s">
        <v>1508</v>
      </c>
    </row>
    <row r="136" spans="2:20" x14ac:dyDescent="0.3">
      <c r="B136" s="5" t="s">
        <v>150</v>
      </c>
      <c r="C136" s="1">
        <v>9605076</v>
      </c>
      <c r="D136" s="1">
        <v>59</v>
      </c>
      <c r="E136" s="1" t="s">
        <v>20</v>
      </c>
      <c r="F136" s="16">
        <v>45693</v>
      </c>
      <c r="G136" s="1" t="s">
        <v>1470</v>
      </c>
      <c r="H136" s="1" t="s">
        <v>1471</v>
      </c>
      <c r="I136" s="17" t="s">
        <v>1503</v>
      </c>
      <c r="J136" s="18" t="s">
        <v>28</v>
      </c>
      <c r="K136" s="19" t="s">
        <v>26</v>
      </c>
      <c r="L136" s="19" t="s">
        <v>29</v>
      </c>
      <c r="M136" s="20">
        <v>11</v>
      </c>
      <c r="N136" s="21">
        <v>42999</v>
      </c>
      <c r="O136" s="22">
        <v>15</v>
      </c>
      <c r="P136" s="23">
        <v>402040.65</v>
      </c>
      <c r="Q136" s="22">
        <v>4.5999999999999996</v>
      </c>
      <c r="R136" s="22">
        <v>20</v>
      </c>
      <c r="S136" s="23">
        <f>(Table13[[#This Row],[Unit Price]]*Table13[[#This Row],[No.of Units]])*18%</f>
        <v>85138.02</v>
      </c>
      <c r="T136" s="22" t="s">
        <v>1507</v>
      </c>
    </row>
    <row r="137" spans="2:20" x14ac:dyDescent="0.3">
      <c r="B137" s="5" t="s">
        <v>151</v>
      </c>
      <c r="C137" s="1">
        <v>9542566</v>
      </c>
      <c r="D137" s="1">
        <v>21</v>
      </c>
      <c r="E137" s="1" t="s">
        <v>12</v>
      </c>
      <c r="F137" s="16">
        <v>45693</v>
      </c>
      <c r="G137" s="1" t="s">
        <v>1470</v>
      </c>
      <c r="H137" s="1" t="s">
        <v>1471</v>
      </c>
      <c r="I137" s="17" t="s">
        <v>1502</v>
      </c>
      <c r="J137" s="18" t="s">
        <v>13</v>
      </c>
      <c r="K137" s="19" t="s">
        <v>14</v>
      </c>
      <c r="L137" s="19" t="s">
        <v>35</v>
      </c>
      <c r="M137" s="20">
        <v>4</v>
      </c>
      <c r="N137" s="21">
        <v>99999</v>
      </c>
      <c r="O137" s="22">
        <v>10</v>
      </c>
      <c r="P137" s="23">
        <v>359996.4</v>
      </c>
      <c r="Q137" s="22">
        <v>4.7</v>
      </c>
      <c r="R137" s="22">
        <v>20</v>
      </c>
      <c r="S137" s="23">
        <f>(Table13[[#This Row],[Unit Price]]*Table13[[#This Row],[No.of Units]])*18%</f>
        <v>71999.28</v>
      </c>
      <c r="T137" s="22" t="s">
        <v>1508</v>
      </c>
    </row>
    <row r="138" spans="2:20" x14ac:dyDescent="0.3">
      <c r="B138" s="5" t="s">
        <v>152</v>
      </c>
      <c r="C138" s="1">
        <v>1540604</v>
      </c>
      <c r="D138" s="1">
        <v>31</v>
      </c>
      <c r="E138" s="1" t="s">
        <v>12</v>
      </c>
      <c r="F138" s="16">
        <v>45693</v>
      </c>
      <c r="G138" s="1" t="s">
        <v>1470</v>
      </c>
      <c r="H138" s="1" t="s">
        <v>1471</v>
      </c>
      <c r="I138" s="17" t="s">
        <v>1503</v>
      </c>
      <c r="J138" s="18" t="s">
        <v>17</v>
      </c>
      <c r="K138" s="19" t="s">
        <v>18</v>
      </c>
      <c r="L138" s="19" t="s">
        <v>35</v>
      </c>
      <c r="M138" s="20">
        <v>35</v>
      </c>
      <c r="N138" s="21">
        <v>4999</v>
      </c>
      <c r="O138" s="22">
        <v>18</v>
      </c>
      <c r="P138" s="23">
        <v>143471.29999999999</v>
      </c>
      <c r="Q138" s="22">
        <v>4.4000000000000004</v>
      </c>
      <c r="R138" s="22">
        <v>20</v>
      </c>
      <c r="S138" s="23">
        <f>(Table13[[#This Row],[Unit Price]]*Table13[[#This Row],[No.of Units]])*18%</f>
        <v>31493.699999999997</v>
      </c>
      <c r="T138" s="22" t="s">
        <v>1507</v>
      </c>
    </row>
    <row r="139" spans="2:20" x14ac:dyDescent="0.3">
      <c r="B139" s="5" t="s">
        <v>153</v>
      </c>
      <c r="C139" s="1">
        <v>9367631</v>
      </c>
      <c r="D139" s="1">
        <v>34</v>
      </c>
      <c r="E139" s="1" t="s">
        <v>12</v>
      </c>
      <c r="F139" s="16">
        <v>45693</v>
      </c>
      <c r="G139" s="1" t="s">
        <v>1470</v>
      </c>
      <c r="H139" s="1" t="s">
        <v>1471</v>
      </c>
      <c r="I139" s="17" t="s">
        <v>1504</v>
      </c>
      <c r="J139" s="18" t="s">
        <v>21</v>
      </c>
      <c r="K139" s="19" t="s">
        <v>18</v>
      </c>
      <c r="L139" s="19" t="s">
        <v>35</v>
      </c>
      <c r="M139" s="20">
        <v>11</v>
      </c>
      <c r="N139" s="21">
        <v>24900</v>
      </c>
      <c r="O139" s="22">
        <v>5</v>
      </c>
      <c r="P139" s="23">
        <v>260205</v>
      </c>
      <c r="Q139" s="22">
        <v>4.8</v>
      </c>
      <c r="R139" s="22">
        <v>20</v>
      </c>
      <c r="S139" s="23">
        <f>(Table13[[#This Row],[Unit Price]]*Table13[[#This Row],[No.of Units]])*18%</f>
        <v>49302</v>
      </c>
      <c r="T139" s="22" t="s">
        <v>1508</v>
      </c>
    </row>
    <row r="140" spans="2:20" x14ac:dyDescent="0.3">
      <c r="B140" s="5" t="s">
        <v>154</v>
      </c>
      <c r="C140" s="1">
        <v>595996</v>
      </c>
      <c r="D140" s="1">
        <v>72</v>
      </c>
      <c r="E140" s="1" t="s">
        <v>20</v>
      </c>
      <c r="F140" s="16">
        <v>45693</v>
      </c>
      <c r="G140" s="1" t="s">
        <v>1470</v>
      </c>
      <c r="H140" s="1" t="s">
        <v>1471</v>
      </c>
      <c r="I140" s="17" t="s">
        <v>1505</v>
      </c>
      <c r="J140" s="18" t="s">
        <v>23</v>
      </c>
      <c r="K140" s="19" t="s">
        <v>14</v>
      </c>
      <c r="L140" s="19" t="s">
        <v>35</v>
      </c>
      <c r="M140" s="20">
        <v>4</v>
      </c>
      <c r="N140" s="21">
        <v>84999</v>
      </c>
      <c r="O140" s="22">
        <v>12</v>
      </c>
      <c r="P140" s="23">
        <v>299196.48</v>
      </c>
      <c r="Q140" s="22">
        <v>4.5</v>
      </c>
      <c r="R140" s="22">
        <v>20</v>
      </c>
      <c r="S140" s="23">
        <f>(Table13[[#This Row],[Unit Price]]*Table13[[#This Row],[No.of Units]])*18%</f>
        <v>61199.28</v>
      </c>
      <c r="T140" s="22" t="s">
        <v>1508</v>
      </c>
    </row>
    <row r="141" spans="2:20" x14ac:dyDescent="0.3">
      <c r="B141" s="5" t="s">
        <v>155</v>
      </c>
      <c r="C141" s="1">
        <v>8256896</v>
      </c>
      <c r="D141" s="1">
        <v>22</v>
      </c>
      <c r="E141" s="1" t="s">
        <v>12</v>
      </c>
      <c r="F141" s="16">
        <v>45693</v>
      </c>
      <c r="G141" s="1" t="s">
        <v>1470</v>
      </c>
      <c r="H141" s="1" t="s">
        <v>1471</v>
      </c>
      <c r="I141" s="17" t="s">
        <v>1504</v>
      </c>
      <c r="J141" s="18" t="s">
        <v>25</v>
      </c>
      <c r="K141" s="19" t="s">
        <v>26</v>
      </c>
      <c r="L141" s="19" t="s">
        <v>35</v>
      </c>
      <c r="M141" s="20">
        <v>5</v>
      </c>
      <c r="N141" s="21">
        <v>69999</v>
      </c>
      <c r="O141" s="22">
        <v>8</v>
      </c>
      <c r="P141" s="23">
        <v>321995.40000000002</v>
      </c>
      <c r="Q141" s="22">
        <v>4.8</v>
      </c>
      <c r="R141" s="22">
        <v>20</v>
      </c>
      <c r="S141" s="23">
        <f>(Table13[[#This Row],[Unit Price]]*Table13[[#This Row],[No.of Units]])*18%</f>
        <v>62999.1</v>
      </c>
      <c r="T141" s="22" t="s">
        <v>1507</v>
      </c>
    </row>
    <row r="142" spans="2:20" x14ac:dyDescent="0.3">
      <c r="B142" s="5" t="s">
        <v>156</v>
      </c>
      <c r="C142" s="1">
        <v>1064158</v>
      </c>
      <c r="D142" s="1">
        <v>35</v>
      </c>
      <c r="E142" s="1" t="s">
        <v>12</v>
      </c>
      <c r="F142" s="16">
        <v>45693</v>
      </c>
      <c r="G142" s="1" t="s">
        <v>1470</v>
      </c>
      <c r="H142" s="1" t="s">
        <v>1482</v>
      </c>
      <c r="I142" s="17" t="s">
        <v>1503</v>
      </c>
      <c r="J142" s="18" t="s">
        <v>28</v>
      </c>
      <c r="K142" s="19" t="s">
        <v>26</v>
      </c>
      <c r="L142" s="19" t="s">
        <v>35</v>
      </c>
      <c r="M142" s="20">
        <v>6</v>
      </c>
      <c r="N142" s="21">
        <v>42999</v>
      </c>
      <c r="O142" s="22">
        <v>15</v>
      </c>
      <c r="P142" s="23">
        <v>219294.9</v>
      </c>
      <c r="Q142" s="22">
        <v>4.5999999999999996</v>
      </c>
      <c r="R142" s="22">
        <v>20</v>
      </c>
      <c r="S142" s="23">
        <f>(Table13[[#This Row],[Unit Price]]*Table13[[#This Row],[No.of Units]])*18%</f>
        <v>46438.92</v>
      </c>
      <c r="T142" s="22" t="s">
        <v>1508</v>
      </c>
    </row>
    <row r="143" spans="2:20" x14ac:dyDescent="0.3">
      <c r="B143" s="5" t="s">
        <v>157</v>
      </c>
      <c r="C143" s="1">
        <v>2727693</v>
      </c>
      <c r="D143" s="1">
        <v>31</v>
      </c>
      <c r="E143" s="1" t="s">
        <v>12</v>
      </c>
      <c r="F143" s="16">
        <v>45693</v>
      </c>
      <c r="G143" s="1" t="s">
        <v>1470</v>
      </c>
      <c r="H143" s="1" t="s">
        <v>1472</v>
      </c>
      <c r="I143" s="17" t="s">
        <v>1502</v>
      </c>
      <c r="J143" s="18" t="s">
        <v>13</v>
      </c>
      <c r="K143" s="19" t="s">
        <v>14</v>
      </c>
      <c r="L143" s="19" t="s">
        <v>42</v>
      </c>
      <c r="M143" s="20">
        <v>5</v>
      </c>
      <c r="N143" s="21">
        <v>99999</v>
      </c>
      <c r="O143" s="22">
        <v>10</v>
      </c>
      <c r="P143" s="23">
        <v>449995.5</v>
      </c>
      <c r="Q143" s="22">
        <v>4.7</v>
      </c>
      <c r="R143" s="22">
        <v>20</v>
      </c>
      <c r="S143" s="23">
        <f>(Table13[[#This Row],[Unit Price]]*Table13[[#This Row],[No.of Units]])*18%</f>
        <v>89999.099999999991</v>
      </c>
      <c r="T143" s="22" t="s">
        <v>1508</v>
      </c>
    </row>
    <row r="144" spans="2:20" x14ac:dyDescent="0.3">
      <c r="B144" s="5" t="s">
        <v>158</v>
      </c>
      <c r="C144" s="1">
        <v>6844452</v>
      </c>
      <c r="D144" s="1">
        <v>34</v>
      </c>
      <c r="E144" s="1" t="s">
        <v>12</v>
      </c>
      <c r="F144" s="16">
        <v>45693</v>
      </c>
      <c r="G144" s="1" t="s">
        <v>1475</v>
      </c>
      <c r="H144" s="1" t="s">
        <v>1480</v>
      </c>
      <c r="I144" s="17" t="s">
        <v>1503</v>
      </c>
      <c r="J144" s="18" t="s">
        <v>17</v>
      </c>
      <c r="K144" s="19" t="s">
        <v>18</v>
      </c>
      <c r="L144" s="19" t="s">
        <v>42</v>
      </c>
      <c r="M144" s="20">
        <v>59</v>
      </c>
      <c r="N144" s="21">
        <v>4999</v>
      </c>
      <c r="O144" s="22">
        <v>18</v>
      </c>
      <c r="P144" s="23">
        <v>241851.62</v>
      </c>
      <c r="Q144" s="22">
        <v>4.4000000000000004</v>
      </c>
      <c r="R144" s="22">
        <v>20</v>
      </c>
      <c r="S144" s="23">
        <f>(Table13[[#This Row],[Unit Price]]*Table13[[#This Row],[No.of Units]])*18%</f>
        <v>53089.38</v>
      </c>
      <c r="T144" s="22" t="s">
        <v>1507</v>
      </c>
    </row>
    <row r="145" spans="2:20" x14ac:dyDescent="0.3">
      <c r="B145" s="5" t="s">
        <v>159</v>
      </c>
      <c r="C145" s="1">
        <v>6908439</v>
      </c>
      <c r="D145" s="1">
        <v>46</v>
      </c>
      <c r="E145" s="1" t="s">
        <v>12</v>
      </c>
      <c r="F145" s="16">
        <v>45693</v>
      </c>
      <c r="G145" s="1" t="s">
        <v>1473</v>
      </c>
      <c r="H145" s="1" t="s">
        <v>1471</v>
      </c>
      <c r="I145" s="17" t="s">
        <v>1504</v>
      </c>
      <c r="J145" s="18" t="s">
        <v>21</v>
      </c>
      <c r="K145" s="19" t="s">
        <v>18</v>
      </c>
      <c r="L145" s="19" t="s">
        <v>42</v>
      </c>
      <c r="M145" s="20">
        <v>5</v>
      </c>
      <c r="N145" s="21">
        <v>24900</v>
      </c>
      <c r="O145" s="22">
        <v>5</v>
      </c>
      <c r="P145" s="23">
        <v>118275</v>
      </c>
      <c r="Q145" s="22">
        <v>4.8</v>
      </c>
      <c r="R145" s="22">
        <v>20</v>
      </c>
      <c r="S145" s="23">
        <f>(Table13[[#This Row],[Unit Price]]*Table13[[#This Row],[No.of Units]])*18%</f>
        <v>22410</v>
      </c>
      <c r="T145" s="22" t="s">
        <v>1508</v>
      </c>
    </row>
    <row r="146" spans="2:20" x14ac:dyDescent="0.3">
      <c r="B146" s="5" t="s">
        <v>160</v>
      </c>
      <c r="C146" s="1">
        <v>9626742</v>
      </c>
      <c r="D146" s="1">
        <v>63</v>
      </c>
      <c r="E146" s="1" t="s">
        <v>20</v>
      </c>
      <c r="F146" s="16">
        <v>45693</v>
      </c>
      <c r="G146" s="1" t="s">
        <v>1470</v>
      </c>
      <c r="H146" s="1" t="s">
        <v>1471</v>
      </c>
      <c r="I146" s="17" t="s">
        <v>1505</v>
      </c>
      <c r="J146" s="18" t="s">
        <v>23</v>
      </c>
      <c r="K146" s="19" t="s">
        <v>14</v>
      </c>
      <c r="L146" s="19" t="s">
        <v>42</v>
      </c>
      <c r="M146" s="20">
        <v>5</v>
      </c>
      <c r="N146" s="21">
        <v>84999</v>
      </c>
      <c r="O146" s="22">
        <v>12</v>
      </c>
      <c r="P146" s="23">
        <v>373995.6</v>
      </c>
      <c r="Q146" s="22">
        <v>4.5</v>
      </c>
      <c r="R146" s="22">
        <v>20</v>
      </c>
      <c r="S146" s="23">
        <f>(Table13[[#This Row],[Unit Price]]*Table13[[#This Row],[No.of Units]])*18%</f>
        <v>76499.099999999991</v>
      </c>
      <c r="T146" s="22" t="s">
        <v>1508</v>
      </c>
    </row>
    <row r="147" spans="2:20" x14ac:dyDescent="0.3">
      <c r="B147" s="5" t="s">
        <v>161</v>
      </c>
      <c r="C147" s="1">
        <v>9383537</v>
      </c>
      <c r="D147" s="1">
        <v>33</v>
      </c>
      <c r="E147" s="1" t="s">
        <v>12</v>
      </c>
      <c r="F147" s="16">
        <v>45693</v>
      </c>
      <c r="G147" s="1" t="s">
        <v>1470</v>
      </c>
      <c r="H147" s="1" t="s">
        <v>1471</v>
      </c>
      <c r="I147" s="17" t="s">
        <v>1504</v>
      </c>
      <c r="J147" s="18" t="s">
        <v>25</v>
      </c>
      <c r="K147" s="19" t="s">
        <v>26</v>
      </c>
      <c r="L147" s="19" t="s">
        <v>42</v>
      </c>
      <c r="M147" s="20">
        <v>3</v>
      </c>
      <c r="N147" s="21">
        <v>69999</v>
      </c>
      <c r="O147" s="22">
        <v>8</v>
      </c>
      <c r="P147" s="23">
        <v>193197.24</v>
      </c>
      <c r="Q147" s="22">
        <v>4.8</v>
      </c>
      <c r="R147" s="22">
        <v>20</v>
      </c>
      <c r="S147" s="23">
        <f>(Table13[[#This Row],[Unit Price]]*Table13[[#This Row],[No.of Units]])*18%</f>
        <v>37799.46</v>
      </c>
      <c r="T147" s="22" t="s">
        <v>1507</v>
      </c>
    </row>
    <row r="148" spans="2:20" x14ac:dyDescent="0.3">
      <c r="B148" s="5" t="s">
        <v>162</v>
      </c>
      <c r="C148" s="1">
        <v>6048785</v>
      </c>
      <c r="D148" s="1">
        <v>58</v>
      </c>
      <c r="E148" s="1" t="s">
        <v>20</v>
      </c>
      <c r="F148" s="16">
        <v>45693</v>
      </c>
      <c r="G148" s="1" t="s">
        <v>1470</v>
      </c>
      <c r="H148" s="1" t="s">
        <v>1471</v>
      </c>
      <c r="I148" s="17" t="s">
        <v>1503</v>
      </c>
      <c r="J148" s="18" t="s">
        <v>28</v>
      </c>
      <c r="K148" s="19" t="s">
        <v>26</v>
      </c>
      <c r="L148" s="19" t="s">
        <v>42</v>
      </c>
      <c r="M148" s="20">
        <v>10</v>
      </c>
      <c r="N148" s="21">
        <v>42999</v>
      </c>
      <c r="O148" s="22">
        <v>15</v>
      </c>
      <c r="P148" s="23">
        <v>365491.5</v>
      </c>
      <c r="Q148" s="22">
        <v>4.5999999999999996</v>
      </c>
      <c r="R148" s="22">
        <v>20</v>
      </c>
      <c r="S148" s="23">
        <f>(Table13[[#This Row],[Unit Price]]*Table13[[#This Row],[No.of Units]])*18%</f>
        <v>77398.2</v>
      </c>
      <c r="T148" s="22" t="s">
        <v>1507</v>
      </c>
    </row>
    <row r="149" spans="2:20" x14ac:dyDescent="0.3">
      <c r="B149" s="5" t="s">
        <v>163</v>
      </c>
      <c r="C149" s="1">
        <v>1040945</v>
      </c>
      <c r="D149" s="1">
        <v>27</v>
      </c>
      <c r="E149" s="1" t="s">
        <v>12</v>
      </c>
      <c r="F149" s="16">
        <v>45693</v>
      </c>
      <c r="G149" s="1" t="s">
        <v>1470</v>
      </c>
      <c r="H149" s="1" t="s">
        <v>1472</v>
      </c>
      <c r="I149" s="17" t="s">
        <v>1502</v>
      </c>
      <c r="J149" s="18" t="s">
        <v>13</v>
      </c>
      <c r="K149" s="19" t="s">
        <v>14</v>
      </c>
      <c r="L149" s="19" t="s">
        <v>49</v>
      </c>
      <c r="M149" s="20">
        <v>6</v>
      </c>
      <c r="N149" s="21">
        <v>99999</v>
      </c>
      <c r="O149" s="22">
        <v>10</v>
      </c>
      <c r="P149" s="23">
        <v>539994.6</v>
      </c>
      <c r="Q149" s="22">
        <v>4.7</v>
      </c>
      <c r="R149" s="22">
        <v>20</v>
      </c>
      <c r="S149" s="23">
        <f>(Table13[[#This Row],[Unit Price]]*Table13[[#This Row],[No.of Units]])*18%</f>
        <v>107998.92</v>
      </c>
      <c r="T149" s="22" t="s">
        <v>1508</v>
      </c>
    </row>
    <row r="150" spans="2:20" x14ac:dyDescent="0.3">
      <c r="B150" s="5" t="s">
        <v>164</v>
      </c>
      <c r="C150" s="1">
        <v>8224545</v>
      </c>
      <c r="D150" s="1">
        <v>24</v>
      </c>
      <c r="E150" s="1" t="s">
        <v>12</v>
      </c>
      <c r="F150" s="16">
        <v>45693</v>
      </c>
      <c r="G150" s="1" t="s">
        <v>1470</v>
      </c>
      <c r="H150" s="1" t="s">
        <v>1472</v>
      </c>
      <c r="I150" s="17" t="s">
        <v>1503</v>
      </c>
      <c r="J150" s="18" t="s">
        <v>17</v>
      </c>
      <c r="K150" s="19" t="s">
        <v>18</v>
      </c>
      <c r="L150" s="19" t="s">
        <v>49</v>
      </c>
      <c r="M150" s="20">
        <v>32</v>
      </c>
      <c r="N150" s="21">
        <v>4999</v>
      </c>
      <c r="O150" s="22">
        <v>18</v>
      </c>
      <c r="P150" s="23">
        <v>131173.76000000001</v>
      </c>
      <c r="Q150" s="22">
        <v>4.4000000000000004</v>
      </c>
      <c r="R150" s="22">
        <v>20</v>
      </c>
      <c r="S150" s="23">
        <f>(Table13[[#This Row],[Unit Price]]*Table13[[#This Row],[No.of Units]])*18%</f>
        <v>28794.239999999998</v>
      </c>
      <c r="T150" s="22" t="s">
        <v>1507</v>
      </c>
    </row>
    <row r="151" spans="2:20" x14ac:dyDescent="0.3">
      <c r="B151" s="5" t="s">
        <v>165</v>
      </c>
      <c r="C151" s="1">
        <v>8391201</v>
      </c>
      <c r="D151" s="1">
        <v>45</v>
      </c>
      <c r="E151" s="1" t="s">
        <v>12</v>
      </c>
      <c r="F151" s="16">
        <v>45693</v>
      </c>
      <c r="G151" s="1" t="s">
        <v>1470</v>
      </c>
      <c r="H151" s="1" t="s">
        <v>1472</v>
      </c>
      <c r="I151" s="17" t="s">
        <v>1504</v>
      </c>
      <c r="J151" s="18" t="s">
        <v>21</v>
      </c>
      <c r="K151" s="19" t="s">
        <v>18</v>
      </c>
      <c r="L151" s="19" t="s">
        <v>49</v>
      </c>
      <c r="M151" s="20">
        <v>9</v>
      </c>
      <c r="N151" s="21">
        <v>24900</v>
      </c>
      <c r="O151" s="22">
        <v>5</v>
      </c>
      <c r="P151" s="23">
        <v>212895</v>
      </c>
      <c r="Q151" s="22">
        <v>4.8</v>
      </c>
      <c r="R151" s="22">
        <v>20</v>
      </c>
      <c r="S151" s="23">
        <f>(Table13[[#This Row],[Unit Price]]*Table13[[#This Row],[No.of Units]])*18%</f>
        <v>40338</v>
      </c>
      <c r="T151" s="22" t="s">
        <v>1508</v>
      </c>
    </row>
    <row r="152" spans="2:20" x14ac:dyDescent="0.3">
      <c r="B152" s="5" t="s">
        <v>166</v>
      </c>
      <c r="C152" s="1">
        <v>2036568</v>
      </c>
      <c r="D152" s="1">
        <v>22</v>
      </c>
      <c r="E152" s="1" t="s">
        <v>12</v>
      </c>
      <c r="F152" s="16">
        <v>45693</v>
      </c>
      <c r="G152" s="1" t="s">
        <v>1470</v>
      </c>
      <c r="H152" s="1" t="s">
        <v>1471</v>
      </c>
      <c r="I152" s="17" t="s">
        <v>1505</v>
      </c>
      <c r="J152" s="18" t="s">
        <v>23</v>
      </c>
      <c r="K152" s="19" t="s">
        <v>14</v>
      </c>
      <c r="L152" s="19" t="s">
        <v>49</v>
      </c>
      <c r="M152" s="20">
        <v>3</v>
      </c>
      <c r="N152" s="21">
        <v>84999</v>
      </c>
      <c r="O152" s="22">
        <v>12</v>
      </c>
      <c r="P152" s="23">
        <v>224397.36</v>
      </c>
      <c r="Q152" s="22">
        <v>4.5</v>
      </c>
      <c r="R152" s="22">
        <v>20</v>
      </c>
      <c r="S152" s="23">
        <f>(Table13[[#This Row],[Unit Price]]*Table13[[#This Row],[No.of Units]])*18%</f>
        <v>45899.46</v>
      </c>
      <c r="T152" s="22" t="s">
        <v>1507</v>
      </c>
    </row>
    <row r="153" spans="2:20" x14ac:dyDescent="0.3">
      <c r="B153" s="5" t="s">
        <v>167</v>
      </c>
      <c r="C153" s="1">
        <v>131231</v>
      </c>
      <c r="D153" s="1">
        <v>42</v>
      </c>
      <c r="E153" s="1" t="s">
        <v>12</v>
      </c>
      <c r="F153" s="16">
        <v>45693</v>
      </c>
      <c r="G153" s="1" t="s">
        <v>1475</v>
      </c>
      <c r="H153" s="1" t="s">
        <v>1481</v>
      </c>
      <c r="I153" s="17" t="s">
        <v>1504</v>
      </c>
      <c r="J153" s="18" t="s">
        <v>25</v>
      </c>
      <c r="K153" s="19" t="s">
        <v>26</v>
      </c>
      <c r="L153" s="19" t="s">
        <v>49</v>
      </c>
      <c r="M153" s="20">
        <v>6</v>
      </c>
      <c r="N153" s="21">
        <v>69999</v>
      </c>
      <c r="O153" s="22">
        <v>8</v>
      </c>
      <c r="P153" s="23">
        <v>386394.48</v>
      </c>
      <c r="Q153" s="22">
        <v>4.8</v>
      </c>
      <c r="R153" s="22">
        <v>20</v>
      </c>
      <c r="S153" s="23">
        <f>(Table13[[#This Row],[Unit Price]]*Table13[[#This Row],[No.of Units]])*18%</f>
        <v>75598.92</v>
      </c>
      <c r="T153" s="22" t="s">
        <v>1508</v>
      </c>
    </row>
    <row r="154" spans="2:20" x14ac:dyDescent="0.3">
      <c r="B154" s="5" t="s">
        <v>167</v>
      </c>
      <c r="C154" s="1">
        <v>131231</v>
      </c>
      <c r="D154" s="1">
        <v>18</v>
      </c>
      <c r="E154" s="1" t="s">
        <v>34</v>
      </c>
      <c r="F154" s="16">
        <v>45693</v>
      </c>
      <c r="G154" s="1" t="s">
        <v>1475</v>
      </c>
      <c r="H154" s="1" t="s">
        <v>1471</v>
      </c>
      <c r="I154" s="17" t="s">
        <v>1503</v>
      </c>
      <c r="J154" s="18" t="s">
        <v>28</v>
      </c>
      <c r="K154" s="19" t="s">
        <v>26</v>
      </c>
      <c r="L154" s="19" t="s">
        <v>49</v>
      </c>
      <c r="M154" s="20">
        <v>10</v>
      </c>
      <c r="N154" s="21">
        <v>42999</v>
      </c>
      <c r="O154" s="22">
        <v>15</v>
      </c>
      <c r="P154" s="23">
        <v>365491.5</v>
      </c>
      <c r="Q154" s="22">
        <v>4.5999999999999996</v>
      </c>
      <c r="R154" s="22">
        <v>20</v>
      </c>
      <c r="S154" s="23">
        <f>(Table13[[#This Row],[Unit Price]]*Table13[[#This Row],[No.of Units]])*18%</f>
        <v>77398.2</v>
      </c>
      <c r="T154" s="22" t="s">
        <v>1508</v>
      </c>
    </row>
    <row r="155" spans="2:20" x14ac:dyDescent="0.3">
      <c r="B155" s="5" t="s">
        <v>168</v>
      </c>
      <c r="C155" s="1">
        <v>5387048</v>
      </c>
      <c r="D155" s="1">
        <v>55</v>
      </c>
      <c r="E155" s="1" t="s">
        <v>20</v>
      </c>
      <c r="F155" s="16">
        <v>45700</v>
      </c>
      <c r="G155" s="1" t="s">
        <v>1470</v>
      </c>
      <c r="H155" s="1" t="s">
        <v>1481</v>
      </c>
      <c r="I155" s="17" t="s">
        <v>1502</v>
      </c>
      <c r="J155" s="18" t="s">
        <v>13</v>
      </c>
      <c r="K155" s="19" t="s">
        <v>14</v>
      </c>
      <c r="L155" s="19" t="s">
        <v>15</v>
      </c>
      <c r="M155" s="20">
        <v>3</v>
      </c>
      <c r="N155" s="21">
        <v>99999</v>
      </c>
      <c r="O155" s="22">
        <v>10</v>
      </c>
      <c r="P155" s="23">
        <v>269997.3</v>
      </c>
      <c r="Q155" s="22">
        <v>4.7</v>
      </c>
      <c r="R155" s="22">
        <v>20</v>
      </c>
      <c r="S155" s="23">
        <f>(Table13[[#This Row],[Unit Price]]*Table13[[#This Row],[No.of Units]])*18%</f>
        <v>53999.46</v>
      </c>
      <c r="T155" s="22" t="s">
        <v>1508</v>
      </c>
    </row>
    <row r="156" spans="2:20" x14ac:dyDescent="0.3">
      <c r="B156" s="5" t="s">
        <v>169</v>
      </c>
      <c r="C156" s="1">
        <v>4700322</v>
      </c>
      <c r="D156" s="1">
        <v>25</v>
      </c>
      <c r="E156" s="1" t="s">
        <v>12</v>
      </c>
      <c r="F156" s="16">
        <v>45700</v>
      </c>
      <c r="G156" s="1" t="s">
        <v>1475</v>
      </c>
      <c r="H156" s="1" t="s">
        <v>1471</v>
      </c>
      <c r="I156" s="17" t="s">
        <v>1503</v>
      </c>
      <c r="J156" s="18" t="s">
        <v>17</v>
      </c>
      <c r="K156" s="19" t="s">
        <v>18</v>
      </c>
      <c r="L156" s="19" t="s">
        <v>15</v>
      </c>
      <c r="M156" s="20">
        <v>39</v>
      </c>
      <c r="N156" s="21">
        <v>4999</v>
      </c>
      <c r="O156" s="22">
        <v>18</v>
      </c>
      <c r="P156" s="23">
        <v>159868.02000000002</v>
      </c>
      <c r="Q156" s="22">
        <v>4.4000000000000004</v>
      </c>
      <c r="R156" s="22">
        <v>20</v>
      </c>
      <c r="S156" s="23">
        <f>(Table13[[#This Row],[Unit Price]]*Table13[[#This Row],[No.of Units]])*18%</f>
        <v>35092.979999999996</v>
      </c>
      <c r="T156" s="22" t="s">
        <v>1507</v>
      </c>
    </row>
    <row r="157" spans="2:20" x14ac:dyDescent="0.3">
      <c r="B157" s="5" t="s">
        <v>170</v>
      </c>
      <c r="C157" s="1">
        <v>4774074</v>
      </c>
      <c r="D157" s="1">
        <v>30</v>
      </c>
      <c r="E157" s="1" t="s">
        <v>12</v>
      </c>
      <c r="F157" s="16">
        <v>45700</v>
      </c>
      <c r="G157" s="1" t="s">
        <v>1470</v>
      </c>
      <c r="H157" s="1" t="s">
        <v>1471</v>
      </c>
      <c r="I157" s="17" t="s">
        <v>1504</v>
      </c>
      <c r="J157" s="18" t="s">
        <v>21</v>
      </c>
      <c r="K157" s="19" t="s">
        <v>18</v>
      </c>
      <c r="L157" s="19" t="s">
        <v>15</v>
      </c>
      <c r="M157" s="20">
        <v>12</v>
      </c>
      <c r="N157" s="21">
        <v>24900</v>
      </c>
      <c r="O157" s="22">
        <v>5</v>
      </c>
      <c r="P157" s="23">
        <v>283860</v>
      </c>
      <c r="Q157" s="22">
        <v>4.8</v>
      </c>
      <c r="R157" s="22">
        <v>20</v>
      </c>
      <c r="S157" s="23">
        <f>(Table13[[#This Row],[Unit Price]]*Table13[[#This Row],[No.of Units]])*18%</f>
        <v>53784</v>
      </c>
      <c r="T157" s="22" t="s">
        <v>1508</v>
      </c>
    </row>
    <row r="158" spans="2:20" x14ac:dyDescent="0.3">
      <c r="B158" s="5" t="s">
        <v>171</v>
      </c>
      <c r="C158" s="1">
        <v>4236224</v>
      </c>
      <c r="D158" s="1">
        <v>46</v>
      </c>
      <c r="E158" s="1" t="s">
        <v>12</v>
      </c>
      <c r="F158" s="16">
        <v>45700</v>
      </c>
      <c r="G158" s="1" t="s">
        <v>1470</v>
      </c>
      <c r="H158" s="1" t="s">
        <v>1471</v>
      </c>
      <c r="I158" s="17" t="s">
        <v>1505</v>
      </c>
      <c r="J158" s="18" t="s">
        <v>23</v>
      </c>
      <c r="K158" s="19" t="s">
        <v>14</v>
      </c>
      <c r="L158" s="19" t="s">
        <v>15</v>
      </c>
      <c r="M158" s="20">
        <v>4</v>
      </c>
      <c r="N158" s="21">
        <v>84999</v>
      </c>
      <c r="O158" s="22">
        <v>12</v>
      </c>
      <c r="P158" s="23">
        <v>299196.48</v>
      </c>
      <c r="Q158" s="22">
        <v>4.5</v>
      </c>
      <c r="R158" s="22">
        <v>20</v>
      </c>
      <c r="S158" s="23">
        <f>(Table13[[#This Row],[Unit Price]]*Table13[[#This Row],[No.of Units]])*18%</f>
        <v>61199.28</v>
      </c>
      <c r="T158" s="22" t="s">
        <v>1508</v>
      </c>
    </row>
    <row r="159" spans="2:20" x14ac:dyDescent="0.3">
      <c r="B159" s="5" t="s">
        <v>172</v>
      </c>
      <c r="C159" s="1">
        <v>9698056</v>
      </c>
      <c r="D159" s="1">
        <v>27</v>
      </c>
      <c r="E159" s="1" t="s">
        <v>12</v>
      </c>
      <c r="F159" s="16">
        <v>45700</v>
      </c>
      <c r="G159" s="1" t="s">
        <v>1470</v>
      </c>
      <c r="H159" s="1" t="s">
        <v>1482</v>
      </c>
      <c r="I159" s="17" t="s">
        <v>1504</v>
      </c>
      <c r="J159" s="18" t="s">
        <v>25</v>
      </c>
      <c r="K159" s="19" t="s">
        <v>26</v>
      </c>
      <c r="L159" s="19" t="s">
        <v>15</v>
      </c>
      <c r="M159" s="20">
        <v>5</v>
      </c>
      <c r="N159" s="21">
        <v>69999</v>
      </c>
      <c r="O159" s="22">
        <v>8</v>
      </c>
      <c r="P159" s="23">
        <v>321995.40000000002</v>
      </c>
      <c r="Q159" s="22">
        <v>4.8</v>
      </c>
      <c r="R159" s="22">
        <v>20</v>
      </c>
      <c r="S159" s="23">
        <f>(Table13[[#This Row],[Unit Price]]*Table13[[#This Row],[No.of Units]])*18%</f>
        <v>62999.1</v>
      </c>
      <c r="T159" s="22" t="s">
        <v>1508</v>
      </c>
    </row>
    <row r="160" spans="2:20" x14ac:dyDescent="0.3">
      <c r="B160" s="5" t="s">
        <v>173</v>
      </c>
      <c r="C160" s="1">
        <v>1092399</v>
      </c>
      <c r="D160" s="1">
        <v>46</v>
      </c>
      <c r="E160" s="1" t="s">
        <v>12</v>
      </c>
      <c r="F160" s="16">
        <v>45700</v>
      </c>
      <c r="G160" s="1" t="s">
        <v>1475</v>
      </c>
      <c r="H160" s="1" t="s">
        <v>1471</v>
      </c>
      <c r="I160" s="17" t="s">
        <v>1503</v>
      </c>
      <c r="J160" s="18" t="s">
        <v>28</v>
      </c>
      <c r="K160" s="19" t="s">
        <v>26</v>
      </c>
      <c r="L160" s="19" t="s">
        <v>15</v>
      </c>
      <c r="M160" s="20">
        <v>10</v>
      </c>
      <c r="N160" s="21">
        <v>42999</v>
      </c>
      <c r="O160" s="22">
        <v>15</v>
      </c>
      <c r="P160" s="23">
        <v>365491.5</v>
      </c>
      <c r="Q160" s="22">
        <v>4.5999999999999996</v>
      </c>
      <c r="R160" s="22">
        <v>20</v>
      </c>
      <c r="S160" s="23">
        <f>(Table13[[#This Row],[Unit Price]]*Table13[[#This Row],[No.of Units]])*18%</f>
        <v>77398.2</v>
      </c>
      <c r="T160" s="22" t="s">
        <v>1508</v>
      </c>
    </row>
    <row r="161" spans="2:20" x14ac:dyDescent="0.3">
      <c r="B161" s="5" t="s">
        <v>174</v>
      </c>
      <c r="C161" s="1">
        <v>1867708</v>
      </c>
      <c r="D161" s="1">
        <v>20</v>
      </c>
      <c r="E161" s="1" t="s">
        <v>12</v>
      </c>
      <c r="F161" s="16">
        <v>45700</v>
      </c>
      <c r="G161" s="1" t="s">
        <v>1470</v>
      </c>
      <c r="H161" s="1" t="s">
        <v>1471</v>
      </c>
      <c r="I161" s="17" t="s">
        <v>1502</v>
      </c>
      <c r="J161" s="18" t="s">
        <v>13</v>
      </c>
      <c r="K161" s="19" t="s">
        <v>14</v>
      </c>
      <c r="L161" s="19" t="s">
        <v>29</v>
      </c>
      <c r="M161" s="20">
        <v>4</v>
      </c>
      <c r="N161" s="21">
        <v>99999</v>
      </c>
      <c r="O161" s="22">
        <v>10</v>
      </c>
      <c r="P161" s="23">
        <v>359996.4</v>
      </c>
      <c r="Q161" s="22">
        <v>4.7</v>
      </c>
      <c r="R161" s="22">
        <v>20</v>
      </c>
      <c r="S161" s="23">
        <f>(Table13[[#This Row],[Unit Price]]*Table13[[#This Row],[No.of Units]])*18%</f>
        <v>71999.28</v>
      </c>
      <c r="T161" s="22" t="s">
        <v>1507</v>
      </c>
    </row>
    <row r="162" spans="2:20" x14ac:dyDescent="0.3">
      <c r="B162" s="5" t="s">
        <v>175</v>
      </c>
      <c r="C162" s="1">
        <v>7163849</v>
      </c>
      <c r="D162" s="1">
        <v>26</v>
      </c>
      <c r="E162" s="1" t="s">
        <v>12</v>
      </c>
      <c r="F162" s="16">
        <v>45700</v>
      </c>
      <c r="G162" s="1" t="s">
        <v>1475</v>
      </c>
      <c r="H162" s="1" t="s">
        <v>1482</v>
      </c>
      <c r="I162" s="17" t="s">
        <v>1503</v>
      </c>
      <c r="J162" s="18" t="s">
        <v>17</v>
      </c>
      <c r="K162" s="19" t="s">
        <v>18</v>
      </c>
      <c r="L162" s="19" t="s">
        <v>29</v>
      </c>
      <c r="M162" s="20">
        <v>62</v>
      </c>
      <c r="N162" s="21">
        <v>4999</v>
      </c>
      <c r="O162" s="22">
        <v>18</v>
      </c>
      <c r="P162" s="23">
        <v>254149.16</v>
      </c>
      <c r="Q162" s="22">
        <v>4.4000000000000004</v>
      </c>
      <c r="R162" s="22">
        <v>20</v>
      </c>
      <c r="S162" s="23">
        <f>(Table13[[#This Row],[Unit Price]]*Table13[[#This Row],[No.of Units]])*18%</f>
        <v>55788.84</v>
      </c>
      <c r="T162" s="22" t="s">
        <v>1508</v>
      </c>
    </row>
    <row r="163" spans="2:20" x14ac:dyDescent="0.3">
      <c r="B163" s="5" t="s">
        <v>176</v>
      </c>
      <c r="C163" s="1">
        <v>7372776</v>
      </c>
      <c r="D163" s="1">
        <v>49</v>
      </c>
      <c r="E163" s="1" t="s">
        <v>12</v>
      </c>
      <c r="F163" s="16">
        <v>45700</v>
      </c>
      <c r="G163" s="1" t="s">
        <v>1470</v>
      </c>
      <c r="H163" s="1" t="s">
        <v>1482</v>
      </c>
      <c r="I163" s="17" t="s">
        <v>1504</v>
      </c>
      <c r="J163" s="18" t="s">
        <v>21</v>
      </c>
      <c r="K163" s="19" t="s">
        <v>18</v>
      </c>
      <c r="L163" s="19" t="s">
        <v>29</v>
      </c>
      <c r="M163" s="20">
        <v>15</v>
      </c>
      <c r="N163" s="21">
        <v>24900</v>
      </c>
      <c r="O163" s="22">
        <v>5</v>
      </c>
      <c r="P163" s="23">
        <v>354825</v>
      </c>
      <c r="Q163" s="22">
        <v>4.8</v>
      </c>
      <c r="R163" s="22">
        <v>20</v>
      </c>
      <c r="S163" s="23">
        <f>(Table13[[#This Row],[Unit Price]]*Table13[[#This Row],[No.of Units]])*18%</f>
        <v>67230</v>
      </c>
      <c r="T163" s="22" t="s">
        <v>1508</v>
      </c>
    </row>
    <row r="164" spans="2:20" x14ac:dyDescent="0.3">
      <c r="B164" s="5" t="s">
        <v>177</v>
      </c>
      <c r="C164" s="1">
        <v>7757271</v>
      </c>
      <c r="D164" s="1">
        <v>32</v>
      </c>
      <c r="E164" s="1" t="s">
        <v>12</v>
      </c>
      <c r="F164" s="16">
        <v>45700</v>
      </c>
      <c r="G164" s="1" t="s">
        <v>1470</v>
      </c>
      <c r="H164" s="1" t="s">
        <v>1482</v>
      </c>
      <c r="I164" s="17" t="s">
        <v>1505</v>
      </c>
      <c r="J164" s="18" t="s">
        <v>23</v>
      </c>
      <c r="K164" s="19" t="s">
        <v>14</v>
      </c>
      <c r="L164" s="19" t="s">
        <v>29</v>
      </c>
      <c r="M164" s="20">
        <v>5</v>
      </c>
      <c r="N164" s="21">
        <v>84999</v>
      </c>
      <c r="O164" s="22">
        <v>12</v>
      </c>
      <c r="P164" s="23">
        <v>373995.6</v>
      </c>
      <c r="Q164" s="22">
        <v>4.5</v>
      </c>
      <c r="R164" s="22">
        <v>20</v>
      </c>
      <c r="S164" s="23">
        <f>(Table13[[#This Row],[Unit Price]]*Table13[[#This Row],[No.of Units]])*18%</f>
        <v>76499.099999999991</v>
      </c>
      <c r="T164" s="22" t="s">
        <v>1508</v>
      </c>
    </row>
    <row r="165" spans="2:20" x14ac:dyDescent="0.3">
      <c r="B165" s="5" t="s">
        <v>178</v>
      </c>
      <c r="C165" s="1">
        <v>6304030</v>
      </c>
      <c r="D165" s="1">
        <v>34</v>
      </c>
      <c r="E165" s="1" t="s">
        <v>12</v>
      </c>
      <c r="F165" s="16">
        <v>45700</v>
      </c>
      <c r="G165" s="1" t="s">
        <v>1470</v>
      </c>
      <c r="H165" s="1" t="s">
        <v>1482</v>
      </c>
      <c r="I165" s="17" t="s">
        <v>1504</v>
      </c>
      <c r="J165" s="18" t="s">
        <v>25</v>
      </c>
      <c r="K165" s="19" t="s">
        <v>26</v>
      </c>
      <c r="L165" s="19" t="s">
        <v>29</v>
      </c>
      <c r="M165" s="20">
        <v>5</v>
      </c>
      <c r="N165" s="21">
        <v>69999</v>
      </c>
      <c r="O165" s="22">
        <v>8</v>
      </c>
      <c r="P165" s="23">
        <v>321995.40000000002</v>
      </c>
      <c r="Q165" s="22">
        <v>4.8</v>
      </c>
      <c r="R165" s="22">
        <v>20</v>
      </c>
      <c r="S165" s="23">
        <f>(Table13[[#This Row],[Unit Price]]*Table13[[#This Row],[No.of Units]])*18%</f>
        <v>62999.1</v>
      </c>
      <c r="T165" s="22" t="s">
        <v>1508</v>
      </c>
    </row>
    <row r="166" spans="2:20" x14ac:dyDescent="0.3">
      <c r="B166" s="5" t="s">
        <v>178</v>
      </c>
      <c r="C166" s="1">
        <v>6304030</v>
      </c>
      <c r="D166" s="1">
        <v>28</v>
      </c>
      <c r="E166" s="1" t="s">
        <v>12</v>
      </c>
      <c r="F166" s="16">
        <v>45700</v>
      </c>
      <c r="G166" s="1" t="s">
        <v>1470</v>
      </c>
      <c r="H166" s="1" t="s">
        <v>1472</v>
      </c>
      <c r="I166" s="17" t="s">
        <v>1503</v>
      </c>
      <c r="J166" s="18" t="s">
        <v>28</v>
      </c>
      <c r="K166" s="19" t="s">
        <v>26</v>
      </c>
      <c r="L166" s="19" t="s">
        <v>29</v>
      </c>
      <c r="M166" s="20">
        <v>11</v>
      </c>
      <c r="N166" s="21">
        <v>42999</v>
      </c>
      <c r="O166" s="22">
        <v>15</v>
      </c>
      <c r="P166" s="23">
        <v>402040.65</v>
      </c>
      <c r="Q166" s="22">
        <v>4.5999999999999996</v>
      </c>
      <c r="R166" s="22">
        <v>20</v>
      </c>
      <c r="S166" s="23">
        <f>(Table13[[#This Row],[Unit Price]]*Table13[[#This Row],[No.of Units]])*18%</f>
        <v>85138.02</v>
      </c>
      <c r="T166" s="22" t="s">
        <v>1507</v>
      </c>
    </row>
    <row r="167" spans="2:20" x14ac:dyDescent="0.3">
      <c r="B167" s="5" t="s">
        <v>179</v>
      </c>
      <c r="C167" s="1">
        <v>7790665</v>
      </c>
      <c r="D167" s="1">
        <v>36</v>
      </c>
      <c r="E167" s="1" t="s">
        <v>12</v>
      </c>
      <c r="F167" s="16">
        <v>45700</v>
      </c>
      <c r="G167" s="1" t="s">
        <v>1470</v>
      </c>
      <c r="H167" s="1" t="s">
        <v>1483</v>
      </c>
      <c r="I167" s="17" t="s">
        <v>1502</v>
      </c>
      <c r="J167" s="18" t="s">
        <v>13</v>
      </c>
      <c r="K167" s="19" t="s">
        <v>14</v>
      </c>
      <c r="L167" s="19" t="s">
        <v>35</v>
      </c>
      <c r="M167" s="20">
        <v>2</v>
      </c>
      <c r="N167" s="21">
        <v>99999</v>
      </c>
      <c r="O167" s="22">
        <v>10</v>
      </c>
      <c r="P167" s="23">
        <v>179998.2</v>
      </c>
      <c r="Q167" s="22">
        <v>4.7</v>
      </c>
      <c r="R167" s="22">
        <v>20</v>
      </c>
      <c r="S167" s="23">
        <f>(Table13[[#This Row],[Unit Price]]*Table13[[#This Row],[No.of Units]])*18%</f>
        <v>35999.64</v>
      </c>
      <c r="T167" s="22" t="s">
        <v>1507</v>
      </c>
    </row>
    <row r="168" spans="2:20" x14ac:dyDescent="0.3">
      <c r="B168" s="5" t="s">
        <v>180</v>
      </c>
      <c r="C168" s="1">
        <v>5595686</v>
      </c>
      <c r="D168" s="1">
        <v>73</v>
      </c>
      <c r="E168" s="1" t="s">
        <v>20</v>
      </c>
      <c r="F168" s="16">
        <v>45700</v>
      </c>
      <c r="G168" s="1" t="s">
        <v>1470</v>
      </c>
      <c r="H168" s="1" t="s">
        <v>1483</v>
      </c>
      <c r="I168" s="17" t="s">
        <v>1503</v>
      </c>
      <c r="J168" s="18" t="s">
        <v>17</v>
      </c>
      <c r="K168" s="19" t="s">
        <v>18</v>
      </c>
      <c r="L168" s="19" t="s">
        <v>35</v>
      </c>
      <c r="M168" s="20">
        <v>35</v>
      </c>
      <c r="N168" s="21">
        <v>4999</v>
      </c>
      <c r="O168" s="22">
        <v>18</v>
      </c>
      <c r="P168" s="23">
        <v>143471.29999999999</v>
      </c>
      <c r="Q168" s="22">
        <v>4.4000000000000004</v>
      </c>
      <c r="R168" s="22">
        <v>20</v>
      </c>
      <c r="S168" s="23">
        <f>(Table13[[#This Row],[Unit Price]]*Table13[[#This Row],[No.of Units]])*18%</f>
        <v>31493.699999999997</v>
      </c>
      <c r="T168" s="22" t="s">
        <v>1508</v>
      </c>
    </row>
    <row r="169" spans="2:20" x14ac:dyDescent="0.3">
      <c r="B169" s="5" t="s">
        <v>181</v>
      </c>
      <c r="C169" s="1">
        <v>8251665</v>
      </c>
      <c r="D169" s="1">
        <v>56</v>
      </c>
      <c r="E169" s="1" t="s">
        <v>20</v>
      </c>
      <c r="F169" s="16">
        <v>45700</v>
      </c>
      <c r="G169" s="1" t="s">
        <v>1470</v>
      </c>
      <c r="H169" s="1" t="s">
        <v>1472</v>
      </c>
      <c r="I169" s="17" t="s">
        <v>1504</v>
      </c>
      <c r="J169" s="18" t="s">
        <v>21</v>
      </c>
      <c r="K169" s="19" t="s">
        <v>18</v>
      </c>
      <c r="L169" s="19" t="s">
        <v>35</v>
      </c>
      <c r="M169" s="20">
        <v>5</v>
      </c>
      <c r="N169" s="21">
        <v>24900</v>
      </c>
      <c r="O169" s="22">
        <v>5</v>
      </c>
      <c r="P169" s="23">
        <v>118275</v>
      </c>
      <c r="Q169" s="22">
        <v>4.8</v>
      </c>
      <c r="R169" s="22">
        <v>20</v>
      </c>
      <c r="S169" s="23">
        <f>(Table13[[#This Row],[Unit Price]]*Table13[[#This Row],[No.of Units]])*18%</f>
        <v>22410</v>
      </c>
      <c r="T169" s="22" t="s">
        <v>1508</v>
      </c>
    </row>
    <row r="170" spans="2:20" x14ac:dyDescent="0.3">
      <c r="B170" s="5" t="s">
        <v>182</v>
      </c>
      <c r="C170" s="1">
        <v>7054852</v>
      </c>
      <c r="D170" s="1">
        <v>73</v>
      </c>
      <c r="E170" s="1" t="s">
        <v>20</v>
      </c>
      <c r="F170" s="16">
        <v>45700</v>
      </c>
      <c r="G170" s="1" t="s">
        <v>1470</v>
      </c>
      <c r="H170" s="1" t="s">
        <v>1480</v>
      </c>
      <c r="I170" s="17" t="s">
        <v>1505</v>
      </c>
      <c r="J170" s="18" t="s">
        <v>23</v>
      </c>
      <c r="K170" s="19" t="s">
        <v>14</v>
      </c>
      <c r="L170" s="19" t="s">
        <v>35</v>
      </c>
      <c r="M170" s="20">
        <v>2</v>
      </c>
      <c r="N170" s="21">
        <v>84999</v>
      </c>
      <c r="O170" s="22">
        <v>12</v>
      </c>
      <c r="P170" s="23">
        <v>149598.24</v>
      </c>
      <c r="Q170" s="22">
        <v>4.5</v>
      </c>
      <c r="R170" s="22">
        <v>20</v>
      </c>
      <c r="S170" s="23">
        <f>(Table13[[#This Row],[Unit Price]]*Table13[[#This Row],[No.of Units]])*18%</f>
        <v>30599.64</v>
      </c>
      <c r="T170" s="22" t="s">
        <v>1508</v>
      </c>
    </row>
    <row r="171" spans="2:20" x14ac:dyDescent="0.3">
      <c r="B171" s="5" t="s">
        <v>183</v>
      </c>
      <c r="C171" s="1">
        <v>1132538</v>
      </c>
      <c r="D171" s="1">
        <v>18</v>
      </c>
      <c r="E171" s="1" t="s">
        <v>34</v>
      </c>
      <c r="F171" s="16">
        <v>45700</v>
      </c>
      <c r="G171" s="1" t="s">
        <v>1470</v>
      </c>
      <c r="H171" s="1" t="s">
        <v>1471</v>
      </c>
      <c r="I171" s="17" t="s">
        <v>1504</v>
      </c>
      <c r="J171" s="18" t="s">
        <v>25</v>
      </c>
      <c r="K171" s="19" t="s">
        <v>26</v>
      </c>
      <c r="L171" s="19" t="s">
        <v>35</v>
      </c>
      <c r="M171" s="20">
        <v>2</v>
      </c>
      <c r="N171" s="21">
        <v>69999</v>
      </c>
      <c r="O171" s="22">
        <v>8</v>
      </c>
      <c r="P171" s="23">
        <v>128798.16</v>
      </c>
      <c r="Q171" s="22">
        <v>4.8</v>
      </c>
      <c r="R171" s="22">
        <v>20</v>
      </c>
      <c r="S171" s="23">
        <f>(Table13[[#This Row],[Unit Price]]*Table13[[#This Row],[No.of Units]])*18%</f>
        <v>25199.64</v>
      </c>
      <c r="T171" s="22" t="s">
        <v>1508</v>
      </c>
    </row>
    <row r="172" spans="2:20" x14ac:dyDescent="0.3">
      <c r="B172" s="5" t="s">
        <v>184</v>
      </c>
      <c r="C172" s="1">
        <v>2642921</v>
      </c>
      <c r="D172" s="1">
        <v>48</v>
      </c>
      <c r="E172" s="1" t="s">
        <v>12</v>
      </c>
      <c r="F172" s="16">
        <v>45700</v>
      </c>
      <c r="G172" s="1" t="s">
        <v>1470</v>
      </c>
      <c r="H172" s="1" t="s">
        <v>1483</v>
      </c>
      <c r="I172" s="17" t="s">
        <v>1503</v>
      </c>
      <c r="J172" s="18" t="s">
        <v>28</v>
      </c>
      <c r="K172" s="19" t="s">
        <v>26</v>
      </c>
      <c r="L172" s="19" t="s">
        <v>35</v>
      </c>
      <c r="M172" s="20">
        <v>5</v>
      </c>
      <c r="N172" s="21">
        <v>42999</v>
      </c>
      <c r="O172" s="22">
        <v>15</v>
      </c>
      <c r="P172" s="23">
        <v>182745.75</v>
      </c>
      <c r="Q172" s="22">
        <v>4.5999999999999996</v>
      </c>
      <c r="R172" s="22">
        <v>20</v>
      </c>
      <c r="S172" s="23">
        <f>(Table13[[#This Row],[Unit Price]]*Table13[[#This Row],[No.of Units]])*18%</f>
        <v>38699.1</v>
      </c>
      <c r="T172" s="22" t="s">
        <v>1508</v>
      </c>
    </row>
    <row r="173" spans="2:20" x14ac:dyDescent="0.3">
      <c r="B173" s="5" t="s">
        <v>185</v>
      </c>
      <c r="C173" s="1">
        <v>6293095</v>
      </c>
      <c r="D173" s="1">
        <v>28</v>
      </c>
      <c r="E173" s="1" t="s">
        <v>12</v>
      </c>
      <c r="F173" s="16">
        <v>45700</v>
      </c>
      <c r="G173" s="1" t="s">
        <v>1470</v>
      </c>
      <c r="H173" s="1" t="s">
        <v>1471</v>
      </c>
      <c r="I173" s="17" t="s">
        <v>1502</v>
      </c>
      <c r="J173" s="18" t="s">
        <v>13</v>
      </c>
      <c r="K173" s="19" t="s">
        <v>14</v>
      </c>
      <c r="L173" s="19" t="s">
        <v>42</v>
      </c>
      <c r="M173" s="20">
        <v>4</v>
      </c>
      <c r="N173" s="21">
        <v>99999</v>
      </c>
      <c r="O173" s="22">
        <v>10</v>
      </c>
      <c r="P173" s="23">
        <v>359996.4</v>
      </c>
      <c r="Q173" s="22">
        <v>4.7</v>
      </c>
      <c r="R173" s="22">
        <v>20</v>
      </c>
      <c r="S173" s="23">
        <f>(Table13[[#This Row],[Unit Price]]*Table13[[#This Row],[No.of Units]])*18%</f>
        <v>71999.28</v>
      </c>
      <c r="T173" s="22" t="s">
        <v>1508</v>
      </c>
    </row>
    <row r="174" spans="2:20" x14ac:dyDescent="0.3">
      <c r="B174" s="5" t="s">
        <v>186</v>
      </c>
      <c r="C174" s="1">
        <v>2438137</v>
      </c>
      <c r="D174" s="1">
        <v>74</v>
      </c>
      <c r="E174" s="1" t="s">
        <v>20</v>
      </c>
      <c r="F174" s="16">
        <v>45700</v>
      </c>
      <c r="G174" s="1" t="s">
        <v>1470</v>
      </c>
      <c r="H174" s="1" t="s">
        <v>1483</v>
      </c>
      <c r="I174" s="17" t="s">
        <v>1503</v>
      </c>
      <c r="J174" s="18" t="s">
        <v>17</v>
      </c>
      <c r="K174" s="19" t="s">
        <v>18</v>
      </c>
      <c r="L174" s="19" t="s">
        <v>42</v>
      </c>
      <c r="M174" s="20">
        <v>55</v>
      </c>
      <c r="N174" s="21">
        <v>4999</v>
      </c>
      <c r="O174" s="22">
        <v>18</v>
      </c>
      <c r="P174" s="23">
        <v>225454.9</v>
      </c>
      <c r="Q174" s="22">
        <v>4.4000000000000004</v>
      </c>
      <c r="R174" s="22">
        <v>20</v>
      </c>
      <c r="S174" s="23">
        <f>(Table13[[#This Row],[Unit Price]]*Table13[[#This Row],[No.of Units]])*18%</f>
        <v>49490.1</v>
      </c>
      <c r="T174" s="22" t="s">
        <v>1507</v>
      </c>
    </row>
    <row r="175" spans="2:20" x14ac:dyDescent="0.3">
      <c r="B175" s="5" t="s">
        <v>187</v>
      </c>
      <c r="C175" s="1">
        <v>6539984</v>
      </c>
      <c r="D175" s="1">
        <v>40</v>
      </c>
      <c r="E175" s="1" t="s">
        <v>12</v>
      </c>
      <c r="F175" s="16">
        <v>45700</v>
      </c>
      <c r="G175" s="1" t="s">
        <v>1470</v>
      </c>
      <c r="H175" s="1" t="s">
        <v>1472</v>
      </c>
      <c r="I175" s="17" t="s">
        <v>1504</v>
      </c>
      <c r="J175" s="18" t="s">
        <v>21</v>
      </c>
      <c r="K175" s="19" t="s">
        <v>18</v>
      </c>
      <c r="L175" s="19" t="s">
        <v>42</v>
      </c>
      <c r="M175" s="20">
        <v>14</v>
      </c>
      <c r="N175" s="21">
        <v>24900</v>
      </c>
      <c r="O175" s="22">
        <v>5</v>
      </c>
      <c r="P175" s="23">
        <v>331170</v>
      </c>
      <c r="Q175" s="22">
        <v>4.8</v>
      </c>
      <c r="R175" s="22">
        <v>20</v>
      </c>
      <c r="S175" s="23">
        <f>(Table13[[#This Row],[Unit Price]]*Table13[[#This Row],[No.of Units]])*18%</f>
        <v>62748</v>
      </c>
      <c r="T175" s="22" t="s">
        <v>1508</v>
      </c>
    </row>
    <row r="176" spans="2:20" x14ac:dyDescent="0.3">
      <c r="B176" s="5" t="s">
        <v>188</v>
      </c>
      <c r="C176" s="1">
        <v>4740407</v>
      </c>
      <c r="D176" s="1">
        <v>71</v>
      </c>
      <c r="E176" s="1" t="s">
        <v>20</v>
      </c>
      <c r="F176" s="16">
        <v>45700</v>
      </c>
      <c r="G176" s="1" t="s">
        <v>1470</v>
      </c>
      <c r="H176" s="1" t="s">
        <v>1482</v>
      </c>
      <c r="I176" s="17" t="s">
        <v>1505</v>
      </c>
      <c r="J176" s="18" t="s">
        <v>23</v>
      </c>
      <c r="K176" s="19" t="s">
        <v>14</v>
      </c>
      <c r="L176" s="19" t="s">
        <v>42</v>
      </c>
      <c r="M176" s="20">
        <v>6</v>
      </c>
      <c r="N176" s="21">
        <v>84999</v>
      </c>
      <c r="O176" s="22">
        <v>12</v>
      </c>
      <c r="P176" s="23">
        <v>448794.72</v>
      </c>
      <c r="Q176" s="22">
        <v>4.5</v>
      </c>
      <c r="R176" s="22">
        <v>20</v>
      </c>
      <c r="S176" s="23">
        <f>(Table13[[#This Row],[Unit Price]]*Table13[[#This Row],[No.of Units]])*18%</f>
        <v>91798.92</v>
      </c>
      <c r="T176" s="22" t="s">
        <v>1508</v>
      </c>
    </row>
    <row r="177" spans="2:20" x14ac:dyDescent="0.3">
      <c r="B177" s="5" t="s">
        <v>189</v>
      </c>
      <c r="C177" s="1">
        <v>9159866</v>
      </c>
      <c r="D177" s="1">
        <v>22</v>
      </c>
      <c r="E177" s="1" t="s">
        <v>12</v>
      </c>
      <c r="F177" s="16">
        <v>45700</v>
      </c>
      <c r="G177" s="1" t="s">
        <v>1470</v>
      </c>
      <c r="H177" s="1" t="s">
        <v>1482</v>
      </c>
      <c r="I177" s="17" t="s">
        <v>1504</v>
      </c>
      <c r="J177" s="18" t="s">
        <v>25</v>
      </c>
      <c r="K177" s="19" t="s">
        <v>26</v>
      </c>
      <c r="L177" s="19" t="s">
        <v>42</v>
      </c>
      <c r="M177" s="20">
        <v>5</v>
      </c>
      <c r="N177" s="21">
        <v>69999</v>
      </c>
      <c r="O177" s="22">
        <v>8</v>
      </c>
      <c r="P177" s="23">
        <v>321995.40000000002</v>
      </c>
      <c r="Q177" s="22">
        <v>4.8</v>
      </c>
      <c r="R177" s="22">
        <v>20</v>
      </c>
      <c r="S177" s="23">
        <f>(Table13[[#This Row],[Unit Price]]*Table13[[#This Row],[No.of Units]])*18%</f>
        <v>62999.1</v>
      </c>
      <c r="T177" s="22" t="s">
        <v>1507</v>
      </c>
    </row>
    <row r="178" spans="2:20" x14ac:dyDescent="0.3">
      <c r="B178" s="5" t="s">
        <v>190</v>
      </c>
      <c r="C178" s="1">
        <v>1619866</v>
      </c>
      <c r="D178" s="1">
        <v>18</v>
      </c>
      <c r="E178" s="1" t="s">
        <v>34</v>
      </c>
      <c r="F178" s="16">
        <v>45700</v>
      </c>
      <c r="G178" s="1" t="s">
        <v>1474</v>
      </c>
      <c r="H178" s="1" t="s">
        <v>1482</v>
      </c>
      <c r="I178" s="17" t="s">
        <v>1503</v>
      </c>
      <c r="J178" s="18" t="s">
        <v>28</v>
      </c>
      <c r="K178" s="19" t="s">
        <v>26</v>
      </c>
      <c r="L178" s="19" t="s">
        <v>42</v>
      </c>
      <c r="M178" s="20">
        <v>8</v>
      </c>
      <c r="N178" s="21">
        <v>42999</v>
      </c>
      <c r="O178" s="22">
        <v>15</v>
      </c>
      <c r="P178" s="23">
        <v>292393.2</v>
      </c>
      <c r="Q178" s="22">
        <v>4.5999999999999996</v>
      </c>
      <c r="R178" s="22">
        <v>20</v>
      </c>
      <c r="S178" s="23">
        <f>(Table13[[#This Row],[Unit Price]]*Table13[[#This Row],[No.of Units]])*18%</f>
        <v>61918.559999999998</v>
      </c>
      <c r="T178" s="22" t="s">
        <v>1508</v>
      </c>
    </row>
    <row r="179" spans="2:20" x14ac:dyDescent="0.3">
      <c r="B179" s="5" t="s">
        <v>191</v>
      </c>
      <c r="C179" s="1">
        <v>6502399</v>
      </c>
      <c r="D179" s="1">
        <v>48</v>
      </c>
      <c r="E179" s="1" t="s">
        <v>12</v>
      </c>
      <c r="F179" s="16">
        <v>45700</v>
      </c>
      <c r="G179" s="1" t="s">
        <v>1470</v>
      </c>
      <c r="H179" s="1" t="s">
        <v>1482</v>
      </c>
      <c r="I179" s="17" t="s">
        <v>1502</v>
      </c>
      <c r="J179" s="18" t="s">
        <v>13</v>
      </c>
      <c r="K179" s="19" t="s">
        <v>14</v>
      </c>
      <c r="L179" s="19" t="s">
        <v>49</v>
      </c>
      <c r="M179" s="20">
        <v>5</v>
      </c>
      <c r="N179" s="21">
        <v>99999</v>
      </c>
      <c r="O179" s="22">
        <v>10</v>
      </c>
      <c r="P179" s="23">
        <v>449995.5</v>
      </c>
      <c r="Q179" s="22">
        <v>4.7</v>
      </c>
      <c r="R179" s="22">
        <v>20</v>
      </c>
      <c r="S179" s="23">
        <f>(Table13[[#This Row],[Unit Price]]*Table13[[#This Row],[No.of Units]])*18%</f>
        <v>89999.099999999991</v>
      </c>
      <c r="T179" s="22" t="s">
        <v>1507</v>
      </c>
    </row>
    <row r="180" spans="2:20" x14ac:dyDescent="0.3">
      <c r="B180" s="5" t="s">
        <v>192</v>
      </c>
      <c r="C180" s="1">
        <v>7238770</v>
      </c>
      <c r="D180" s="1">
        <v>24</v>
      </c>
      <c r="E180" s="1" t="s">
        <v>12</v>
      </c>
      <c r="F180" s="16">
        <v>45700</v>
      </c>
      <c r="G180" s="1" t="s">
        <v>1470</v>
      </c>
      <c r="H180" s="1" t="s">
        <v>1481</v>
      </c>
      <c r="I180" s="17" t="s">
        <v>1503</v>
      </c>
      <c r="J180" s="18" t="s">
        <v>17</v>
      </c>
      <c r="K180" s="19" t="s">
        <v>18</v>
      </c>
      <c r="L180" s="19" t="s">
        <v>49</v>
      </c>
      <c r="M180" s="20">
        <v>31</v>
      </c>
      <c r="N180" s="21">
        <v>4999</v>
      </c>
      <c r="O180" s="22">
        <v>18</v>
      </c>
      <c r="P180" s="23">
        <v>127074.58</v>
      </c>
      <c r="Q180" s="22">
        <v>4.4000000000000004</v>
      </c>
      <c r="R180" s="22">
        <v>20</v>
      </c>
      <c r="S180" s="23">
        <f>(Table13[[#This Row],[Unit Price]]*Table13[[#This Row],[No.of Units]])*18%</f>
        <v>27894.42</v>
      </c>
      <c r="T180" s="22" t="s">
        <v>1508</v>
      </c>
    </row>
    <row r="181" spans="2:20" x14ac:dyDescent="0.3">
      <c r="B181" s="5" t="s">
        <v>193</v>
      </c>
      <c r="C181" s="1">
        <v>1376871</v>
      </c>
      <c r="D181" s="1">
        <v>41</v>
      </c>
      <c r="E181" s="1" t="s">
        <v>12</v>
      </c>
      <c r="F181" s="16">
        <v>45700</v>
      </c>
      <c r="G181" s="1" t="s">
        <v>1470</v>
      </c>
      <c r="H181" s="1" t="s">
        <v>1483</v>
      </c>
      <c r="I181" s="17" t="s">
        <v>1504</v>
      </c>
      <c r="J181" s="18" t="s">
        <v>21</v>
      </c>
      <c r="K181" s="19" t="s">
        <v>18</v>
      </c>
      <c r="L181" s="19" t="s">
        <v>49</v>
      </c>
      <c r="M181" s="20">
        <v>8</v>
      </c>
      <c r="N181" s="21">
        <v>24900</v>
      </c>
      <c r="O181" s="22">
        <v>5</v>
      </c>
      <c r="P181" s="23">
        <v>189240</v>
      </c>
      <c r="Q181" s="22">
        <v>4.8</v>
      </c>
      <c r="R181" s="22">
        <v>20</v>
      </c>
      <c r="S181" s="23">
        <f>(Table13[[#This Row],[Unit Price]]*Table13[[#This Row],[No.of Units]])*18%</f>
        <v>35856</v>
      </c>
      <c r="T181" s="22" t="s">
        <v>1508</v>
      </c>
    </row>
    <row r="182" spans="2:20" x14ac:dyDescent="0.3">
      <c r="B182" s="5" t="s">
        <v>194</v>
      </c>
      <c r="C182" s="1">
        <v>8257154</v>
      </c>
      <c r="D182" s="1">
        <v>53</v>
      </c>
      <c r="E182" s="1" t="s">
        <v>20</v>
      </c>
      <c r="F182" s="16">
        <v>45700</v>
      </c>
      <c r="G182" s="1" t="s">
        <v>1470</v>
      </c>
      <c r="H182" s="1" t="s">
        <v>1482</v>
      </c>
      <c r="I182" s="17" t="s">
        <v>1505</v>
      </c>
      <c r="J182" s="18" t="s">
        <v>23</v>
      </c>
      <c r="K182" s="19" t="s">
        <v>14</v>
      </c>
      <c r="L182" s="19" t="s">
        <v>49</v>
      </c>
      <c r="M182" s="20">
        <v>2</v>
      </c>
      <c r="N182" s="21">
        <v>84999</v>
      </c>
      <c r="O182" s="22">
        <v>12</v>
      </c>
      <c r="P182" s="23">
        <v>149598.24</v>
      </c>
      <c r="Q182" s="22">
        <v>4.5</v>
      </c>
      <c r="R182" s="22">
        <v>20</v>
      </c>
      <c r="S182" s="23">
        <f>(Table13[[#This Row],[Unit Price]]*Table13[[#This Row],[No.of Units]])*18%</f>
        <v>30599.64</v>
      </c>
      <c r="T182" s="22" t="s">
        <v>1508</v>
      </c>
    </row>
    <row r="183" spans="2:20" x14ac:dyDescent="0.3">
      <c r="B183" s="5" t="s">
        <v>195</v>
      </c>
      <c r="C183" s="1">
        <v>4145340</v>
      </c>
      <c r="D183" s="1">
        <v>29</v>
      </c>
      <c r="E183" s="1" t="s">
        <v>12</v>
      </c>
      <c r="F183" s="16">
        <v>45700</v>
      </c>
      <c r="G183" s="1" t="s">
        <v>1470</v>
      </c>
      <c r="H183" s="1" t="s">
        <v>1472</v>
      </c>
      <c r="I183" s="17" t="s">
        <v>1504</v>
      </c>
      <c r="J183" s="18" t="s">
        <v>25</v>
      </c>
      <c r="K183" s="19" t="s">
        <v>26</v>
      </c>
      <c r="L183" s="19" t="s">
        <v>49</v>
      </c>
      <c r="M183" s="20">
        <v>2</v>
      </c>
      <c r="N183" s="21">
        <v>69999</v>
      </c>
      <c r="O183" s="22">
        <v>8</v>
      </c>
      <c r="P183" s="23">
        <v>128798.16</v>
      </c>
      <c r="Q183" s="22">
        <v>4.8</v>
      </c>
      <c r="R183" s="22">
        <v>20</v>
      </c>
      <c r="S183" s="23">
        <f>(Table13[[#This Row],[Unit Price]]*Table13[[#This Row],[No.of Units]])*18%</f>
        <v>25199.64</v>
      </c>
      <c r="T183" s="22" t="s">
        <v>1508</v>
      </c>
    </row>
    <row r="184" spans="2:20" x14ac:dyDescent="0.3">
      <c r="B184" s="5" t="s">
        <v>196</v>
      </c>
      <c r="C184" s="1">
        <v>9073647</v>
      </c>
      <c r="D184" s="1">
        <v>37</v>
      </c>
      <c r="E184" s="1" t="s">
        <v>12</v>
      </c>
      <c r="F184" s="16">
        <v>45700</v>
      </c>
      <c r="G184" s="1" t="s">
        <v>1470</v>
      </c>
      <c r="H184" s="1" t="s">
        <v>1471</v>
      </c>
      <c r="I184" s="17" t="s">
        <v>1503</v>
      </c>
      <c r="J184" s="18" t="s">
        <v>28</v>
      </c>
      <c r="K184" s="19" t="s">
        <v>26</v>
      </c>
      <c r="L184" s="19" t="s">
        <v>49</v>
      </c>
      <c r="M184" s="20">
        <v>5</v>
      </c>
      <c r="N184" s="21">
        <v>42999</v>
      </c>
      <c r="O184" s="22">
        <v>15</v>
      </c>
      <c r="P184" s="23">
        <v>182745.75</v>
      </c>
      <c r="Q184" s="22">
        <v>4.5999999999999996</v>
      </c>
      <c r="R184" s="22">
        <v>20</v>
      </c>
      <c r="S184" s="23">
        <f>(Table13[[#This Row],[Unit Price]]*Table13[[#This Row],[No.of Units]])*18%</f>
        <v>38699.1</v>
      </c>
      <c r="T184" s="22" t="s">
        <v>1508</v>
      </c>
    </row>
    <row r="185" spans="2:20" x14ac:dyDescent="0.3">
      <c r="B185" s="5" t="s">
        <v>197</v>
      </c>
      <c r="C185" s="1">
        <v>8882909</v>
      </c>
      <c r="D185" s="1">
        <v>73</v>
      </c>
      <c r="E185" s="1" t="s">
        <v>20</v>
      </c>
      <c r="F185" s="16">
        <v>45707</v>
      </c>
      <c r="G185" s="1" t="s">
        <v>1470</v>
      </c>
      <c r="H185" s="1" t="s">
        <v>1482</v>
      </c>
      <c r="I185" s="17" t="s">
        <v>1502</v>
      </c>
      <c r="J185" s="18" t="s">
        <v>13</v>
      </c>
      <c r="K185" s="19" t="s">
        <v>14</v>
      </c>
      <c r="L185" s="19" t="s">
        <v>15</v>
      </c>
      <c r="M185" s="20">
        <v>6</v>
      </c>
      <c r="N185" s="21">
        <v>99999</v>
      </c>
      <c r="O185" s="22">
        <v>10</v>
      </c>
      <c r="P185" s="23">
        <v>539994.6</v>
      </c>
      <c r="Q185" s="22">
        <v>4.7</v>
      </c>
      <c r="R185" s="22">
        <v>20</v>
      </c>
      <c r="S185" s="23">
        <f>(Table13[[#This Row],[Unit Price]]*Table13[[#This Row],[No.of Units]])*18%</f>
        <v>107998.92</v>
      </c>
      <c r="T185" s="22" t="s">
        <v>1508</v>
      </c>
    </row>
    <row r="186" spans="2:20" x14ac:dyDescent="0.3">
      <c r="B186" s="5" t="s">
        <v>198</v>
      </c>
      <c r="C186" s="1">
        <v>9353236</v>
      </c>
      <c r="D186" s="1">
        <v>42</v>
      </c>
      <c r="E186" s="1" t="s">
        <v>12</v>
      </c>
      <c r="F186" s="16">
        <v>45707</v>
      </c>
      <c r="G186" s="1" t="s">
        <v>1470</v>
      </c>
      <c r="H186" s="1" t="s">
        <v>1483</v>
      </c>
      <c r="I186" s="17" t="s">
        <v>1503</v>
      </c>
      <c r="J186" s="18" t="s">
        <v>17</v>
      </c>
      <c r="K186" s="19" t="s">
        <v>18</v>
      </c>
      <c r="L186" s="19" t="s">
        <v>15</v>
      </c>
      <c r="M186" s="20">
        <v>37</v>
      </c>
      <c r="N186" s="21">
        <v>4999</v>
      </c>
      <c r="O186" s="22">
        <v>18</v>
      </c>
      <c r="P186" s="23">
        <v>151669.66</v>
      </c>
      <c r="Q186" s="22">
        <v>4.4000000000000004</v>
      </c>
      <c r="R186" s="22">
        <v>20</v>
      </c>
      <c r="S186" s="23">
        <f>(Table13[[#This Row],[Unit Price]]*Table13[[#This Row],[No.of Units]])*18%</f>
        <v>33293.339999999997</v>
      </c>
      <c r="T186" s="22" t="s">
        <v>1507</v>
      </c>
    </row>
    <row r="187" spans="2:20" x14ac:dyDescent="0.3">
      <c r="B187" s="5" t="s">
        <v>199</v>
      </c>
      <c r="C187" s="1">
        <v>8519920</v>
      </c>
      <c r="D187" s="1">
        <v>33</v>
      </c>
      <c r="E187" s="1" t="s">
        <v>12</v>
      </c>
      <c r="F187" s="16">
        <v>45707</v>
      </c>
      <c r="G187" s="1" t="s">
        <v>1470</v>
      </c>
      <c r="H187" s="1" t="s">
        <v>1472</v>
      </c>
      <c r="I187" s="17" t="s">
        <v>1504</v>
      </c>
      <c r="J187" s="18" t="s">
        <v>21</v>
      </c>
      <c r="K187" s="19" t="s">
        <v>18</v>
      </c>
      <c r="L187" s="19" t="s">
        <v>15</v>
      </c>
      <c r="M187" s="20">
        <v>12</v>
      </c>
      <c r="N187" s="21">
        <v>24900</v>
      </c>
      <c r="O187" s="22">
        <v>5</v>
      </c>
      <c r="P187" s="23">
        <v>283860</v>
      </c>
      <c r="Q187" s="22">
        <v>4.8</v>
      </c>
      <c r="R187" s="22">
        <v>20</v>
      </c>
      <c r="S187" s="23">
        <f>(Table13[[#This Row],[Unit Price]]*Table13[[#This Row],[No.of Units]])*18%</f>
        <v>53784</v>
      </c>
      <c r="T187" s="22" t="s">
        <v>1508</v>
      </c>
    </row>
    <row r="188" spans="2:20" x14ac:dyDescent="0.3">
      <c r="B188" s="5" t="s">
        <v>200</v>
      </c>
      <c r="C188" s="1">
        <v>9860710</v>
      </c>
      <c r="D188" s="1">
        <v>29</v>
      </c>
      <c r="E188" s="1" t="s">
        <v>12</v>
      </c>
      <c r="F188" s="16">
        <v>45707</v>
      </c>
      <c r="G188" s="1" t="s">
        <v>1470</v>
      </c>
      <c r="H188" s="1" t="s">
        <v>1482</v>
      </c>
      <c r="I188" s="17" t="s">
        <v>1505</v>
      </c>
      <c r="J188" s="18" t="s">
        <v>23</v>
      </c>
      <c r="K188" s="19" t="s">
        <v>14</v>
      </c>
      <c r="L188" s="19" t="s">
        <v>15</v>
      </c>
      <c r="M188" s="20">
        <v>4</v>
      </c>
      <c r="N188" s="21">
        <v>84999</v>
      </c>
      <c r="O188" s="22">
        <v>12</v>
      </c>
      <c r="P188" s="23">
        <v>299196.48</v>
      </c>
      <c r="Q188" s="22">
        <v>4.5</v>
      </c>
      <c r="R188" s="22">
        <v>20</v>
      </c>
      <c r="S188" s="23">
        <f>(Table13[[#This Row],[Unit Price]]*Table13[[#This Row],[No.of Units]])*18%</f>
        <v>61199.28</v>
      </c>
      <c r="T188" s="22" t="s">
        <v>1508</v>
      </c>
    </row>
    <row r="189" spans="2:20" x14ac:dyDescent="0.3">
      <c r="B189" s="5" t="s">
        <v>201</v>
      </c>
      <c r="C189" s="1">
        <v>9474390</v>
      </c>
      <c r="D189" s="1">
        <v>39</v>
      </c>
      <c r="E189" s="1" t="s">
        <v>12</v>
      </c>
      <c r="F189" s="16">
        <v>45707</v>
      </c>
      <c r="G189" s="1" t="s">
        <v>1470</v>
      </c>
      <c r="H189" s="1" t="s">
        <v>1472</v>
      </c>
      <c r="I189" s="17" t="s">
        <v>1504</v>
      </c>
      <c r="J189" s="18" t="s">
        <v>25</v>
      </c>
      <c r="K189" s="19" t="s">
        <v>26</v>
      </c>
      <c r="L189" s="19" t="s">
        <v>15</v>
      </c>
      <c r="M189" s="20">
        <v>6</v>
      </c>
      <c r="N189" s="21">
        <v>69999</v>
      </c>
      <c r="O189" s="22">
        <v>8</v>
      </c>
      <c r="P189" s="23">
        <v>386394.48</v>
      </c>
      <c r="Q189" s="22">
        <v>4.8</v>
      </c>
      <c r="R189" s="22">
        <v>20</v>
      </c>
      <c r="S189" s="23">
        <f>(Table13[[#This Row],[Unit Price]]*Table13[[#This Row],[No.of Units]])*18%</f>
        <v>75598.92</v>
      </c>
      <c r="T189" s="22" t="s">
        <v>1508</v>
      </c>
    </row>
    <row r="190" spans="2:20" x14ac:dyDescent="0.3">
      <c r="B190" s="5" t="s">
        <v>202</v>
      </c>
      <c r="C190" s="1">
        <v>5085571</v>
      </c>
      <c r="D190" s="1">
        <v>42</v>
      </c>
      <c r="E190" s="1" t="s">
        <v>12</v>
      </c>
      <c r="F190" s="16">
        <v>45707</v>
      </c>
      <c r="G190" s="1" t="s">
        <v>1470</v>
      </c>
      <c r="H190" s="1" t="s">
        <v>1482</v>
      </c>
      <c r="I190" s="17" t="s">
        <v>1503</v>
      </c>
      <c r="J190" s="18" t="s">
        <v>28</v>
      </c>
      <c r="K190" s="19" t="s">
        <v>26</v>
      </c>
      <c r="L190" s="19" t="s">
        <v>15</v>
      </c>
      <c r="M190" s="20">
        <v>6</v>
      </c>
      <c r="N190" s="21">
        <v>42999</v>
      </c>
      <c r="O190" s="22">
        <v>15</v>
      </c>
      <c r="P190" s="23">
        <v>219294.9</v>
      </c>
      <c r="Q190" s="22">
        <v>4.5999999999999996</v>
      </c>
      <c r="R190" s="22">
        <v>20</v>
      </c>
      <c r="S190" s="23">
        <f>(Table13[[#This Row],[Unit Price]]*Table13[[#This Row],[No.of Units]])*18%</f>
        <v>46438.92</v>
      </c>
      <c r="T190" s="22" t="s">
        <v>1508</v>
      </c>
    </row>
    <row r="191" spans="2:20" x14ac:dyDescent="0.3">
      <c r="B191" s="5" t="s">
        <v>203</v>
      </c>
      <c r="C191" s="1">
        <v>9457709</v>
      </c>
      <c r="D191" s="1">
        <v>59</v>
      </c>
      <c r="E191" s="1" t="s">
        <v>20</v>
      </c>
      <c r="F191" s="16">
        <v>45707</v>
      </c>
      <c r="G191" s="1" t="s">
        <v>1470</v>
      </c>
      <c r="H191" s="1" t="s">
        <v>1482</v>
      </c>
      <c r="I191" s="17" t="s">
        <v>1502</v>
      </c>
      <c r="J191" s="18" t="s">
        <v>13</v>
      </c>
      <c r="K191" s="19" t="s">
        <v>14</v>
      </c>
      <c r="L191" s="19" t="s">
        <v>29</v>
      </c>
      <c r="M191" s="20">
        <v>3</v>
      </c>
      <c r="N191" s="21">
        <v>99999</v>
      </c>
      <c r="O191" s="22">
        <v>10</v>
      </c>
      <c r="P191" s="23">
        <v>269997.3</v>
      </c>
      <c r="Q191" s="22">
        <v>4.7</v>
      </c>
      <c r="R191" s="22">
        <v>20</v>
      </c>
      <c r="S191" s="23">
        <f>(Table13[[#This Row],[Unit Price]]*Table13[[#This Row],[No.of Units]])*18%</f>
        <v>53999.46</v>
      </c>
      <c r="T191" s="22" t="s">
        <v>1507</v>
      </c>
    </row>
    <row r="192" spans="2:20" x14ac:dyDescent="0.3">
      <c r="B192" s="5" t="s">
        <v>204</v>
      </c>
      <c r="C192" s="1">
        <v>2746120</v>
      </c>
      <c r="D192" s="1">
        <v>46</v>
      </c>
      <c r="E192" s="1" t="s">
        <v>12</v>
      </c>
      <c r="F192" s="16">
        <v>45707</v>
      </c>
      <c r="G192" s="1" t="s">
        <v>1470</v>
      </c>
      <c r="H192" s="1" t="s">
        <v>1471</v>
      </c>
      <c r="I192" s="17" t="s">
        <v>1503</v>
      </c>
      <c r="J192" s="18" t="s">
        <v>17</v>
      </c>
      <c r="K192" s="19" t="s">
        <v>18</v>
      </c>
      <c r="L192" s="19" t="s">
        <v>29</v>
      </c>
      <c r="M192" s="20">
        <v>70</v>
      </c>
      <c r="N192" s="21">
        <v>4999</v>
      </c>
      <c r="O192" s="22">
        <v>18</v>
      </c>
      <c r="P192" s="23">
        <v>286942.59999999998</v>
      </c>
      <c r="Q192" s="22">
        <v>4.4000000000000004</v>
      </c>
      <c r="R192" s="22">
        <v>20</v>
      </c>
      <c r="S192" s="23">
        <f>(Table13[[#This Row],[Unit Price]]*Table13[[#This Row],[No.of Units]])*18%</f>
        <v>62987.399999999994</v>
      </c>
      <c r="T192" s="22" t="s">
        <v>1508</v>
      </c>
    </row>
    <row r="193" spans="2:20" x14ac:dyDescent="0.3">
      <c r="B193" s="5" t="s">
        <v>205</v>
      </c>
      <c r="C193" s="1">
        <v>1878389</v>
      </c>
      <c r="D193" s="1">
        <v>48</v>
      </c>
      <c r="E193" s="1" t="s">
        <v>12</v>
      </c>
      <c r="F193" s="16">
        <v>45707</v>
      </c>
      <c r="G193" s="1" t="s">
        <v>1470</v>
      </c>
      <c r="H193" s="1" t="s">
        <v>1472</v>
      </c>
      <c r="I193" s="17" t="s">
        <v>1504</v>
      </c>
      <c r="J193" s="18" t="s">
        <v>21</v>
      </c>
      <c r="K193" s="19" t="s">
        <v>18</v>
      </c>
      <c r="L193" s="19" t="s">
        <v>29</v>
      </c>
      <c r="M193" s="20">
        <v>15</v>
      </c>
      <c r="N193" s="21">
        <v>24900</v>
      </c>
      <c r="O193" s="22">
        <v>5</v>
      </c>
      <c r="P193" s="23">
        <v>354825</v>
      </c>
      <c r="Q193" s="22">
        <v>4.8</v>
      </c>
      <c r="R193" s="22">
        <v>20</v>
      </c>
      <c r="S193" s="23">
        <f>(Table13[[#This Row],[Unit Price]]*Table13[[#This Row],[No.of Units]])*18%</f>
        <v>67230</v>
      </c>
      <c r="T193" s="22" t="s">
        <v>1508</v>
      </c>
    </row>
    <row r="194" spans="2:20" x14ac:dyDescent="0.3">
      <c r="B194" s="5" t="s">
        <v>206</v>
      </c>
      <c r="C194" s="1">
        <v>476685</v>
      </c>
      <c r="D194" s="1">
        <v>33</v>
      </c>
      <c r="E194" s="1" t="s">
        <v>12</v>
      </c>
      <c r="F194" s="16">
        <v>45707</v>
      </c>
      <c r="G194" s="1" t="s">
        <v>1470</v>
      </c>
      <c r="H194" s="1" t="s">
        <v>1483</v>
      </c>
      <c r="I194" s="17" t="s">
        <v>1505</v>
      </c>
      <c r="J194" s="18" t="s">
        <v>23</v>
      </c>
      <c r="K194" s="19" t="s">
        <v>14</v>
      </c>
      <c r="L194" s="19" t="s">
        <v>29</v>
      </c>
      <c r="M194" s="20">
        <v>6</v>
      </c>
      <c r="N194" s="21">
        <v>84999</v>
      </c>
      <c r="O194" s="22">
        <v>12</v>
      </c>
      <c r="P194" s="23">
        <v>448794.72</v>
      </c>
      <c r="Q194" s="22">
        <v>4.5</v>
      </c>
      <c r="R194" s="22">
        <v>20</v>
      </c>
      <c r="S194" s="23">
        <f>(Table13[[#This Row],[Unit Price]]*Table13[[#This Row],[No.of Units]])*18%</f>
        <v>91798.92</v>
      </c>
      <c r="T194" s="22" t="s">
        <v>1508</v>
      </c>
    </row>
    <row r="195" spans="2:20" x14ac:dyDescent="0.3">
      <c r="B195" s="5" t="s">
        <v>206</v>
      </c>
      <c r="C195" s="1">
        <v>476685</v>
      </c>
      <c r="D195" s="1">
        <v>22</v>
      </c>
      <c r="E195" s="1" t="s">
        <v>12</v>
      </c>
      <c r="F195" s="16">
        <v>45707</v>
      </c>
      <c r="G195" s="1" t="s">
        <v>1470</v>
      </c>
      <c r="H195" s="1" t="s">
        <v>1471</v>
      </c>
      <c r="I195" s="17" t="s">
        <v>1504</v>
      </c>
      <c r="J195" s="18" t="s">
        <v>25</v>
      </c>
      <c r="K195" s="19" t="s">
        <v>26</v>
      </c>
      <c r="L195" s="19" t="s">
        <v>29</v>
      </c>
      <c r="M195" s="20">
        <v>6</v>
      </c>
      <c r="N195" s="21">
        <v>69999</v>
      </c>
      <c r="O195" s="22">
        <v>8</v>
      </c>
      <c r="P195" s="23">
        <v>386394.48</v>
      </c>
      <c r="Q195" s="22">
        <v>4.8</v>
      </c>
      <c r="R195" s="22">
        <v>20</v>
      </c>
      <c r="S195" s="23">
        <f>(Table13[[#This Row],[Unit Price]]*Table13[[#This Row],[No.of Units]])*18%</f>
        <v>75598.92</v>
      </c>
      <c r="T195" s="22" t="s">
        <v>1507</v>
      </c>
    </row>
    <row r="196" spans="2:20" x14ac:dyDescent="0.3">
      <c r="B196" s="5" t="s">
        <v>207</v>
      </c>
      <c r="C196" s="1">
        <v>1845045</v>
      </c>
      <c r="D196" s="1">
        <v>23</v>
      </c>
      <c r="E196" s="1" t="s">
        <v>12</v>
      </c>
      <c r="F196" s="16">
        <v>45707</v>
      </c>
      <c r="G196" s="1" t="s">
        <v>1470</v>
      </c>
      <c r="H196" s="1" t="s">
        <v>1472</v>
      </c>
      <c r="I196" s="17" t="s">
        <v>1503</v>
      </c>
      <c r="J196" s="18" t="s">
        <v>28</v>
      </c>
      <c r="K196" s="19" t="s">
        <v>26</v>
      </c>
      <c r="L196" s="19" t="s">
        <v>29</v>
      </c>
      <c r="M196" s="20">
        <v>10</v>
      </c>
      <c r="N196" s="21">
        <v>42999</v>
      </c>
      <c r="O196" s="22">
        <v>15</v>
      </c>
      <c r="P196" s="23">
        <v>365491.5</v>
      </c>
      <c r="Q196" s="22">
        <v>4.5999999999999996</v>
      </c>
      <c r="R196" s="22">
        <v>20</v>
      </c>
      <c r="S196" s="23">
        <f>(Table13[[#This Row],[Unit Price]]*Table13[[#This Row],[No.of Units]])*18%</f>
        <v>77398.2</v>
      </c>
      <c r="T196" s="22" t="s">
        <v>1508</v>
      </c>
    </row>
    <row r="197" spans="2:20" x14ac:dyDescent="0.3">
      <c r="B197" s="5" t="s">
        <v>208</v>
      </c>
      <c r="C197" s="1">
        <v>9933073</v>
      </c>
      <c r="D197" s="1">
        <v>42</v>
      </c>
      <c r="E197" s="1" t="s">
        <v>12</v>
      </c>
      <c r="F197" s="16">
        <v>45707</v>
      </c>
      <c r="G197" s="1" t="s">
        <v>1470</v>
      </c>
      <c r="H197" s="1" t="s">
        <v>1472</v>
      </c>
      <c r="I197" s="17" t="s">
        <v>1502</v>
      </c>
      <c r="J197" s="18" t="s">
        <v>13</v>
      </c>
      <c r="K197" s="19" t="s">
        <v>14</v>
      </c>
      <c r="L197" s="19" t="s">
        <v>35</v>
      </c>
      <c r="M197" s="20">
        <v>2</v>
      </c>
      <c r="N197" s="21">
        <v>99999</v>
      </c>
      <c r="O197" s="22">
        <v>10</v>
      </c>
      <c r="P197" s="23">
        <v>179998.2</v>
      </c>
      <c r="Q197" s="22">
        <v>4.7</v>
      </c>
      <c r="R197" s="22">
        <v>20</v>
      </c>
      <c r="S197" s="23">
        <f>(Table13[[#This Row],[Unit Price]]*Table13[[#This Row],[No.of Units]])*18%</f>
        <v>35999.64</v>
      </c>
      <c r="T197" s="22" t="s">
        <v>1507</v>
      </c>
    </row>
    <row r="198" spans="2:20" x14ac:dyDescent="0.3">
      <c r="B198" s="5" t="s">
        <v>209</v>
      </c>
      <c r="C198" s="1">
        <v>5497347</v>
      </c>
      <c r="D198" s="1">
        <v>38</v>
      </c>
      <c r="E198" s="1" t="s">
        <v>12</v>
      </c>
      <c r="F198" s="16">
        <v>45707</v>
      </c>
      <c r="G198" s="1" t="s">
        <v>1470</v>
      </c>
      <c r="H198" s="1" t="s">
        <v>1471</v>
      </c>
      <c r="I198" s="17" t="s">
        <v>1503</v>
      </c>
      <c r="J198" s="18" t="s">
        <v>17</v>
      </c>
      <c r="K198" s="19" t="s">
        <v>18</v>
      </c>
      <c r="L198" s="19" t="s">
        <v>35</v>
      </c>
      <c r="M198" s="20">
        <v>41</v>
      </c>
      <c r="N198" s="21">
        <v>4999</v>
      </c>
      <c r="O198" s="22">
        <v>18</v>
      </c>
      <c r="P198" s="23">
        <v>168066.38</v>
      </c>
      <c r="Q198" s="22">
        <v>4.4000000000000004</v>
      </c>
      <c r="R198" s="22">
        <v>20</v>
      </c>
      <c r="S198" s="23">
        <f>(Table13[[#This Row],[Unit Price]]*Table13[[#This Row],[No.of Units]])*18%</f>
        <v>36892.619999999995</v>
      </c>
      <c r="T198" s="22" t="s">
        <v>1507</v>
      </c>
    </row>
    <row r="199" spans="2:20" x14ac:dyDescent="0.3">
      <c r="B199" s="5" t="s">
        <v>210</v>
      </c>
      <c r="C199" s="1">
        <v>7912532</v>
      </c>
      <c r="D199" s="1">
        <v>39</v>
      </c>
      <c r="E199" s="1" t="s">
        <v>12</v>
      </c>
      <c r="F199" s="16">
        <v>45707</v>
      </c>
      <c r="G199" s="1" t="s">
        <v>1470</v>
      </c>
      <c r="H199" s="1" t="s">
        <v>1482</v>
      </c>
      <c r="I199" s="17" t="s">
        <v>1504</v>
      </c>
      <c r="J199" s="18" t="s">
        <v>21</v>
      </c>
      <c r="K199" s="19" t="s">
        <v>18</v>
      </c>
      <c r="L199" s="19" t="s">
        <v>35</v>
      </c>
      <c r="M199" s="20">
        <v>4</v>
      </c>
      <c r="N199" s="21">
        <v>24900</v>
      </c>
      <c r="O199" s="22">
        <v>5</v>
      </c>
      <c r="P199" s="23">
        <v>94620</v>
      </c>
      <c r="Q199" s="22">
        <v>4.8</v>
      </c>
      <c r="R199" s="22">
        <v>20</v>
      </c>
      <c r="S199" s="23">
        <f>(Table13[[#This Row],[Unit Price]]*Table13[[#This Row],[No.of Units]])*18%</f>
        <v>17928</v>
      </c>
      <c r="T199" s="22" t="s">
        <v>1507</v>
      </c>
    </row>
    <row r="200" spans="2:20" x14ac:dyDescent="0.3">
      <c r="B200" s="5" t="s">
        <v>211</v>
      </c>
      <c r="C200" s="1">
        <v>9766258</v>
      </c>
      <c r="D200" s="1">
        <v>50</v>
      </c>
      <c r="E200" s="1" t="s">
        <v>20</v>
      </c>
      <c r="F200" s="16">
        <v>45707</v>
      </c>
      <c r="G200" s="1" t="s">
        <v>1470</v>
      </c>
      <c r="H200" s="1" t="s">
        <v>1482</v>
      </c>
      <c r="I200" s="17" t="s">
        <v>1505</v>
      </c>
      <c r="J200" s="18" t="s">
        <v>23</v>
      </c>
      <c r="K200" s="19" t="s">
        <v>14</v>
      </c>
      <c r="L200" s="19" t="s">
        <v>35</v>
      </c>
      <c r="M200" s="20">
        <v>2</v>
      </c>
      <c r="N200" s="21">
        <v>84999</v>
      </c>
      <c r="O200" s="22">
        <v>12</v>
      </c>
      <c r="P200" s="23">
        <v>149598.24</v>
      </c>
      <c r="Q200" s="22">
        <v>4.5</v>
      </c>
      <c r="R200" s="22">
        <v>20</v>
      </c>
      <c r="S200" s="23">
        <f>(Table13[[#This Row],[Unit Price]]*Table13[[#This Row],[No.of Units]])*18%</f>
        <v>30599.64</v>
      </c>
      <c r="T200" s="22" t="s">
        <v>1508</v>
      </c>
    </row>
    <row r="201" spans="2:20" x14ac:dyDescent="0.3">
      <c r="B201" s="5" t="s">
        <v>212</v>
      </c>
      <c r="C201" s="1">
        <v>1473140</v>
      </c>
      <c r="D201" s="1">
        <v>31</v>
      </c>
      <c r="E201" s="1" t="s">
        <v>12</v>
      </c>
      <c r="F201" s="16">
        <v>45707</v>
      </c>
      <c r="G201" s="1" t="s">
        <v>1470</v>
      </c>
      <c r="H201" s="1" t="s">
        <v>1472</v>
      </c>
      <c r="I201" s="17" t="s">
        <v>1504</v>
      </c>
      <c r="J201" s="18" t="s">
        <v>25</v>
      </c>
      <c r="K201" s="19" t="s">
        <v>26</v>
      </c>
      <c r="L201" s="19" t="s">
        <v>35</v>
      </c>
      <c r="M201" s="20">
        <v>2</v>
      </c>
      <c r="N201" s="21">
        <v>69999</v>
      </c>
      <c r="O201" s="22">
        <v>8</v>
      </c>
      <c r="P201" s="23">
        <v>128798.16</v>
      </c>
      <c r="Q201" s="22">
        <v>4.8</v>
      </c>
      <c r="R201" s="22">
        <v>20</v>
      </c>
      <c r="S201" s="23">
        <f>(Table13[[#This Row],[Unit Price]]*Table13[[#This Row],[No.of Units]])*18%</f>
        <v>25199.64</v>
      </c>
      <c r="T201" s="22" t="s">
        <v>1507</v>
      </c>
    </row>
    <row r="202" spans="2:20" x14ac:dyDescent="0.3">
      <c r="B202" s="5" t="s">
        <v>213</v>
      </c>
      <c r="C202" s="1">
        <v>524091</v>
      </c>
      <c r="D202" s="1">
        <v>33</v>
      </c>
      <c r="E202" s="1" t="s">
        <v>12</v>
      </c>
      <c r="F202" s="16">
        <v>45707</v>
      </c>
      <c r="G202" s="1" t="s">
        <v>1470</v>
      </c>
      <c r="H202" s="1" t="s">
        <v>1483</v>
      </c>
      <c r="I202" s="17" t="s">
        <v>1503</v>
      </c>
      <c r="J202" s="18" t="s">
        <v>28</v>
      </c>
      <c r="K202" s="19" t="s">
        <v>26</v>
      </c>
      <c r="L202" s="19" t="s">
        <v>35</v>
      </c>
      <c r="M202" s="20">
        <v>6</v>
      </c>
      <c r="N202" s="21">
        <v>42999</v>
      </c>
      <c r="O202" s="22">
        <v>15</v>
      </c>
      <c r="P202" s="23">
        <v>219294.9</v>
      </c>
      <c r="Q202" s="22">
        <v>4.5999999999999996</v>
      </c>
      <c r="R202" s="22">
        <v>20</v>
      </c>
      <c r="S202" s="23">
        <f>(Table13[[#This Row],[Unit Price]]*Table13[[#This Row],[No.of Units]])*18%</f>
        <v>46438.92</v>
      </c>
      <c r="T202" s="22" t="s">
        <v>1508</v>
      </c>
    </row>
    <row r="203" spans="2:20" x14ac:dyDescent="0.3">
      <c r="B203" s="5" t="s">
        <v>214</v>
      </c>
      <c r="C203" s="1">
        <v>6280655</v>
      </c>
      <c r="D203" s="1">
        <v>23</v>
      </c>
      <c r="E203" s="1" t="s">
        <v>12</v>
      </c>
      <c r="F203" s="16">
        <v>45707</v>
      </c>
      <c r="G203" s="1" t="s">
        <v>1470</v>
      </c>
      <c r="H203" s="1" t="s">
        <v>1482</v>
      </c>
      <c r="I203" s="17" t="s">
        <v>1502</v>
      </c>
      <c r="J203" s="18" t="s">
        <v>13</v>
      </c>
      <c r="K203" s="19" t="s">
        <v>14</v>
      </c>
      <c r="L203" s="19" t="s">
        <v>42</v>
      </c>
      <c r="M203" s="20">
        <v>4</v>
      </c>
      <c r="N203" s="21">
        <v>99999</v>
      </c>
      <c r="O203" s="22">
        <v>10</v>
      </c>
      <c r="P203" s="23">
        <v>359996.4</v>
      </c>
      <c r="Q203" s="22">
        <v>4.7</v>
      </c>
      <c r="R203" s="22">
        <v>20</v>
      </c>
      <c r="S203" s="23">
        <f>(Table13[[#This Row],[Unit Price]]*Table13[[#This Row],[No.of Units]])*18%</f>
        <v>71999.28</v>
      </c>
      <c r="T203" s="22" t="s">
        <v>1508</v>
      </c>
    </row>
    <row r="204" spans="2:20" x14ac:dyDescent="0.3">
      <c r="B204" s="5" t="s">
        <v>215</v>
      </c>
      <c r="C204" s="1">
        <v>1920070</v>
      </c>
      <c r="D204" s="1">
        <v>57</v>
      </c>
      <c r="E204" s="1" t="s">
        <v>20</v>
      </c>
      <c r="F204" s="16">
        <v>45707</v>
      </c>
      <c r="G204" s="1" t="s">
        <v>1470</v>
      </c>
      <c r="H204" s="1" t="s">
        <v>1480</v>
      </c>
      <c r="I204" s="17" t="s">
        <v>1503</v>
      </c>
      <c r="J204" s="18" t="s">
        <v>17</v>
      </c>
      <c r="K204" s="19" t="s">
        <v>18</v>
      </c>
      <c r="L204" s="19" t="s">
        <v>42</v>
      </c>
      <c r="M204" s="20">
        <v>49</v>
      </c>
      <c r="N204" s="21">
        <v>4999</v>
      </c>
      <c r="O204" s="22">
        <v>18</v>
      </c>
      <c r="P204" s="23">
        <v>200859.82</v>
      </c>
      <c r="Q204" s="22">
        <v>4.4000000000000004</v>
      </c>
      <c r="R204" s="22">
        <v>20</v>
      </c>
      <c r="S204" s="23">
        <f>(Table13[[#This Row],[Unit Price]]*Table13[[#This Row],[No.of Units]])*18%</f>
        <v>44091.18</v>
      </c>
      <c r="T204" s="22" t="s">
        <v>1508</v>
      </c>
    </row>
    <row r="205" spans="2:20" x14ac:dyDescent="0.3">
      <c r="B205" s="5" t="s">
        <v>216</v>
      </c>
      <c r="C205" s="1">
        <v>2265901</v>
      </c>
      <c r="D205" s="1">
        <v>35</v>
      </c>
      <c r="E205" s="1" t="s">
        <v>12</v>
      </c>
      <c r="F205" s="16">
        <v>45707</v>
      </c>
      <c r="G205" s="1" t="s">
        <v>1470</v>
      </c>
      <c r="H205" s="1" t="s">
        <v>1480</v>
      </c>
      <c r="I205" s="17" t="s">
        <v>1504</v>
      </c>
      <c r="J205" s="18" t="s">
        <v>21</v>
      </c>
      <c r="K205" s="19" t="s">
        <v>18</v>
      </c>
      <c r="L205" s="19" t="s">
        <v>42</v>
      </c>
      <c r="M205" s="20">
        <v>13</v>
      </c>
      <c r="N205" s="21">
        <v>24900</v>
      </c>
      <c r="O205" s="22">
        <v>5</v>
      </c>
      <c r="P205" s="23">
        <v>307515</v>
      </c>
      <c r="Q205" s="22">
        <v>4.8</v>
      </c>
      <c r="R205" s="22">
        <v>20</v>
      </c>
      <c r="S205" s="23">
        <f>(Table13[[#This Row],[Unit Price]]*Table13[[#This Row],[No.of Units]])*18%</f>
        <v>58266</v>
      </c>
      <c r="T205" s="22" t="s">
        <v>1508</v>
      </c>
    </row>
    <row r="206" spans="2:20" x14ac:dyDescent="0.3">
      <c r="B206" s="5" t="s">
        <v>217</v>
      </c>
      <c r="C206" s="1">
        <v>476593</v>
      </c>
      <c r="D206" s="1">
        <v>29</v>
      </c>
      <c r="E206" s="1" t="s">
        <v>12</v>
      </c>
      <c r="F206" s="16">
        <v>45707</v>
      </c>
      <c r="G206" s="1" t="s">
        <v>1475</v>
      </c>
      <c r="H206" s="1" t="s">
        <v>1482</v>
      </c>
      <c r="I206" s="17" t="s">
        <v>1505</v>
      </c>
      <c r="J206" s="18" t="s">
        <v>23</v>
      </c>
      <c r="K206" s="19" t="s">
        <v>14</v>
      </c>
      <c r="L206" s="19" t="s">
        <v>42</v>
      </c>
      <c r="M206" s="20">
        <v>4</v>
      </c>
      <c r="N206" s="21">
        <v>84999</v>
      </c>
      <c r="O206" s="22">
        <v>12</v>
      </c>
      <c r="P206" s="23">
        <v>299196.48</v>
      </c>
      <c r="Q206" s="22">
        <v>4.5</v>
      </c>
      <c r="R206" s="22">
        <v>20</v>
      </c>
      <c r="S206" s="23">
        <f>(Table13[[#This Row],[Unit Price]]*Table13[[#This Row],[No.of Units]])*18%</f>
        <v>61199.28</v>
      </c>
      <c r="T206" s="22" t="s">
        <v>1507</v>
      </c>
    </row>
    <row r="207" spans="2:20" x14ac:dyDescent="0.3">
      <c r="B207" s="5" t="s">
        <v>217</v>
      </c>
      <c r="C207" s="1">
        <v>476593</v>
      </c>
      <c r="D207" s="1">
        <v>69</v>
      </c>
      <c r="E207" s="1" t="s">
        <v>20</v>
      </c>
      <c r="F207" s="16">
        <v>45707</v>
      </c>
      <c r="G207" s="1" t="s">
        <v>1470</v>
      </c>
      <c r="H207" s="1" t="s">
        <v>1472</v>
      </c>
      <c r="I207" s="17" t="s">
        <v>1504</v>
      </c>
      <c r="J207" s="18" t="s">
        <v>25</v>
      </c>
      <c r="K207" s="19" t="s">
        <v>26</v>
      </c>
      <c r="L207" s="19" t="s">
        <v>42</v>
      </c>
      <c r="M207" s="20">
        <v>3</v>
      </c>
      <c r="N207" s="21">
        <v>69999</v>
      </c>
      <c r="O207" s="22">
        <v>8</v>
      </c>
      <c r="P207" s="23">
        <v>193197.24</v>
      </c>
      <c r="Q207" s="22">
        <v>4.8</v>
      </c>
      <c r="R207" s="22">
        <v>20</v>
      </c>
      <c r="S207" s="23">
        <f>(Table13[[#This Row],[Unit Price]]*Table13[[#This Row],[No.of Units]])*18%</f>
        <v>37799.46</v>
      </c>
      <c r="T207" s="22" t="s">
        <v>1508</v>
      </c>
    </row>
    <row r="208" spans="2:20" x14ac:dyDescent="0.3">
      <c r="B208" s="5" t="s">
        <v>218</v>
      </c>
      <c r="C208" s="1">
        <v>8490583</v>
      </c>
      <c r="D208" s="1">
        <v>49</v>
      </c>
      <c r="E208" s="1" t="s">
        <v>12</v>
      </c>
      <c r="F208" s="16">
        <v>45707</v>
      </c>
      <c r="G208" s="1" t="s">
        <v>1470</v>
      </c>
      <c r="H208" s="1" t="s">
        <v>1480</v>
      </c>
      <c r="I208" s="17" t="s">
        <v>1503</v>
      </c>
      <c r="J208" s="18" t="s">
        <v>28</v>
      </c>
      <c r="K208" s="19" t="s">
        <v>26</v>
      </c>
      <c r="L208" s="19" t="s">
        <v>42</v>
      </c>
      <c r="M208" s="20">
        <v>6</v>
      </c>
      <c r="N208" s="21">
        <v>42999</v>
      </c>
      <c r="O208" s="22">
        <v>15</v>
      </c>
      <c r="P208" s="23">
        <v>219294.9</v>
      </c>
      <c r="Q208" s="22">
        <v>4.5999999999999996</v>
      </c>
      <c r="R208" s="22">
        <v>20</v>
      </c>
      <c r="S208" s="23">
        <f>(Table13[[#This Row],[Unit Price]]*Table13[[#This Row],[No.of Units]])*18%</f>
        <v>46438.92</v>
      </c>
      <c r="T208" s="22" t="s">
        <v>1507</v>
      </c>
    </row>
    <row r="209" spans="2:20" x14ac:dyDescent="0.3">
      <c r="B209" s="5" t="s">
        <v>219</v>
      </c>
      <c r="C209" s="1">
        <v>5716384</v>
      </c>
      <c r="D209" s="1">
        <v>31</v>
      </c>
      <c r="E209" s="1" t="s">
        <v>12</v>
      </c>
      <c r="F209" s="16">
        <v>45707</v>
      </c>
      <c r="G209" s="1" t="s">
        <v>1470</v>
      </c>
      <c r="H209" s="1" t="s">
        <v>1482</v>
      </c>
      <c r="I209" s="17" t="s">
        <v>1502</v>
      </c>
      <c r="J209" s="18" t="s">
        <v>13</v>
      </c>
      <c r="K209" s="19" t="s">
        <v>14</v>
      </c>
      <c r="L209" s="19" t="s">
        <v>49</v>
      </c>
      <c r="M209" s="20">
        <v>6</v>
      </c>
      <c r="N209" s="21">
        <v>99999</v>
      </c>
      <c r="O209" s="22">
        <v>10</v>
      </c>
      <c r="P209" s="23">
        <v>539994.6</v>
      </c>
      <c r="Q209" s="22">
        <v>4.7</v>
      </c>
      <c r="R209" s="22">
        <v>20</v>
      </c>
      <c r="S209" s="23">
        <f>(Table13[[#This Row],[Unit Price]]*Table13[[#This Row],[No.of Units]])*18%</f>
        <v>107998.92</v>
      </c>
      <c r="T209" s="22" t="s">
        <v>1508</v>
      </c>
    </row>
    <row r="210" spans="2:20" x14ac:dyDescent="0.3">
      <c r="B210" s="5" t="s">
        <v>220</v>
      </c>
      <c r="C210" s="1">
        <v>5226206</v>
      </c>
      <c r="D210" s="1">
        <v>38</v>
      </c>
      <c r="E210" s="1" t="s">
        <v>12</v>
      </c>
      <c r="F210" s="16">
        <v>45707</v>
      </c>
      <c r="G210" s="1" t="s">
        <v>1470</v>
      </c>
      <c r="H210" s="1" t="s">
        <v>1471</v>
      </c>
      <c r="I210" s="17" t="s">
        <v>1503</v>
      </c>
      <c r="J210" s="18" t="s">
        <v>17</v>
      </c>
      <c r="K210" s="19" t="s">
        <v>18</v>
      </c>
      <c r="L210" s="19" t="s">
        <v>49</v>
      </c>
      <c r="M210" s="20">
        <v>58</v>
      </c>
      <c r="N210" s="21">
        <v>4999</v>
      </c>
      <c r="O210" s="22">
        <v>18</v>
      </c>
      <c r="P210" s="23">
        <v>237752.44</v>
      </c>
      <c r="Q210" s="22">
        <v>4.4000000000000004</v>
      </c>
      <c r="R210" s="22">
        <v>20</v>
      </c>
      <c r="S210" s="23">
        <f>(Table13[[#This Row],[Unit Price]]*Table13[[#This Row],[No.of Units]])*18%</f>
        <v>52189.56</v>
      </c>
      <c r="T210" s="22" t="s">
        <v>1507</v>
      </c>
    </row>
    <row r="211" spans="2:20" x14ac:dyDescent="0.3">
      <c r="B211" s="5" t="s">
        <v>221</v>
      </c>
      <c r="C211" s="1">
        <v>3951365</v>
      </c>
      <c r="D211" s="1">
        <v>46</v>
      </c>
      <c r="E211" s="1" t="s">
        <v>12</v>
      </c>
      <c r="F211" s="16">
        <v>45707</v>
      </c>
      <c r="G211" s="1" t="s">
        <v>1470</v>
      </c>
      <c r="H211" s="1" t="s">
        <v>1472</v>
      </c>
      <c r="I211" s="17" t="s">
        <v>1504</v>
      </c>
      <c r="J211" s="18" t="s">
        <v>21</v>
      </c>
      <c r="K211" s="19" t="s">
        <v>18</v>
      </c>
      <c r="L211" s="19" t="s">
        <v>49</v>
      </c>
      <c r="M211" s="20">
        <v>13</v>
      </c>
      <c r="N211" s="21">
        <v>24900</v>
      </c>
      <c r="O211" s="22">
        <v>5</v>
      </c>
      <c r="P211" s="23">
        <v>307515</v>
      </c>
      <c r="Q211" s="22">
        <v>4.8</v>
      </c>
      <c r="R211" s="22">
        <v>20</v>
      </c>
      <c r="S211" s="23">
        <f>(Table13[[#This Row],[Unit Price]]*Table13[[#This Row],[No.of Units]])*18%</f>
        <v>58266</v>
      </c>
      <c r="T211" s="22" t="s">
        <v>1508</v>
      </c>
    </row>
    <row r="212" spans="2:20" x14ac:dyDescent="0.3">
      <c r="B212" s="5" t="s">
        <v>222</v>
      </c>
      <c r="C212" s="1">
        <v>2485702</v>
      </c>
      <c r="D212" s="1">
        <v>46</v>
      </c>
      <c r="E212" s="1" t="s">
        <v>12</v>
      </c>
      <c r="F212" s="16">
        <v>45707</v>
      </c>
      <c r="G212" s="1" t="s">
        <v>1470</v>
      </c>
      <c r="H212" s="1" t="s">
        <v>1482</v>
      </c>
      <c r="I212" s="17" t="s">
        <v>1505</v>
      </c>
      <c r="J212" s="18" t="s">
        <v>23</v>
      </c>
      <c r="K212" s="19" t="s">
        <v>14</v>
      </c>
      <c r="L212" s="19" t="s">
        <v>49</v>
      </c>
      <c r="M212" s="20">
        <v>2</v>
      </c>
      <c r="N212" s="21">
        <v>84999</v>
      </c>
      <c r="O212" s="22">
        <v>12</v>
      </c>
      <c r="P212" s="23">
        <v>149598.24</v>
      </c>
      <c r="Q212" s="22">
        <v>4.5</v>
      </c>
      <c r="R212" s="22">
        <v>20</v>
      </c>
      <c r="S212" s="23">
        <f>(Table13[[#This Row],[Unit Price]]*Table13[[#This Row],[No.of Units]])*18%</f>
        <v>30599.64</v>
      </c>
      <c r="T212" s="22" t="s">
        <v>1508</v>
      </c>
    </row>
    <row r="213" spans="2:20" x14ac:dyDescent="0.3">
      <c r="B213" s="5" t="s">
        <v>223</v>
      </c>
      <c r="C213" s="1">
        <v>5716802</v>
      </c>
      <c r="D213" s="1">
        <v>68</v>
      </c>
      <c r="E213" s="1" t="s">
        <v>20</v>
      </c>
      <c r="F213" s="16">
        <v>45707</v>
      </c>
      <c r="G213" s="1" t="s">
        <v>1470</v>
      </c>
      <c r="H213" s="1" t="s">
        <v>1482</v>
      </c>
      <c r="I213" s="17" t="s">
        <v>1504</v>
      </c>
      <c r="J213" s="18" t="s">
        <v>25</v>
      </c>
      <c r="K213" s="19" t="s">
        <v>26</v>
      </c>
      <c r="L213" s="19" t="s">
        <v>49</v>
      </c>
      <c r="M213" s="20">
        <v>2</v>
      </c>
      <c r="N213" s="21">
        <v>69999</v>
      </c>
      <c r="O213" s="22">
        <v>8</v>
      </c>
      <c r="P213" s="23">
        <v>128798.16</v>
      </c>
      <c r="Q213" s="22">
        <v>4.8</v>
      </c>
      <c r="R213" s="22">
        <v>20</v>
      </c>
      <c r="S213" s="23">
        <f>(Table13[[#This Row],[Unit Price]]*Table13[[#This Row],[No.of Units]])*18%</f>
        <v>25199.64</v>
      </c>
      <c r="T213" s="22" t="s">
        <v>1508</v>
      </c>
    </row>
    <row r="214" spans="2:20" x14ac:dyDescent="0.3">
      <c r="B214" s="5" t="s">
        <v>224</v>
      </c>
      <c r="C214" s="1">
        <v>8120045</v>
      </c>
      <c r="D214" s="1">
        <v>20</v>
      </c>
      <c r="E214" s="1" t="s">
        <v>12</v>
      </c>
      <c r="F214" s="16">
        <v>45707</v>
      </c>
      <c r="G214" s="1" t="s">
        <v>1470</v>
      </c>
      <c r="H214" s="1" t="s">
        <v>1471</v>
      </c>
      <c r="I214" s="17" t="s">
        <v>1503</v>
      </c>
      <c r="J214" s="18" t="s">
        <v>28</v>
      </c>
      <c r="K214" s="19" t="s">
        <v>26</v>
      </c>
      <c r="L214" s="19" t="s">
        <v>49</v>
      </c>
      <c r="M214" s="20">
        <v>11</v>
      </c>
      <c r="N214" s="21">
        <v>42999</v>
      </c>
      <c r="O214" s="22">
        <v>15</v>
      </c>
      <c r="P214" s="23">
        <v>402040.65</v>
      </c>
      <c r="Q214" s="22">
        <v>4.5999999999999996</v>
      </c>
      <c r="R214" s="22">
        <v>20</v>
      </c>
      <c r="S214" s="23">
        <f>(Table13[[#This Row],[Unit Price]]*Table13[[#This Row],[No.of Units]])*18%</f>
        <v>85138.02</v>
      </c>
      <c r="T214" s="22" t="s">
        <v>1508</v>
      </c>
    </row>
    <row r="215" spans="2:20" x14ac:dyDescent="0.3">
      <c r="B215" s="5" t="s">
        <v>225</v>
      </c>
      <c r="C215" s="1">
        <v>7328394</v>
      </c>
      <c r="D215" s="1">
        <v>57</v>
      </c>
      <c r="E215" s="1" t="s">
        <v>20</v>
      </c>
      <c r="F215" s="16">
        <v>45714</v>
      </c>
      <c r="G215" s="1" t="s">
        <v>1470</v>
      </c>
      <c r="H215" s="1" t="s">
        <v>1483</v>
      </c>
      <c r="I215" s="17" t="s">
        <v>1502</v>
      </c>
      <c r="J215" s="18" t="s">
        <v>13</v>
      </c>
      <c r="K215" s="19" t="s">
        <v>14</v>
      </c>
      <c r="L215" s="19" t="s">
        <v>15</v>
      </c>
      <c r="M215" s="20">
        <v>4</v>
      </c>
      <c r="N215" s="21">
        <v>99999</v>
      </c>
      <c r="O215" s="22">
        <v>10</v>
      </c>
      <c r="P215" s="23">
        <v>359996.4</v>
      </c>
      <c r="Q215" s="22">
        <v>4.7</v>
      </c>
      <c r="R215" s="22">
        <v>20</v>
      </c>
      <c r="S215" s="23">
        <f>(Table13[[#This Row],[Unit Price]]*Table13[[#This Row],[No.of Units]])*18%</f>
        <v>71999.28</v>
      </c>
      <c r="T215" s="22" t="s">
        <v>1508</v>
      </c>
    </row>
    <row r="216" spans="2:20" x14ac:dyDescent="0.3">
      <c r="B216" s="5" t="s">
        <v>226</v>
      </c>
      <c r="C216" s="1">
        <v>6875530</v>
      </c>
      <c r="D216" s="1">
        <v>21</v>
      </c>
      <c r="E216" s="1" t="s">
        <v>12</v>
      </c>
      <c r="F216" s="16">
        <v>45714</v>
      </c>
      <c r="G216" s="1" t="s">
        <v>1474</v>
      </c>
      <c r="H216" s="1" t="s">
        <v>1482</v>
      </c>
      <c r="I216" s="17" t="s">
        <v>1503</v>
      </c>
      <c r="J216" s="18" t="s">
        <v>17</v>
      </c>
      <c r="K216" s="19" t="s">
        <v>18</v>
      </c>
      <c r="L216" s="19" t="s">
        <v>15</v>
      </c>
      <c r="M216" s="20">
        <v>31</v>
      </c>
      <c r="N216" s="21">
        <v>4999</v>
      </c>
      <c r="O216" s="22">
        <v>18</v>
      </c>
      <c r="P216" s="23">
        <v>127074.58</v>
      </c>
      <c r="Q216" s="22">
        <v>4.4000000000000004</v>
      </c>
      <c r="R216" s="22">
        <v>20</v>
      </c>
      <c r="S216" s="23">
        <f>(Table13[[#This Row],[Unit Price]]*Table13[[#This Row],[No.of Units]])*18%</f>
        <v>27894.42</v>
      </c>
      <c r="T216" s="22" t="s">
        <v>1507</v>
      </c>
    </row>
    <row r="217" spans="2:20" x14ac:dyDescent="0.3">
      <c r="B217" s="5" t="s">
        <v>227</v>
      </c>
      <c r="C217" s="1">
        <v>3453298</v>
      </c>
      <c r="D217" s="1">
        <v>29</v>
      </c>
      <c r="E217" s="1" t="s">
        <v>12</v>
      </c>
      <c r="F217" s="16">
        <v>45714</v>
      </c>
      <c r="G217" s="1" t="s">
        <v>1470</v>
      </c>
      <c r="H217" s="1" t="s">
        <v>1471</v>
      </c>
      <c r="I217" s="17" t="s">
        <v>1504</v>
      </c>
      <c r="J217" s="18" t="s">
        <v>21</v>
      </c>
      <c r="K217" s="19" t="s">
        <v>18</v>
      </c>
      <c r="L217" s="19" t="s">
        <v>15</v>
      </c>
      <c r="M217" s="20">
        <v>9</v>
      </c>
      <c r="N217" s="21">
        <v>24900</v>
      </c>
      <c r="O217" s="22">
        <v>5</v>
      </c>
      <c r="P217" s="23">
        <v>212895</v>
      </c>
      <c r="Q217" s="22">
        <v>4.8</v>
      </c>
      <c r="R217" s="22">
        <v>20</v>
      </c>
      <c r="S217" s="23">
        <f>(Table13[[#This Row],[Unit Price]]*Table13[[#This Row],[No.of Units]])*18%</f>
        <v>40338</v>
      </c>
      <c r="T217" s="22" t="s">
        <v>1507</v>
      </c>
    </row>
    <row r="218" spans="2:20" x14ac:dyDescent="0.3">
      <c r="B218" s="5" t="s">
        <v>228</v>
      </c>
      <c r="C218" s="1">
        <v>6898340</v>
      </c>
      <c r="D218" s="1">
        <v>49</v>
      </c>
      <c r="E218" s="1" t="s">
        <v>12</v>
      </c>
      <c r="F218" s="16">
        <v>45714</v>
      </c>
      <c r="G218" s="1" t="s">
        <v>1470</v>
      </c>
      <c r="H218" s="1" t="s">
        <v>1481</v>
      </c>
      <c r="I218" s="17" t="s">
        <v>1505</v>
      </c>
      <c r="J218" s="18" t="s">
        <v>23</v>
      </c>
      <c r="K218" s="19" t="s">
        <v>14</v>
      </c>
      <c r="L218" s="19" t="s">
        <v>15</v>
      </c>
      <c r="M218" s="20">
        <v>2</v>
      </c>
      <c r="N218" s="21">
        <v>84999</v>
      </c>
      <c r="O218" s="22">
        <v>12</v>
      </c>
      <c r="P218" s="23">
        <v>149598.24</v>
      </c>
      <c r="Q218" s="22">
        <v>4.5</v>
      </c>
      <c r="R218" s="22">
        <v>20</v>
      </c>
      <c r="S218" s="23">
        <f>(Table13[[#This Row],[Unit Price]]*Table13[[#This Row],[No.of Units]])*18%</f>
        <v>30599.64</v>
      </c>
      <c r="T218" s="22" t="s">
        <v>1508</v>
      </c>
    </row>
    <row r="219" spans="2:20" x14ac:dyDescent="0.3">
      <c r="B219" s="5" t="s">
        <v>229</v>
      </c>
      <c r="C219" s="1">
        <v>9867216</v>
      </c>
      <c r="D219" s="1">
        <v>68</v>
      </c>
      <c r="E219" s="1" t="s">
        <v>20</v>
      </c>
      <c r="F219" s="16">
        <v>45714</v>
      </c>
      <c r="G219" s="1" t="s">
        <v>1470</v>
      </c>
      <c r="H219" s="1" t="s">
        <v>1483</v>
      </c>
      <c r="I219" s="17" t="s">
        <v>1504</v>
      </c>
      <c r="J219" s="18" t="s">
        <v>25</v>
      </c>
      <c r="K219" s="19" t="s">
        <v>26</v>
      </c>
      <c r="L219" s="19" t="s">
        <v>15</v>
      </c>
      <c r="M219" s="20">
        <v>5</v>
      </c>
      <c r="N219" s="21">
        <v>69999</v>
      </c>
      <c r="O219" s="22">
        <v>8</v>
      </c>
      <c r="P219" s="23">
        <v>321995.40000000002</v>
      </c>
      <c r="Q219" s="22">
        <v>4.8</v>
      </c>
      <c r="R219" s="22">
        <v>20</v>
      </c>
      <c r="S219" s="23">
        <f>(Table13[[#This Row],[Unit Price]]*Table13[[#This Row],[No.of Units]])*18%</f>
        <v>62999.1</v>
      </c>
      <c r="T219" s="22" t="s">
        <v>1508</v>
      </c>
    </row>
    <row r="220" spans="2:20" x14ac:dyDescent="0.3">
      <c r="B220" s="5" t="s">
        <v>230</v>
      </c>
      <c r="C220" s="1">
        <v>5042032</v>
      </c>
      <c r="D220" s="1">
        <v>31</v>
      </c>
      <c r="E220" s="1" t="s">
        <v>12</v>
      </c>
      <c r="F220" s="16">
        <v>45714</v>
      </c>
      <c r="G220" s="1" t="s">
        <v>1470</v>
      </c>
      <c r="H220" s="1" t="s">
        <v>1483</v>
      </c>
      <c r="I220" s="17" t="s">
        <v>1503</v>
      </c>
      <c r="J220" s="18" t="s">
        <v>28</v>
      </c>
      <c r="K220" s="19" t="s">
        <v>26</v>
      </c>
      <c r="L220" s="19" t="s">
        <v>15</v>
      </c>
      <c r="M220" s="20">
        <v>9</v>
      </c>
      <c r="N220" s="21">
        <v>42999</v>
      </c>
      <c r="O220" s="22">
        <v>15</v>
      </c>
      <c r="P220" s="23">
        <v>328942.34999999998</v>
      </c>
      <c r="Q220" s="22">
        <v>4.5999999999999996</v>
      </c>
      <c r="R220" s="22">
        <v>20</v>
      </c>
      <c r="S220" s="23">
        <f>(Table13[[#This Row],[Unit Price]]*Table13[[#This Row],[No.of Units]])*18%</f>
        <v>69658.38</v>
      </c>
      <c r="T220" s="22" t="s">
        <v>1508</v>
      </c>
    </row>
    <row r="221" spans="2:20" x14ac:dyDescent="0.3">
      <c r="B221" s="5" t="s">
        <v>231</v>
      </c>
      <c r="C221" s="1">
        <v>63406</v>
      </c>
      <c r="D221" s="1">
        <v>19</v>
      </c>
      <c r="E221" s="1" t="s">
        <v>34</v>
      </c>
      <c r="F221" s="16">
        <v>45714</v>
      </c>
      <c r="G221" s="1" t="s">
        <v>1470</v>
      </c>
      <c r="H221" s="1" t="s">
        <v>1482</v>
      </c>
      <c r="I221" s="17" t="s">
        <v>1502</v>
      </c>
      <c r="J221" s="18" t="s">
        <v>13</v>
      </c>
      <c r="K221" s="19" t="s">
        <v>14</v>
      </c>
      <c r="L221" s="19" t="s">
        <v>29</v>
      </c>
      <c r="M221" s="20">
        <v>3</v>
      </c>
      <c r="N221" s="21">
        <v>99999</v>
      </c>
      <c r="O221" s="22">
        <v>10</v>
      </c>
      <c r="P221" s="23">
        <v>269997.3</v>
      </c>
      <c r="Q221" s="22">
        <v>4.7</v>
      </c>
      <c r="R221" s="22">
        <v>20</v>
      </c>
      <c r="S221" s="23">
        <f>(Table13[[#This Row],[Unit Price]]*Table13[[#This Row],[No.of Units]])*18%</f>
        <v>53999.46</v>
      </c>
      <c r="T221" s="22" t="s">
        <v>1507</v>
      </c>
    </row>
    <row r="222" spans="2:20" x14ac:dyDescent="0.3">
      <c r="B222" s="5" t="s">
        <v>232</v>
      </c>
      <c r="C222" s="1">
        <v>8307667</v>
      </c>
      <c r="D222" s="1">
        <v>30</v>
      </c>
      <c r="E222" s="1" t="s">
        <v>12</v>
      </c>
      <c r="F222" s="16">
        <v>45714</v>
      </c>
      <c r="G222" s="1" t="s">
        <v>1470</v>
      </c>
      <c r="H222" s="1" t="s">
        <v>1483</v>
      </c>
      <c r="I222" s="17" t="s">
        <v>1503</v>
      </c>
      <c r="J222" s="18" t="s">
        <v>17</v>
      </c>
      <c r="K222" s="19" t="s">
        <v>18</v>
      </c>
      <c r="L222" s="19" t="s">
        <v>29</v>
      </c>
      <c r="M222" s="20">
        <v>56</v>
      </c>
      <c r="N222" s="21">
        <v>4999</v>
      </c>
      <c r="O222" s="22">
        <v>18</v>
      </c>
      <c r="P222" s="23">
        <v>229554.08000000002</v>
      </c>
      <c r="Q222" s="22">
        <v>4.4000000000000004</v>
      </c>
      <c r="R222" s="22">
        <v>20</v>
      </c>
      <c r="S222" s="23">
        <f>(Table13[[#This Row],[Unit Price]]*Table13[[#This Row],[No.of Units]])*18%</f>
        <v>50389.919999999998</v>
      </c>
      <c r="T222" s="22" t="s">
        <v>1508</v>
      </c>
    </row>
    <row r="223" spans="2:20" x14ac:dyDescent="0.3">
      <c r="B223" s="5" t="s">
        <v>233</v>
      </c>
      <c r="C223" s="1">
        <v>7968627</v>
      </c>
      <c r="D223" s="1">
        <v>26</v>
      </c>
      <c r="E223" s="1" t="s">
        <v>12</v>
      </c>
      <c r="F223" s="16">
        <v>45714</v>
      </c>
      <c r="G223" s="1" t="s">
        <v>1470</v>
      </c>
      <c r="H223" s="1" t="s">
        <v>1483</v>
      </c>
      <c r="I223" s="17" t="s">
        <v>1504</v>
      </c>
      <c r="J223" s="18" t="s">
        <v>21</v>
      </c>
      <c r="K223" s="19" t="s">
        <v>18</v>
      </c>
      <c r="L223" s="19" t="s">
        <v>29</v>
      </c>
      <c r="M223" s="20">
        <v>15</v>
      </c>
      <c r="N223" s="21">
        <v>24900</v>
      </c>
      <c r="O223" s="22">
        <v>5</v>
      </c>
      <c r="P223" s="23">
        <v>354825</v>
      </c>
      <c r="Q223" s="22">
        <v>4.8</v>
      </c>
      <c r="R223" s="22">
        <v>20</v>
      </c>
      <c r="S223" s="23">
        <f>(Table13[[#This Row],[Unit Price]]*Table13[[#This Row],[No.of Units]])*18%</f>
        <v>67230</v>
      </c>
      <c r="T223" s="22" t="s">
        <v>1508</v>
      </c>
    </row>
    <row r="224" spans="2:20" x14ac:dyDescent="0.3">
      <c r="B224" s="5" t="s">
        <v>234</v>
      </c>
      <c r="C224" s="1">
        <v>5521742</v>
      </c>
      <c r="D224" s="1">
        <v>29</v>
      </c>
      <c r="E224" s="1" t="s">
        <v>12</v>
      </c>
      <c r="F224" s="16">
        <v>45714</v>
      </c>
      <c r="G224" s="1" t="s">
        <v>1475</v>
      </c>
      <c r="H224" s="1" t="s">
        <v>1471</v>
      </c>
      <c r="I224" s="17" t="s">
        <v>1505</v>
      </c>
      <c r="J224" s="18" t="s">
        <v>23</v>
      </c>
      <c r="K224" s="19" t="s">
        <v>14</v>
      </c>
      <c r="L224" s="19" t="s">
        <v>29</v>
      </c>
      <c r="M224" s="20">
        <v>4</v>
      </c>
      <c r="N224" s="21">
        <v>84999</v>
      </c>
      <c r="O224" s="22">
        <v>12</v>
      </c>
      <c r="P224" s="23">
        <v>299196.48</v>
      </c>
      <c r="Q224" s="22">
        <v>4.5</v>
      </c>
      <c r="R224" s="22">
        <v>20</v>
      </c>
      <c r="S224" s="23">
        <f>(Table13[[#This Row],[Unit Price]]*Table13[[#This Row],[No.of Units]])*18%</f>
        <v>61199.28</v>
      </c>
      <c r="T224" s="22" t="s">
        <v>1508</v>
      </c>
    </row>
    <row r="225" spans="2:20" x14ac:dyDescent="0.3">
      <c r="B225" s="5" t="s">
        <v>235</v>
      </c>
      <c r="C225" s="1">
        <v>5834744</v>
      </c>
      <c r="D225" s="1">
        <v>66</v>
      </c>
      <c r="E225" s="1" t="s">
        <v>20</v>
      </c>
      <c r="F225" s="16">
        <v>45714</v>
      </c>
      <c r="G225" s="1" t="s">
        <v>1470</v>
      </c>
      <c r="H225" s="1" t="s">
        <v>1481</v>
      </c>
      <c r="I225" s="17" t="s">
        <v>1504</v>
      </c>
      <c r="J225" s="18" t="s">
        <v>25</v>
      </c>
      <c r="K225" s="19" t="s">
        <v>26</v>
      </c>
      <c r="L225" s="19" t="s">
        <v>29</v>
      </c>
      <c r="M225" s="20">
        <v>3</v>
      </c>
      <c r="N225" s="21">
        <v>69999</v>
      </c>
      <c r="O225" s="22">
        <v>8</v>
      </c>
      <c r="P225" s="23">
        <v>193197.24</v>
      </c>
      <c r="Q225" s="22">
        <v>4.8</v>
      </c>
      <c r="R225" s="22">
        <v>20</v>
      </c>
      <c r="S225" s="23">
        <f>(Table13[[#This Row],[Unit Price]]*Table13[[#This Row],[No.of Units]])*18%</f>
        <v>37799.46</v>
      </c>
      <c r="T225" s="22" t="s">
        <v>1508</v>
      </c>
    </row>
    <row r="226" spans="2:20" x14ac:dyDescent="0.3">
      <c r="B226" s="5" t="s">
        <v>236</v>
      </c>
      <c r="C226" s="1">
        <v>7465655</v>
      </c>
      <c r="D226" s="1">
        <v>53</v>
      </c>
      <c r="E226" s="1" t="s">
        <v>20</v>
      </c>
      <c r="F226" s="16">
        <v>45714</v>
      </c>
      <c r="G226" s="1" t="s">
        <v>1470</v>
      </c>
      <c r="H226" s="1" t="s">
        <v>1471</v>
      </c>
      <c r="I226" s="17" t="s">
        <v>1503</v>
      </c>
      <c r="J226" s="18" t="s">
        <v>28</v>
      </c>
      <c r="K226" s="19" t="s">
        <v>26</v>
      </c>
      <c r="L226" s="19" t="s">
        <v>29</v>
      </c>
      <c r="M226" s="20">
        <v>10</v>
      </c>
      <c r="N226" s="21">
        <v>42999</v>
      </c>
      <c r="O226" s="22">
        <v>15</v>
      </c>
      <c r="P226" s="23">
        <v>365491.5</v>
      </c>
      <c r="Q226" s="22">
        <v>4.5999999999999996</v>
      </c>
      <c r="R226" s="22">
        <v>20</v>
      </c>
      <c r="S226" s="23">
        <f>(Table13[[#This Row],[Unit Price]]*Table13[[#This Row],[No.of Units]])*18%</f>
        <v>77398.2</v>
      </c>
      <c r="T226" s="22" t="s">
        <v>1507</v>
      </c>
    </row>
    <row r="227" spans="2:20" x14ac:dyDescent="0.3">
      <c r="B227" s="5" t="s">
        <v>237</v>
      </c>
      <c r="C227" s="1">
        <v>3665568</v>
      </c>
      <c r="D227" s="1">
        <v>41</v>
      </c>
      <c r="E227" s="1" t="s">
        <v>12</v>
      </c>
      <c r="F227" s="16">
        <v>45714</v>
      </c>
      <c r="G227" s="1" t="s">
        <v>1470</v>
      </c>
      <c r="H227" s="1" t="s">
        <v>1483</v>
      </c>
      <c r="I227" s="17" t="s">
        <v>1502</v>
      </c>
      <c r="J227" s="18" t="s">
        <v>13</v>
      </c>
      <c r="K227" s="19" t="s">
        <v>14</v>
      </c>
      <c r="L227" s="19" t="s">
        <v>35</v>
      </c>
      <c r="M227" s="20">
        <v>5</v>
      </c>
      <c r="N227" s="21">
        <v>99999</v>
      </c>
      <c r="O227" s="22">
        <v>10</v>
      </c>
      <c r="P227" s="23">
        <v>449995.5</v>
      </c>
      <c r="Q227" s="22">
        <v>4.7</v>
      </c>
      <c r="R227" s="22">
        <v>20</v>
      </c>
      <c r="S227" s="23">
        <f>(Table13[[#This Row],[Unit Price]]*Table13[[#This Row],[No.of Units]])*18%</f>
        <v>89999.099999999991</v>
      </c>
      <c r="T227" s="22" t="s">
        <v>1508</v>
      </c>
    </row>
    <row r="228" spans="2:20" x14ac:dyDescent="0.3">
      <c r="B228" s="5" t="s">
        <v>238</v>
      </c>
      <c r="C228" s="1">
        <v>7420219</v>
      </c>
      <c r="D228" s="1">
        <v>39</v>
      </c>
      <c r="E228" s="1" t="s">
        <v>12</v>
      </c>
      <c r="F228" s="16">
        <v>45714</v>
      </c>
      <c r="G228" s="1" t="s">
        <v>1470</v>
      </c>
      <c r="H228" s="1" t="s">
        <v>1471</v>
      </c>
      <c r="I228" s="17" t="s">
        <v>1503</v>
      </c>
      <c r="J228" s="18" t="s">
        <v>17</v>
      </c>
      <c r="K228" s="19" t="s">
        <v>18</v>
      </c>
      <c r="L228" s="19" t="s">
        <v>35</v>
      </c>
      <c r="M228" s="20">
        <v>34</v>
      </c>
      <c r="N228" s="21">
        <v>4999</v>
      </c>
      <c r="O228" s="22">
        <v>18</v>
      </c>
      <c r="P228" s="23">
        <v>139372.12</v>
      </c>
      <c r="Q228" s="22">
        <v>4.4000000000000004</v>
      </c>
      <c r="R228" s="22">
        <v>20</v>
      </c>
      <c r="S228" s="23">
        <f>(Table13[[#This Row],[Unit Price]]*Table13[[#This Row],[No.of Units]])*18%</f>
        <v>30593.879999999997</v>
      </c>
      <c r="T228" s="22" t="s">
        <v>1507</v>
      </c>
    </row>
    <row r="229" spans="2:20" x14ac:dyDescent="0.3">
      <c r="B229" s="5" t="s">
        <v>239</v>
      </c>
      <c r="C229" s="1">
        <v>5160745</v>
      </c>
      <c r="D229" s="1">
        <v>36</v>
      </c>
      <c r="E229" s="1" t="s">
        <v>12</v>
      </c>
      <c r="F229" s="16">
        <v>45714</v>
      </c>
      <c r="G229" s="1" t="s">
        <v>1470</v>
      </c>
      <c r="H229" s="1" t="s">
        <v>1482</v>
      </c>
      <c r="I229" s="17" t="s">
        <v>1504</v>
      </c>
      <c r="J229" s="18" t="s">
        <v>21</v>
      </c>
      <c r="K229" s="19" t="s">
        <v>18</v>
      </c>
      <c r="L229" s="19" t="s">
        <v>35</v>
      </c>
      <c r="M229" s="20">
        <v>10</v>
      </c>
      <c r="N229" s="21">
        <v>24900</v>
      </c>
      <c r="O229" s="22">
        <v>5</v>
      </c>
      <c r="P229" s="23">
        <v>236550</v>
      </c>
      <c r="Q229" s="22">
        <v>4.8</v>
      </c>
      <c r="R229" s="22">
        <v>20</v>
      </c>
      <c r="S229" s="23">
        <f>(Table13[[#This Row],[Unit Price]]*Table13[[#This Row],[No.of Units]])*18%</f>
        <v>44820</v>
      </c>
      <c r="T229" s="22" t="s">
        <v>1507</v>
      </c>
    </row>
    <row r="230" spans="2:20" x14ac:dyDescent="0.3">
      <c r="B230" s="5" t="s">
        <v>240</v>
      </c>
      <c r="C230" s="1">
        <v>8985896</v>
      </c>
      <c r="D230" s="1">
        <v>29</v>
      </c>
      <c r="E230" s="1" t="s">
        <v>12</v>
      </c>
      <c r="F230" s="16">
        <v>45714</v>
      </c>
      <c r="G230" s="1" t="s">
        <v>1470</v>
      </c>
      <c r="H230" s="1" t="s">
        <v>1471</v>
      </c>
      <c r="I230" s="17" t="s">
        <v>1505</v>
      </c>
      <c r="J230" s="18" t="s">
        <v>23</v>
      </c>
      <c r="K230" s="19" t="s">
        <v>14</v>
      </c>
      <c r="L230" s="19" t="s">
        <v>35</v>
      </c>
      <c r="M230" s="20">
        <v>1</v>
      </c>
      <c r="N230" s="21">
        <v>84999</v>
      </c>
      <c r="O230" s="22">
        <v>12</v>
      </c>
      <c r="P230" s="23">
        <v>74799.12</v>
      </c>
      <c r="Q230" s="22">
        <v>4.5</v>
      </c>
      <c r="R230" s="22">
        <v>20</v>
      </c>
      <c r="S230" s="23">
        <f>(Table13[[#This Row],[Unit Price]]*Table13[[#This Row],[No.of Units]])*18%</f>
        <v>15299.82</v>
      </c>
      <c r="T230" s="22" t="s">
        <v>1507</v>
      </c>
    </row>
    <row r="231" spans="2:20" x14ac:dyDescent="0.3">
      <c r="B231" s="5" t="s">
        <v>241</v>
      </c>
      <c r="C231" s="1">
        <v>9796800</v>
      </c>
      <c r="D231" s="1">
        <v>47</v>
      </c>
      <c r="E231" s="1" t="s">
        <v>12</v>
      </c>
      <c r="F231" s="16">
        <v>45714</v>
      </c>
      <c r="G231" s="1" t="s">
        <v>1470</v>
      </c>
      <c r="H231" s="1" t="s">
        <v>1471</v>
      </c>
      <c r="I231" s="17" t="s">
        <v>1504</v>
      </c>
      <c r="J231" s="18" t="s">
        <v>25</v>
      </c>
      <c r="K231" s="19" t="s">
        <v>26</v>
      </c>
      <c r="L231" s="19" t="s">
        <v>35</v>
      </c>
      <c r="M231" s="20">
        <v>5</v>
      </c>
      <c r="N231" s="21">
        <v>69999</v>
      </c>
      <c r="O231" s="22">
        <v>8</v>
      </c>
      <c r="P231" s="23">
        <v>321995.40000000002</v>
      </c>
      <c r="Q231" s="22">
        <v>4.8</v>
      </c>
      <c r="R231" s="22">
        <v>20</v>
      </c>
      <c r="S231" s="23">
        <f>(Table13[[#This Row],[Unit Price]]*Table13[[#This Row],[No.of Units]])*18%</f>
        <v>62999.1</v>
      </c>
      <c r="T231" s="22" t="s">
        <v>1508</v>
      </c>
    </row>
    <row r="232" spans="2:20" x14ac:dyDescent="0.3">
      <c r="B232" s="5" t="s">
        <v>242</v>
      </c>
      <c r="C232" s="1">
        <v>5617430</v>
      </c>
      <c r="D232" s="1">
        <v>20</v>
      </c>
      <c r="E232" s="1" t="s">
        <v>12</v>
      </c>
      <c r="F232" s="16">
        <v>45714</v>
      </c>
      <c r="G232" s="1" t="s">
        <v>1470</v>
      </c>
      <c r="H232" s="1" t="s">
        <v>1471</v>
      </c>
      <c r="I232" s="17" t="s">
        <v>1503</v>
      </c>
      <c r="J232" s="18" t="s">
        <v>28</v>
      </c>
      <c r="K232" s="19" t="s">
        <v>26</v>
      </c>
      <c r="L232" s="19" t="s">
        <v>35</v>
      </c>
      <c r="M232" s="20">
        <v>6</v>
      </c>
      <c r="N232" s="21">
        <v>42999</v>
      </c>
      <c r="O232" s="22">
        <v>15</v>
      </c>
      <c r="P232" s="23">
        <v>219294.9</v>
      </c>
      <c r="Q232" s="22">
        <v>4.5999999999999996</v>
      </c>
      <c r="R232" s="22">
        <v>20</v>
      </c>
      <c r="S232" s="23">
        <f>(Table13[[#This Row],[Unit Price]]*Table13[[#This Row],[No.of Units]])*18%</f>
        <v>46438.92</v>
      </c>
      <c r="T232" s="22" t="s">
        <v>1508</v>
      </c>
    </row>
    <row r="233" spans="2:20" x14ac:dyDescent="0.3">
      <c r="B233" s="5" t="s">
        <v>243</v>
      </c>
      <c r="C233" s="1">
        <v>8714035</v>
      </c>
      <c r="D233" s="1">
        <v>44</v>
      </c>
      <c r="E233" s="1" t="s">
        <v>12</v>
      </c>
      <c r="F233" s="16">
        <v>45714</v>
      </c>
      <c r="G233" s="1" t="s">
        <v>1474</v>
      </c>
      <c r="H233" s="1" t="s">
        <v>1471</v>
      </c>
      <c r="I233" s="17" t="s">
        <v>1502</v>
      </c>
      <c r="J233" s="18" t="s">
        <v>13</v>
      </c>
      <c r="K233" s="19" t="s">
        <v>14</v>
      </c>
      <c r="L233" s="19" t="s">
        <v>42</v>
      </c>
      <c r="M233" s="20">
        <v>4</v>
      </c>
      <c r="N233" s="21">
        <v>99999</v>
      </c>
      <c r="O233" s="22">
        <v>10</v>
      </c>
      <c r="P233" s="23">
        <v>359996.4</v>
      </c>
      <c r="Q233" s="22">
        <v>4.7</v>
      </c>
      <c r="R233" s="22">
        <v>20</v>
      </c>
      <c r="S233" s="23">
        <f>(Table13[[#This Row],[Unit Price]]*Table13[[#This Row],[No.of Units]])*18%</f>
        <v>71999.28</v>
      </c>
      <c r="T233" s="22" t="s">
        <v>1508</v>
      </c>
    </row>
    <row r="234" spans="2:20" x14ac:dyDescent="0.3">
      <c r="B234" s="5" t="s">
        <v>244</v>
      </c>
      <c r="C234" s="1">
        <v>1798937</v>
      </c>
      <c r="D234" s="1">
        <v>38</v>
      </c>
      <c r="E234" s="1" t="s">
        <v>12</v>
      </c>
      <c r="F234" s="16">
        <v>45714</v>
      </c>
      <c r="G234" s="1" t="s">
        <v>1470</v>
      </c>
      <c r="H234" s="1" t="s">
        <v>1483</v>
      </c>
      <c r="I234" s="17" t="s">
        <v>1503</v>
      </c>
      <c r="J234" s="18" t="s">
        <v>17</v>
      </c>
      <c r="K234" s="19" t="s">
        <v>18</v>
      </c>
      <c r="L234" s="19" t="s">
        <v>42</v>
      </c>
      <c r="M234" s="20">
        <v>49</v>
      </c>
      <c r="N234" s="21">
        <v>4999</v>
      </c>
      <c r="O234" s="22">
        <v>18</v>
      </c>
      <c r="P234" s="23">
        <v>200859.82</v>
      </c>
      <c r="Q234" s="22">
        <v>4.4000000000000004</v>
      </c>
      <c r="R234" s="22">
        <v>20</v>
      </c>
      <c r="S234" s="23">
        <f>(Table13[[#This Row],[Unit Price]]*Table13[[#This Row],[No.of Units]])*18%</f>
        <v>44091.18</v>
      </c>
      <c r="T234" s="22" t="s">
        <v>1508</v>
      </c>
    </row>
    <row r="235" spans="2:20" x14ac:dyDescent="0.3">
      <c r="B235" s="5" t="s">
        <v>245</v>
      </c>
      <c r="C235" s="1">
        <v>2448060</v>
      </c>
      <c r="D235" s="1">
        <v>28</v>
      </c>
      <c r="E235" s="1" t="s">
        <v>12</v>
      </c>
      <c r="F235" s="16">
        <v>45714</v>
      </c>
      <c r="G235" s="1" t="s">
        <v>1470</v>
      </c>
      <c r="H235" s="1" t="s">
        <v>1471</v>
      </c>
      <c r="I235" s="17" t="s">
        <v>1504</v>
      </c>
      <c r="J235" s="18" t="s">
        <v>21</v>
      </c>
      <c r="K235" s="19" t="s">
        <v>18</v>
      </c>
      <c r="L235" s="19" t="s">
        <v>42</v>
      </c>
      <c r="M235" s="20">
        <v>10</v>
      </c>
      <c r="N235" s="21">
        <v>24900</v>
      </c>
      <c r="O235" s="22">
        <v>5</v>
      </c>
      <c r="P235" s="23">
        <v>236550</v>
      </c>
      <c r="Q235" s="22">
        <v>4.8</v>
      </c>
      <c r="R235" s="22">
        <v>20</v>
      </c>
      <c r="S235" s="23">
        <f>(Table13[[#This Row],[Unit Price]]*Table13[[#This Row],[No.of Units]])*18%</f>
        <v>44820</v>
      </c>
      <c r="T235" s="22" t="s">
        <v>1508</v>
      </c>
    </row>
    <row r="236" spans="2:20" x14ac:dyDescent="0.3">
      <c r="B236" s="5" t="s">
        <v>245</v>
      </c>
      <c r="C236" s="1">
        <v>2448060</v>
      </c>
      <c r="D236" s="1">
        <v>35</v>
      </c>
      <c r="E236" s="1" t="s">
        <v>12</v>
      </c>
      <c r="F236" s="16">
        <v>45714</v>
      </c>
      <c r="G236" s="1" t="s">
        <v>1470</v>
      </c>
      <c r="H236" s="1" t="s">
        <v>1482</v>
      </c>
      <c r="I236" s="17" t="s">
        <v>1505</v>
      </c>
      <c r="J236" s="18" t="s">
        <v>23</v>
      </c>
      <c r="K236" s="19" t="s">
        <v>14</v>
      </c>
      <c r="L236" s="19" t="s">
        <v>42</v>
      </c>
      <c r="M236" s="20">
        <v>6</v>
      </c>
      <c r="N236" s="21">
        <v>84999</v>
      </c>
      <c r="O236" s="22">
        <v>12</v>
      </c>
      <c r="P236" s="23">
        <v>448794.72</v>
      </c>
      <c r="Q236" s="22">
        <v>4.5</v>
      </c>
      <c r="R236" s="22">
        <v>20</v>
      </c>
      <c r="S236" s="23">
        <f>(Table13[[#This Row],[Unit Price]]*Table13[[#This Row],[No.of Units]])*18%</f>
        <v>91798.92</v>
      </c>
      <c r="T236" s="22" t="s">
        <v>1508</v>
      </c>
    </row>
    <row r="237" spans="2:20" x14ac:dyDescent="0.3">
      <c r="B237" s="5" t="s">
        <v>245</v>
      </c>
      <c r="C237" s="1">
        <v>2448060</v>
      </c>
      <c r="D237" s="1">
        <v>21</v>
      </c>
      <c r="E237" s="1" t="s">
        <v>12</v>
      </c>
      <c r="F237" s="16">
        <v>45714</v>
      </c>
      <c r="G237" s="1" t="s">
        <v>1470</v>
      </c>
      <c r="H237" s="1" t="s">
        <v>1482</v>
      </c>
      <c r="I237" s="17" t="s">
        <v>1504</v>
      </c>
      <c r="J237" s="18" t="s">
        <v>25</v>
      </c>
      <c r="K237" s="19" t="s">
        <v>26</v>
      </c>
      <c r="L237" s="19" t="s">
        <v>42</v>
      </c>
      <c r="M237" s="20">
        <v>5</v>
      </c>
      <c r="N237" s="21">
        <v>69999</v>
      </c>
      <c r="O237" s="22">
        <v>8</v>
      </c>
      <c r="P237" s="23">
        <v>321995.40000000002</v>
      </c>
      <c r="Q237" s="22">
        <v>4.8</v>
      </c>
      <c r="R237" s="22">
        <v>20</v>
      </c>
      <c r="S237" s="23">
        <f>(Table13[[#This Row],[Unit Price]]*Table13[[#This Row],[No.of Units]])*18%</f>
        <v>62999.1</v>
      </c>
      <c r="T237" s="22" t="s">
        <v>1508</v>
      </c>
    </row>
    <row r="238" spans="2:20" x14ac:dyDescent="0.3">
      <c r="B238" s="5" t="s">
        <v>246</v>
      </c>
      <c r="C238" s="1">
        <v>3863417</v>
      </c>
      <c r="D238" s="1">
        <v>56</v>
      </c>
      <c r="E238" s="1" t="s">
        <v>20</v>
      </c>
      <c r="F238" s="16">
        <v>45714</v>
      </c>
      <c r="G238" s="1" t="s">
        <v>1470</v>
      </c>
      <c r="H238" s="1" t="s">
        <v>1483</v>
      </c>
      <c r="I238" s="17" t="s">
        <v>1503</v>
      </c>
      <c r="J238" s="18" t="s">
        <v>28</v>
      </c>
      <c r="K238" s="19" t="s">
        <v>26</v>
      </c>
      <c r="L238" s="19" t="s">
        <v>42</v>
      </c>
      <c r="M238" s="20">
        <v>8</v>
      </c>
      <c r="N238" s="21">
        <v>42999</v>
      </c>
      <c r="O238" s="22">
        <v>15</v>
      </c>
      <c r="P238" s="23">
        <v>292393.2</v>
      </c>
      <c r="Q238" s="22">
        <v>4.5999999999999996</v>
      </c>
      <c r="R238" s="22">
        <v>20</v>
      </c>
      <c r="S238" s="23">
        <f>(Table13[[#This Row],[Unit Price]]*Table13[[#This Row],[No.of Units]])*18%</f>
        <v>61918.559999999998</v>
      </c>
      <c r="T238" s="22" t="s">
        <v>1508</v>
      </c>
    </row>
    <row r="239" spans="2:20" x14ac:dyDescent="0.3">
      <c r="B239" s="5" t="s">
        <v>247</v>
      </c>
      <c r="C239" s="1">
        <v>282991</v>
      </c>
      <c r="D239" s="1">
        <v>26</v>
      </c>
      <c r="E239" s="1" t="s">
        <v>12</v>
      </c>
      <c r="F239" s="16">
        <v>45714</v>
      </c>
      <c r="G239" s="1" t="s">
        <v>1470</v>
      </c>
      <c r="H239" s="1" t="s">
        <v>1482</v>
      </c>
      <c r="I239" s="17" t="s">
        <v>1502</v>
      </c>
      <c r="J239" s="18" t="s">
        <v>13</v>
      </c>
      <c r="K239" s="19" t="s">
        <v>14</v>
      </c>
      <c r="L239" s="19" t="s">
        <v>49</v>
      </c>
      <c r="M239" s="20">
        <v>5</v>
      </c>
      <c r="N239" s="21">
        <v>99999</v>
      </c>
      <c r="O239" s="22">
        <v>10</v>
      </c>
      <c r="P239" s="23">
        <v>449995.5</v>
      </c>
      <c r="Q239" s="22">
        <v>4.7</v>
      </c>
      <c r="R239" s="22">
        <v>20</v>
      </c>
      <c r="S239" s="23">
        <f>(Table13[[#This Row],[Unit Price]]*Table13[[#This Row],[No.of Units]])*18%</f>
        <v>89999.099999999991</v>
      </c>
      <c r="T239" s="22" t="s">
        <v>1508</v>
      </c>
    </row>
    <row r="240" spans="2:20" x14ac:dyDescent="0.3">
      <c r="B240" s="5" t="s">
        <v>248</v>
      </c>
      <c r="C240" s="1">
        <v>2276390</v>
      </c>
      <c r="D240" s="1">
        <v>37</v>
      </c>
      <c r="E240" s="1" t="s">
        <v>12</v>
      </c>
      <c r="F240" s="16">
        <v>45714</v>
      </c>
      <c r="G240" s="1" t="s">
        <v>1470</v>
      </c>
      <c r="H240" s="1" t="s">
        <v>1471</v>
      </c>
      <c r="I240" s="17" t="s">
        <v>1503</v>
      </c>
      <c r="J240" s="18" t="s">
        <v>17</v>
      </c>
      <c r="K240" s="19" t="s">
        <v>18</v>
      </c>
      <c r="L240" s="19" t="s">
        <v>49</v>
      </c>
      <c r="M240" s="20">
        <v>45</v>
      </c>
      <c r="N240" s="21">
        <v>4999</v>
      </c>
      <c r="O240" s="22">
        <v>18</v>
      </c>
      <c r="P240" s="23">
        <v>184463.1</v>
      </c>
      <c r="Q240" s="22">
        <v>4.4000000000000004</v>
      </c>
      <c r="R240" s="22">
        <v>20</v>
      </c>
      <c r="S240" s="23">
        <f>(Table13[[#This Row],[Unit Price]]*Table13[[#This Row],[No.of Units]])*18%</f>
        <v>40491.9</v>
      </c>
      <c r="T240" s="22" t="s">
        <v>1508</v>
      </c>
    </row>
    <row r="241" spans="2:20" x14ac:dyDescent="0.3">
      <c r="B241" s="5" t="s">
        <v>249</v>
      </c>
      <c r="C241" s="1">
        <v>89951</v>
      </c>
      <c r="D241" s="1">
        <v>63</v>
      </c>
      <c r="E241" s="1" t="s">
        <v>20</v>
      </c>
      <c r="F241" s="16">
        <v>45714</v>
      </c>
      <c r="G241" s="1" t="s">
        <v>1470</v>
      </c>
      <c r="H241" s="1" t="s">
        <v>1482</v>
      </c>
      <c r="I241" s="17" t="s">
        <v>1504</v>
      </c>
      <c r="J241" s="18" t="s">
        <v>21</v>
      </c>
      <c r="K241" s="19" t="s">
        <v>18</v>
      </c>
      <c r="L241" s="19" t="s">
        <v>49</v>
      </c>
      <c r="M241" s="20">
        <v>11</v>
      </c>
      <c r="N241" s="21">
        <v>24900</v>
      </c>
      <c r="O241" s="22">
        <v>5</v>
      </c>
      <c r="P241" s="23">
        <v>260205</v>
      </c>
      <c r="Q241" s="22">
        <v>4.8</v>
      </c>
      <c r="R241" s="22">
        <v>20</v>
      </c>
      <c r="S241" s="23">
        <f>(Table13[[#This Row],[Unit Price]]*Table13[[#This Row],[No.of Units]])*18%</f>
        <v>49302</v>
      </c>
      <c r="T241" s="22" t="s">
        <v>1508</v>
      </c>
    </row>
    <row r="242" spans="2:20" x14ac:dyDescent="0.3">
      <c r="B242" s="5" t="s">
        <v>250</v>
      </c>
      <c r="C242" s="1">
        <v>2696952</v>
      </c>
      <c r="D242" s="1">
        <v>35</v>
      </c>
      <c r="E242" s="1" t="s">
        <v>12</v>
      </c>
      <c r="F242" s="16">
        <v>45714</v>
      </c>
      <c r="G242" s="1" t="s">
        <v>1475</v>
      </c>
      <c r="H242" s="1" t="s">
        <v>1471</v>
      </c>
      <c r="I242" s="17" t="s">
        <v>1505</v>
      </c>
      <c r="J242" s="18" t="s">
        <v>23</v>
      </c>
      <c r="K242" s="19" t="s">
        <v>14</v>
      </c>
      <c r="L242" s="19" t="s">
        <v>49</v>
      </c>
      <c r="M242" s="20">
        <v>6</v>
      </c>
      <c r="N242" s="21">
        <v>84999</v>
      </c>
      <c r="O242" s="22">
        <v>12</v>
      </c>
      <c r="P242" s="23">
        <v>448794.72</v>
      </c>
      <c r="Q242" s="22">
        <v>4.5</v>
      </c>
      <c r="R242" s="22">
        <v>20</v>
      </c>
      <c r="S242" s="23">
        <f>(Table13[[#This Row],[Unit Price]]*Table13[[#This Row],[No.of Units]])*18%</f>
        <v>91798.92</v>
      </c>
      <c r="T242" s="22" t="s">
        <v>1507</v>
      </c>
    </row>
    <row r="243" spans="2:20" x14ac:dyDescent="0.3">
      <c r="B243" s="5" t="s">
        <v>251</v>
      </c>
      <c r="C243" s="1">
        <v>9622079</v>
      </c>
      <c r="D243" s="1">
        <v>18</v>
      </c>
      <c r="E243" s="1" t="s">
        <v>34</v>
      </c>
      <c r="F243" s="16">
        <v>45714</v>
      </c>
      <c r="G243" s="1" t="s">
        <v>1470</v>
      </c>
      <c r="H243" s="1" t="s">
        <v>1471</v>
      </c>
      <c r="I243" s="17" t="s">
        <v>1504</v>
      </c>
      <c r="J243" s="18" t="s">
        <v>25</v>
      </c>
      <c r="K243" s="19" t="s">
        <v>26</v>
      </c>
      <c r="L243" s="19" t="s">
        <v>49</v>
      </c>
      <c r="M243" s="20">
        <v>2</v>
      </c>
      <c r="N243" s="21">
        <v>69999</v>
      </c>
      <c r="O243" s="22">
        <v>8</v>
      </c>
      <c r="P243" s="23">
        <v>128798.16</v>
      </c>
      <c r="Q243" s="22">
        <v>4.8</v>
      </c>
      <c r="R243" s="22">
        <v>20</v>
      </c>
      <c r="S243" s="23">
        <f>(Table13[[#This Row],[Unit Price]]*Table13[[#This Row],[No.of Units]])*18%</f>
        <v>25199.64</v>
      </c>
      <c r="T243" s="22" t="s">
        <v>1507</v>
      </c>
    </row>
    <row r="244" spans="2:20" x14ac:dyDescent="0.3">
      <c r="B244" s="5" t="s">
        <v>252</v>
      </c>
      <c r="C244" s="1">
        <v>8773331</v>
      </c>
      <c r="D244" s="1">
        <v>33</v>
      </c>
      <c r="E244" s="1" t="s">
        <v>12</v>
      </c>
      <c r="F244" s="16">
        <v>45714</v>
      </c>
      <c r="G244" s="1" t="s">
        <v>1470</v>
      </c>
      <c r="H244" s="1" t="s">
        <v>1471</v>
      </c>
      <c r="I244" s="17" t="s">
        <v>1503</v>
      </c>
      <c r="J244" s="18" t="s">
        <v>28</v>
      </c>
      <c r="K244" s="19" t="s">
        <v>26</v>
      </c>
      <c r="L244" s="19" t="s">
        <v>49</v>
      </c>
      <c r="M244" s="20">
        <v>7</v>
      </c>
      <c r="N244" s="21">
        <v>42999</v>
      </c>
      <c r="O244" s="22">
        <v>15</v>
      </c>
      <c r="P244" s="23">
        <v>255844.05</v>
      </c>
      <c r="Q244" s="22">
        <v>4.5999999999999996</v>
      </c>
      <c r="R244" s="22">
        <v>20</v>
      </c>
      <c r="S244" s="23">
        <f>(Table13[[#This Row],[Unit Price]]*Table13[[#This Row],[No.of Units]])*18%</f>
        <v>54178.74</v>
      </c>
      <c r="T244" s="22" t="s">
        <v>1508</v>
      </c>
    </row>
    <row r="245" spans="2:20" x14ac:dyDescent="0.3">
      <c r="B245" s="5" t="s">
        <v>253</v>
      </c>
      <c r="C245" s="1">
        <v>1035887</v>
      </c>
      <c r="D245" s="1">
        <v>55</v>
      </c>
      <c r="E245" s="1" t="s">
        <v>20</v>
      </c>
      <c r="F245" s="16">
        <v>45721</v>
      </c>
      <c r="G245" s="1" t="s">
        <v>1470</v>
      </c>
      <c r="H245" s="1" t="s">
        <v>1471</v>
      </c>
      <c r="I245" s="17" t="s">
        <v>1502</v>
      </c>
      <c r="J245" s="18" t="s">
        <v>13</v>
      </c>
      <c r="K245" s="19" t="s">
        <v>14</v>
      </c>
      <c r="L245" s="19" t="s">
        <v>15</v>
      </c>
      <c r="M245" s="20">
        <v>3</v>
      </c>
      <c r="N245" s="21">
        <v>99999</v>
      </c>
      <c r="O245" s="22">
        <v>10</v>
      </c>
      <c r="P245" s="23">
        <v>269997.3</v>
      </c>
      <c r="Q245" s="22">
        <v>4.7</v>
      </c>
      <c r="R245" s="22">
        <v>20</v>
      </c>
      <c r="S245" s="23">
        <f>(Table13[[#This Row],[Unit Price]]*Table13[[#This Row],[No.of Units]])*18%</f>
        <v>53999.46</v>
      </c>
      <c r="T245" s="22" t="s">
        <v>1507</v>
      </c>
    </row>
    <row r="246" spans="2:20" x14ac:dyDescent="0.3">
      <c r="B246" s="5" t="s">
        <v>254</v>
      </c>
      <c r="C246" s="1">
        <v>8863009</v>
      </c>
      <c r="D246" s="1">
        <v>20</v>
      </c>
      <c r="E246" s="1" t="s">
        <v>12</v>
      </c>
      <c r="F246" s="16">
        <v>45721</v>
      </c>
      <c r="G246" s="1" t="s">
        <v>1475</v>
      </c>
      <c r="H246" s="1" t="s">
        <v>1481</v>
      </c>
      <c r="I246" s="17" t="s">
        <v>1503</v>
      </c>
      <c r="J246" s="18" t="s">
        <v>17</v>
      </c>
      <c r="K246" s="19" t="s">
        <v>18</v>
      </c>
      <c r="L246" s="19" t="s">
        <v>15</v>
      </c>
      <c r="M246" s="20">
        <v>57</v>
      </c>
      <c r="N246" s="21">
        <v>4999</v>
      </c>
      <c r="O246" s="22">
        <v>18</v>
      </c>
      <c r="P246" s="23">
        <v>233653.26</v>
      </c>
      <c r="Q246" s="22">
        <v>4.4000000000000004</v>
      </c>
      <c r="R246" s="22">
        <v>20</v>
      </c>
      <c r="S246" s="23">
        <f>(Table13[[#This Row],[Unit Price]]*Table13[[#This Row],[No.of Units]])*18%</f>
        <v>51289.74</v>
      </c>
      <c r="T246" s="22" t="s">
        <v>1508</v>
      </c>
    </row>
    <row r="247" spans="2:20" x14ac:dyDescent="0.3">
      <c r="B247" s="5" t="s">
        <v>254</v>
      </c>
      <c r="C247" s="1">
        <v>8863009</v>
      </c>
      <c r="D247" s="1">
        <v>48</v>
      </c>
      <c r="E247" s="1" t="s">
        <v>12</v>
      </c>
      <c r="F247" s="16">
        <v>45721</v>
      </c>
      <c r="G247" s="1" t="s">
        <v>1475</v>
      </c>
      <c r="H247" s="1" t="s">
        <v>1471</v>
      </c>
      <c r="I247" s="17" t="s">
        <v>1504</v>
      </c>
      <c r="J247" s="18" t="s">
        <v>21</v>
      </c>
      <c r="K247" s="19" t="s">
        <v>18</v>
      </c>
      <c r="L247" s="19" t="s">
        <v>15</v>
      </c>
      <c r="M247" s="20">
        <v>11</v>
      </c>
      <c r="N247" s="21">
        <v>24900</v>
      </c>
      <c r="O247" s="22">
        <v>5</v>
      </c>
      <c r="P247" s="23">
        <v>260205</v>
      </c>
      <c r="Q247" s="22">
        <v>4.8</v>
      </c>
      <c r="R247" s="22">
        <v>20</v>
      </c>
      <c r="S247" s="23">
        <f>(Table13[[#This Row],[Unit Price]]*Table13[[#This Row],[No.of Units]])*18%</f>
        <v>49302</v>
      </c>
      <c r="T247" s="22" t="s">
        <v>1508</v>
      </c>
    </row>
    <row r="248" spans="2:20" x14ac:dyDescent="0.3">
      <c r="B248" s="5" t="s">
        <v>254</v>
      </c>
      <c r="C248" s="1">
        <v>8863009</v>
      </c>
      <c r="D248" s="1">
        <v>48</v>
      </c>
      <c r="E248" s="1" t="s">
        <v>12</v>
      </c>
      <c r="F248" s="16">
        <v>45721</v>
      </c>
      <c r="G248" s="1" t="s">
        <v>1475</v>
      </c>
      <c r="H248" s="1" t="s">
        <v>1483</v>
      </c>
      <c r="I248" s="17" t="s">
        <v>1505</v>
      </c>
      <c r="J248" s="18" t="s">
        <v>23</v>
      </c>
      <c r="K248" s="19" t="s">
        <v>14</v>
      </c>
      <c r="L248" s="19" t="s">
        <v>15</v>
      </c>
      <c r="M248" s="20">
        <v>5</v>
      </c>
      <c r="N248" s="21">
        <v>84999</v>
      </c>
      <c r="O248" s="22">
        <v>12</v>
      </c>
      <c r="P248" s="23">
        <v>373995.6</v>
      </c>
      <c r="Q248" s="22">
        <v>4.5</v>
      </c>
      <c r="R248" s="22">
        <v>20</v>
      </c>
      <c r="S248" s="23">
        <f>(Table13[[#This Row],[Unit Price]]*Table13[[#This Row],[No.of Units]])*18%</f>
        <v>76499.099999999991</v>
      </c>
      <c r="T248" s="22" t="s">
        <v>1508</v>
      </c>
    </row>
    <row r="249" spans="2:20" x14ac:dyDescent="0.3">
      <c r="B249" s="5" t="s">
        <v>255</v>
      </c>
      <c r="C249" s="1">
        <v>5771983</v>
      </c>
      <c r="D249" s="1">
        <v>43</v>
      </c>
      <c r="E249" s="1" t="s">
        <v>12</v>
      </c>
      <c r="F249" s="16">
        <v>45721</v>
      </c>
      <c r="G249" s="1" t="s">
        <v>1470</v>
      </c>
      <c r="H249" s="1" t="s">
        <v>1472</v>
      </c>
      <c r="I249" s="17" t="s">
        <v>1504</v>
      </c>
      <c r="J249" s="18" t="s">
        <v>25</v>
      </c>
      <c r="K249" s="19" t="s">
        <v>26</v>
      </c>
      <c r="L249" s="19" t="s">
        <v>15</v>
      </c>
      <c r="M249" s="20">
        <v>4</v>
      </c>
      <c r="N249" s="21">
        <v>69999</v>
      </c>
      <c r="O249" s="22">
        <v>8</v>
      </c>
      <c r="P249" s="23">
        <v>257596.32</v>
      </c>
      <c r="Q249" s="22">
        <v>4.8</v>
      </c>
      <c r="R249" s="22">
        <v>20</v>
      </c>
      <c r="S249" s="23">
        <f>(Table13[[#This Row],[Unit Price]]*Table13[[#This Row],[No.of Units]])*18%</f>
        <v>50399.28</v>
      </c>
      <c r="T249" s="22" t="s">
        <v>1508</v>
      </c>
    </row>
    <row r="250" spans="2:20" x14ac:dyDescent="0.3">
      <c r="B250" s="5" t="s">
        <v>256</v>
      </c>
      <c r="C250" s="1">
        <v>442536</v>
      </c>
      <c r="D250" s="1">
        <v>42</v>
      </c>
      <c r="E250" s="1" t="s">
        <v>12</v>
      </c>
      <c r="F250" s="16">
        <v>45721</v>
      </c>
      <c r="G250" s="1" t="s">
        <v>1470</v>
      </c>
      <c r="H250" s="1" t="s">
        <v>1472</v>
      </c>
      <c r="I250" s="17" t="s">
        <v>1503</v>
      </c>
      <c r="J250" s="18" t="s">
        <v>28</v>
      </c>
      <c r="K250" s="19" t="s">
        <v>26</v>
      </c>
      <c r="L250" s="19" t="s">
        <v>15</v>
      </c>
      <c r="M250" s="20">
        <v>9</v>
      </c>
      <c r="N250" s="21">
        <v>42999</v>
      </c>
      <c r="O250" s="22">
        <v>15</v>
      </c>
      <c r="P250" s="23">
        <v>328942.34999999998</v>
      </c>
      <c r="Q250" s="22">
        <v>4.5999999999999996</v>
      </c>
      <c r="R250" s="22">
        <v>20</v>
      </c>
      <c r="S250" s="23">
        <f>(Table13[[#This Row],[Unit Price]]*Table13[[#This Row],[No.of Units]])*18%</f>
        <v>69658.38</v>
      </c>
      <c r="T250" s="22" t="s">
        <v>1508</v>
      </c>
    </row>
    <row r="251" spans="2:20" x14ac:dyDescent="0.3">
      <c r="B251" s="5" t="s">
        <v>257</v>
      </c>
      <c r="C251" s="1">
        <v>5850336</v>
      </c>
      <c r="D251" s="1">
        <v>35</v>
      </c>
      <c r="E251" s="1" t="s">
        <v>12</v>
      </c>
      <c r="F251" s="16">
        <v>45721</v>
      </c>
      <c r="G251" s="1" t="s">
        <v>1470</v>
      </c>
      <c r="H251" s="1" t="s">
        <v>1471</v>
      </c>
      <c r="I251" s="17" t="s">
        <v>1502</v>
      </c>
      <c r="J251" s="18" t="s">
        <v>13</v>
      </c>
      <c r="K251" s="19" t="s">
        <v>14</v>
      </c>
      <c r="L251" s="19" t="s">
        <v>29</v>
      </c>
      <c r="M251" s="20">
        <v>6</v>
      </c>
      <c r="N251" s="21">
        <v>99999</v>
      </c>
      <c r="O251" s="22">
        <v>10</v>
      </c>
      <c r="P251" s="23">
        <v>539994.6</v>
      </c>
      <c r="Q251" s="22">
        <v>4.7</v>
      </c>
      <c r="R251" s="22">
        <v>20</v>
      </c>
      <c r="S251" s="23">
        <f>(Table13[[#This Row],[Unit Price]]*Table13[[#This Row],[No.of Units]])*18%</f>
        <v>107998.92</v>
      </c>
      <c r="T251" s="22" t="s">
        <v>1507</v>
      </c>
    </row>
    <row r="252" spans="2:20" x14ac:dyDescent="0.3">
      <c r="B252" s="5" t="s">
        <v>258</v>
      </c>
      <c r="C252" s="1">
        <v>7926847</v>
      </c>
      <c r="D252" s="1">
        <v>32</v>
      </c>
      <c r="E252" s="1" t="s">
        <v>12</v>
      </c>
      <c r="F252" s="16">
        <v>45721</v>
      </c>
      <c r="G252" s="1" t="s">
        <v>1470</v>
      </c>
      <c r="H252" s="1" t="s">
        <v>1471</v>
      </c>
      <c r="I252" s="17" t="s">
        <v>1503</v>
      </c>
      <c r="J252" s="18" t="s">
        <v>17</v>
      </c>
      <c r="K252" s="19" t="s">
        <v>18</v>
      </c>
      <c r="L252" s="19" t="s">
        <v>29</v>
      </c>
      <c r="M252" s="20">
        <v>71</v>
      </c>
      <c r="N252" s="21">
        <v>4999</v>
      </c>
      <c r="O252" s="22">
        <v>18</v>
      </c>
      <c r="P252" s="23">
        <v>291041.78000000003</v>
      </c>
      <c r="Q252" s="22">
        <v>4.4000000000000004</v>
      </c>
      <c r="R252" s="22">
        <v>20</v>
      </c>
      <c r="S252" s="23">
        <f>(Table13[[#This Row],[Unit Price]]*Table13[[#This Row],[No.of Units]])*18%</f>
        <v>63887.22</v>
      </c>
      <c r="T252" s="22" t="s">
        <v>1507</v>
      </c>
    </row>
    <row r="253" spans="2:20" x14ac:dyDescent="0.3">
      <c r="B253" s="5" t="s">
        <v>259</v>
      </c>
      <c r="C253" s="1">
        <v>1525291</v>
      </c>
      <c r="D253" s="1">
        <v>75</v>
      </c>
      <c r="E253" s="1" t="s">
        <v>20</v>
      </c>
      <c r="F253" s="16">
        <v>45721</v>
      </c>
      <c r="G253" s="1" t="s">
        <v>1470</v>
      </c>
      <c r="H253" s="1" t="s">
        <v>1482</v>
      </c>
      <c r="I253" s="17" t="s">
        <v>1504</v>
      </c>
      <c r="J253" s="18" t="s">
        <v>21</v>
      </c>
      <c r="K253" s="19" t="s">
        <v>18</v>
      </c>
      <c r="L253" s="19" t="s">
        <v>29</v>
      </c>
      <c r="M253" s="20">
        <v>16</v>
      </c>
      <c r="N253" s="21">
        <v>24900</v>
      </c>
      <c r="O253" s="22">
        <v>5</v>
      </c>
      <c r="P253" s="23">
        <v>378480</v>
      </c>
      <c r="Q253" s="22">
        <v>4.8</v>
      </c>
      <c r="R253" s="22">
        <v>20</v>
      </c>
      <c r="S253" s="23">
        <f>(Table13[[#This Row],[Unit Price]]*Table13[[#This Row],[No.of Units]])*18%</f>
        <v>71712</v>
      </c>
      <c r="T253" s="22" t="s">
        <v>1507</v>
      </c>
    </row>
    <row r="254" spans="2:20" x14ac:dyDescent="0.3">
      <c r="B254" s="5" t="s">
        <v>260</v>
      </c>
      <c r="C254" s="1">
        <v>4283278</v>
      </c>
      <c r="D254" s="1">
        <v>28</v>
      </c>
      <c r="E254" s="1" t="s">
        <v>12</v>
      </c>
      <c r="F254" s="16">
        <v>45721</v>
      </c>
      <c r="G254" s="1" t="s">
        <v>1470</v>
      </c>
      <c r="H254" s="1" t="s">
        <v>1482</v>
      </c>
      <c r="I254" s="17" t="s">
        <v>1505</v>
      </c>
      <c r="J254" s="18" t="s">
        <v>23</v>
      </c>
      <c r="K254" s="19" t="s">
        <v>14</v>
      </c>
      <c r="L254" s="19" t="s">
        <v>29</v>
      </c>
      <c r="M254" s="20">
        <v>4</v>
      </c>
      <c r="N254" s="21">
        <v>84999</v>
      </c>
      <c r="O254" s="22">
        <v>12</v>
      </c>
      <c r="P254" s="23">
        <v>299196.48</v>
      </c>
      <c r="Q254" s="22">
        <v>4.5</v>
      </c>
      <c r="R254" s="22">
        <v>20</v>
      </c>
      <c r="S254" s="23">
        <f>(Table13[[#This Row],[Unit Price]]*Table13[[#This Row],[No.of Units]])*18%</f>
        <v>61199.28</v>
      </c>
      <c r="T254" s="22" t="s">
        <v>1508</v>
      </c>
    </row>
    <row r="255" spans="2:20" x14ac:dyDescent="0.3">
      <c r="B255" s="5" t="s">
        <v>261</v>
      </c>
      <c r="C255" s="1">
        <v>4667355</v>
      </c>
      <c r="D255" s="1">
        <v>64</v>
      </c>
      <c r="E255" s="1" t="s">
        <v>20</v>
      </c>
      <c r="F255" s="16">
        <v>45721</v>
      </c>
      <c r="G255" s="1" t="s">
        <v>1470</v>
      </c>
      <c r="H255" s="1" t="s">
        <v>1483</v>
      </c>
      <c r="I255" s="17" t="s">
        <v>1504</v>
      </c>
      <c r="J255" s="18" t="s">
        <v>25</v>
      </c>
      <c r="K255" s="19" t="s">
        <v>26</v>
      </c>
      <c r="L255" s="19" t="s">
        <v>29</v>
      </c>
      <c r="M255" s="20">
        <v>2</v>
      </c>
      <c r="N255" s="21">
        <v>69999</v>
      </c>
      <c r="O255" s="22">
        <v>8</v>
      </c>
      <c r="P255" s="23">
        <v>128798.16</v>
      </c>
      <c r="Q255" s="22">
        <v>4.8</v>
      </c>
      <c r="R255" s="22">
        <v>20</v>
      </c>
      <c r="S255" s="23">
        <f>(Table13[[#This Row],[Unit Price]]*Table13[[#This Row],[No.of Units]])*18%</f>
        <v>25199.64</v>
      </c>
      <c r="T255" s="22" t="s">
        <v>1507</v>
      </c>
    </row>
    <row r="256" spans="2:20" x14ac:dyDescent="0.3">
      <c r="B256" s="5" t="s">
        <v>262</v>
      </c>
      <c r="C256" s="1">
        <v>85101</v>
      </c>
      <c r="D256" s="1">
        <v>29</v>
      </c>
      <c r="E256" s="1" t="s">
        <v>12</v>
      </c>
      <c r="F256" s="16">
        <v>45721</v>
      </c>
      <c r="G256" s="1" t="s">
        <v>1470</v>
      </c>
      <c r="H256" s="1" t="s">
        <v>1471</v>
      </c>
      <c r="I256" s="17" t="s">
        <v>1503</v>
      </c>
      <c r="J256" s="18" t="s">
        <v>28</v>
      </c>
      <c r="K256" s="19" t="s">
        <v>26</v>
      </c>
      <c r="L256" s="19" t="s">
        <v>29</v>
      </c>
      <c r="M256" s="20">
        <v>6</v>
      </c>
      <c r="N256" s="21">
        <v>42999</v>
      </c>
      <c r="O256" s="22">
        <v>15</v>
      </c>
      <c r="P256" s="23">
        <v>219294.9</v>
      </c>
      <c r="Q256" s="22">
        <v>4.5999999999999996</v>
      </c>
      <c r="R256" s="22">
        <v>20</v>
      </c>
      <c r="S256" s="23">
        <f>(Table13[[#This Row],[Unit Price]]*Table13[[#This Row],[No.of Units]])*18%</f>
        <v>46438.92</v>
      </c>
      <c r="T256" s="22" t="s">
        <v>1507</v>
      </c>
    </row>
    <row r="257" spans="2:20" x14ac:dyDescent="0.3">
      <c r="B257" s="5" t="s">
        <v>263</v>
      </c>
      <c r="C257" s="1">
        <v>4215381</v>
      </c>
      <c r="D257" s="1">
        <v>41</v>
      </c>
      <c r="E257" s="1" t="s">
        <v>12</v>
      </c>
      <c r="F257" s="16">
        <v>45721</v>
      </c>
      <c r="G257" s="1" t="s">
        <v>1470</v>
      </c>
      <c r="H257" s="1" t="s">
        <v>1482</v>
      </c>
      <c r="I257" s="17" t="s">
        <v>1502</v>
      </c>
      <c r="J257" s="18" t="s">
        <v>13</v>
      </c>
      <c r="K257" s="19" t="s">
        <v>14</v>
      </c>
      <c r="L257" s="19" t="s">
        <v>35</v>
      </c>
      <c r="M257" s="20">
        <v>3</v>
      </c>
      <c r="N257" s="21">
        <v>99999</v>
      </c>
      <c r="O257" s="22">
        <v>10</v>
      </c>
      <c r="P257" s="23">
        <v>269997.3</v>
      </c>
      <c r="Q257" s="22">
        <v>4.7</v>
      </c>
      <c r="R257" s="22">
        <v>20</v>
      </c>
      <c r="S257" s="23">
        <f>(Table13[[#This Row],[Unit Price]]*Table13[[#This Row],[No.of Units]])*18%</f>
        <v>53999.46</v>
      </c>
      <c r="T257" s="22" t="s">
        <v>1508</v>
      </c>
    </row>
    <row r="258" spans="2:20" x14ac:dyDescent="0.3">
      <c r="B258" s="5" t="s">
        <v>264</v>
      </c>
      <c r="C258" s="1">
        <v>8558087</v>
      </c>
      <c r="D258" s="1">
        <v>40</v>
      </c>
      <c r="E258" s="1" t="s">
        <v>12</v>
      </c>
      <c r="F258" s="16">
        <v>45721</v>
      </c>
      <c r="G258" s="1" t="s">
        <v>1470</v>
      </c>
      <c r="H258" s="1" t="s">
        <v>1471</v>
      </c>
      <c r="I258" s="17" t="s">
        <v>1503</v>
      </c>
      <c r="J258" s="18" t="s">
        <v>17</v>
      </c>
      <c r="K258" s="19" t="s">
        <v>18</v>
      </c>
      <c r="L258" s="19" t="s">
        <v>35</v>
      </c>
      <c r="M258" s="20">
        <v>35</v>
      </c>
      <c r="N258" s="21">
        <v>4999</v>
      </c>
      <c r="O258" s="22">
        <v>18</v>
      </c>
      <c r="P258" s="23">
        <v>143471.29999999999</v>
      </c>
      <c r="Q258" s="22">
        <v>4.4000000000000004</v>
      </c>
      <c r="R258" s="22">
        <v>20</v>
      </c>
      <c r="S258" s="23">
        <f>(Table13[[#This Row],[Unit Price]]*Table13[[#This Row],[No.of Units]])*18%</f>
        <v>31493.699999999997</v>
      </c>
      <c r="T258" s="22" t="s">
        <v>1508</v>
      </c>
    </row>
    <row r="259" spans="2:20" x14ac:dyDescent="0.3">
      <c r="B259" s="5" t="s">
        <v>265</v>
      </c>
      <c r="C259" s="1">
        <v>5827792</v>
      </c>
      <c r="D259" s="1">
        <v>18</v>
      </c>
      <c r="E259" s="1" t="s">
        <v>34</v>
      </c>
      <c r="F259" s="16">
        <v>45721</v>
      </c>
      <c r="G259" s="1" t="s">
        <v>1470</v>
      </c>
      <c r="H259" s="1" t="s">
        <v>1472</v>
      </c>
      <c r="I259" s="17" t="s">
        <v>1504</v>
      </c>
      <c r="J259" s="18" t="s">
        <v>21</v>
      </c>
      <c r="K259" s="19" t="s">
        <v>18</v>
      </c>
      <c r="L259" s="19" t="s">
        <v>35</v>
      </c>
      <c r="M259" s="20">
        <v>5</v>
      </c>
      <c r="N259" s="21">
        <v>24900</v>
      </c>
      <c r="O259" s="22">
        <v>5</v>
      </c>
      <c r="P259" s="23">
        <v>118275</v>
      </c>
      <c r="Q259" s="22">
        <v>4.8</v>
      </c>
      <c r="R259" s="22">
        <v>20</v>
      </c>
      <c r="S259" s="23">
        <f>(Table13[[#This Row],[Unit Price]]*Table13[[#This Row],[No.of Units]])*18%</f>
        <v>22410</v>
      </c>
      <c r="T259" s="22" t="s">
        <v>1508</v>
      </c>
    </row>
    <row r="260" spans="2:20" x14ac:dyDescent="0.3">
      <c r="B260" s="5" t="s">
        <v>266</v>
      </c>
      <c r="C260" s="1">
        <v>6723060</v>
      </c>
      <c r="D260" s="1">
        <v>31</v>
      </c>
      <c r="E260" s="1" t="s">
        <v>12</v>
      </c>
      <c r="F260" s="16">
        <v>45721</v>
      </c>
      <c r="G260" s="1" t="s">
        <v>1470</v>
      </c>
      <c r="H260" s="1" t="s">
        <v>1482</v>
      </c>
      <c r="I260" s="17" t="s">
        <v>1505</v>
      </c>
      <c r="J260" s="18" t="s">
        <v>23</v>
      </c>
      <c r="K260" s="19" t="s">
        <v>14</v>
      </c>
      <c r="L260" s="19" t="s">
        <v>35</v>
      </c>
      <c r="M260" s="20">
        <v>1</v>
      </c>
      <c r="N260" s="21">
        <v>84999</v>
      </c>
      <c r="O260" s="22">
        <v>12</v>
      </c>
      <c r="P260" s="23">
        <v>74799.12</v>
      </c>
      <c r="Q260" s="22">
        <v>4.5</v>
      </c>
      <c r="R260" s="22">
        <v>20</v>
      </c>
      <c r="S260" s="23">
        <f>(Table13[[#This Row],[Unit Price]]*Table13[[#This Row],[No.of Units]])*18%</f>
        <v>15299.82</v>
      </c>
      <c r="T260" s="22" t="s">
        <v>1508</v>
      </c>
    </row>
    <row r="261" spans="2:20" x14ac:dyDescent="0.3">
      <c r="B261" s="5" t="s">
        <v>267</v>
      </c>
      <c r="C261" s="1">
        <v>2944135</v>
      </c>
      <c r="D261" s="1">
        <v>44</v>
      </c>
      <c r="E261" s="1" t="s">
        <v>12</v>
      </c>
      <c r="F261" s="16">
        <v>45721</v>
      </c>
      <c r="G261" s="1" t="s">
        <v>1470</v>
      </c>
      <c r="H261" s="1" t="s">
        <v>1482</v>
      </c>
      <c r="I261" s="17" t="s">
        <v>1504</v>
      </c>
      <c r="J261" s="18" t="s">
        <v>25</v>
      </c>
      <c r="K261" s="19" t="s">
        <v>26</v>
      </c>
      <c r="L261" s="19" t="s">
        <v>35</v>
      </c>
      <c r="M261" s="20">
        <v>2</v>
      </c>
      <c r="N261" s="21">
        <v>69999</v>
      </c>
      <c r="O261" s="22">
        <v>8</v>
      </c>
      <c r="P261" s="23">
        <v>128798.16</v>
      </c>
      <c r="Q261" s="22">
        <v>4.8</v>
      </c>
      <c r="R261" s="22">
        <v>20</v>
      </c>
      <c r="S261" s="23">
        <f>(Table13[[#This Row],[Unit Price]]*Table13[[#This Row],[No.of Units]])*18%</f>
        <v>25199.64</v>
      </c>
      <c r="T261" s="22" t="s">
        <v>1507</v>
      </c>
    </row>
    <row r="262" spans="2:20" x14ac:dyDescent="0.3">
      <c r="B262" s="5" t="s">
        <v>268</v>
      </c>
      <c r="C262" s="1">
        <v>5156440</v>
      </c>
      <c r="D262" s="1">
        <v>32</v>
      </c>
      <c r="E262" s="1" t="s">
        <v>12</v>
      </c>
      <c r="F262" s="16">
        <v>45721</v>
      </c>
      <c r="G262" s="1" t="s">
        <v>1470</v>
      </c>
      <c r="H262" s="1" t="s">
        <v>1471</v>
      </c>
      <c r="I262" s="17" t="s">
        <v>1503</v>
      </c>
      <c r="J262" s="18" t="s">
        <v>28</v>
      </c>
      <c r="K262" s="19" t="s">
        <v>26</v>
      </c>
      <c r="L262" s="19" t="s">
        <v>35</v>
      </c>
      <c r="M262" s="20">
        <v>5</v>
      </c>
      <c r="N262" s="21">
        <v>42999</v>
      </c>
      <c r="O262" s="22">
        <v>15</v>
      </c>
      <c r="P262" s="23">
        <v>182745.75</v>
      </c>
      <c r="Q262" s="22">
        <v>4.5999999999999996</v>
      </c>
      <c r="R262" s="22">
        <v>20</v>
      </c>
      <c r="S262" s="23">
        <f>(Table13[[#This Row],[Unit Price]]*Table13[[#This Row],[No.of Units]])*18%</f>
        <v>38699.1</v>
      </c>
      <c r="T262" s="22" t="s">
        <v>1508</v>
      </c>
    </row>
    <row r="263" spans="2:20" x14ac:dyDescent="0.3">
      <c r="B263" s="5" t="s">
        <v>269</v>
      </c>
      <c r="C263" s="1">
        <v>228693</v>
      </c>
      <c r="D263" s="1">
        <v>41</v>
      </c>
      <c r="E263" s="1" t="s">
        <v>12</v>
      </c>
      <c r="F263" s="16">
        <v>45721</v>
      </c>
      <c r="G263" s="1" t="s">
        <v>1470</v>
      </c>
      <c r="H263" s="1" t="s">
        <v>1483</v>
      </c>
      <c r="I263" s="17" t="s">
        <v>1502</v>
      </c>
      <c r="J263" s="18" t="s">
        <v>13</v>
      </c>
      <c r="K263" s="19" t="s">
        <v>14</v>
      </c>
      <c r="L263" s="19" t="s">
        <v>42</v>
      </c>
      <c r="M263" s="20">
        <v>3</v>
      </c>
      <c r="N263" s="21">
        <v>99999</v>
      </c>
      <c r="O263" s="22">
        <v>10</v>
      </c>
      <c r="P263" s="23">
        <v>269997.3</v>
      </c>
      <c r="Q263" s="22">
        <v>4.7</v>
      </c>
      <c r="R263" s="22">
        <v>20</v>
      </c>
      <c r="S263" s="23">
        <f>(Table13[[#This Row],[Unit Price]]*Table13[[#This Row],[No.of Units]])*18%</f>
        <v>53999.46</v>
      </c>
      <c r="T263" s="22" t="s">
        <v>1507</v>
      </c>
    </row>
    <row r="264" spans="2:20" x14ac:dyDescent="0.3">
      <c r="B264" s="5" t="s">
        <v>270</v>
      </c>
      <c r="C264" s="1">
        <v>2147583</v>
      </c>
      <c r="D264" s="1">
        <v>21</v>
      </c>
      <c r="E264" s="1" t="s">
        <v>12</v>
      </c>
      <c r="F264" s="16">
        <v>45721</v>
      </c>
      <c r="G264" s="1" t="s">
        <v>1470</v>
      </c>
      <c r="H264" s="1" t="s">
        <v>1471</v>
      </c>
      <c r="I264" s="17" t="s">
        <v>1503</v>
      </c>
      <c r="J264" s="18" t="s">
        <v>17</v>
      </c>
      <c r="K264" s="19" t="s">
        <v>18</v>
      </c>
      <c r="L264" s="19" t="s">
        <v>42</v>
      </c>
      <c r="M264" s="20">
        <v>33</v>
      </c>
      <c r="N264" s="21">
        <v>4999</v>
      </c>
      <c r="O264" s="22">
        <v>18</v>
      </c>
      <c r="P264" s="23">
        <v>135272.94</v>
      </c>
      <c r="Q264" s="22">
        <v>4.4000000000000004</v>
      </c>
      <c r="R264" s="22">
        <v>20</v>
      </c>
      <c r="S264" s="23">
        <f>(Table13[[#This Row],[Unit Price]]*Table13[[#This Row],[No.of Units]])*18%</f>
        <v>29694.059999999998</v>
      </c>
      <c r="T264" s="22" t="s">
        <v>1507</v>
      </c>
    </row>
    <row r="265" spans="2:20" x14ac:dyDescent="0.3">
      <c r="B265" s="5" t="s">
        <v>271</v>
      </c>
      <c r="C265" s="1">
        <v>6048700</v>
      </c>
      <c r="D265" s="1">
        <v>36</v>
      </c>
      <c r="E265" s="1" t="s">
        <v>12</v>
      </c>
      <c r="F265" s="16">
        <v>45721</v>
      </c>
      <c r="G265" s="1" t="s">
        <v>1470</v>
      </c>
      <c r="H265" s="1" t="s">
        <v>1472</v>
      </c>
      <c r="I265" s="17" t="s">
        <v>1504</v>
      </c>
      <c r="J265" s="18" t="s">
        <v>21</v>
      </c>
      <c r="K265" s="19" t="s">
        <v>18</v>
      </c>
      <c r="L265" s="19" t="s">
        <v>42</v>
      </c>
      <c r="M265" s="20">
        <v>15</v>
      </c>
      <c r="N265" s="21">
        <v>24900</v>
      </c>
      <c r="O265" s="22">
        <v>5</v>
      </c>
      <c r="P265" s="23">
        <v>354825</v>
      </c>
      <c r="Q265" s="22">
        <v>4.8</v>
      </c>
      <c r="R265" s="22">
        <v>20</v>
      </c>
      <c r="S265" s="23">
        <f>(Table13[[#This Row],[Unit Price]]*Table13[[#This Row],[No.of Units]])*18%</f>
        <v>67230</v>
      </c>
      <c r="T265" s="22" t="s">
        <v>1507</v>
      </c>
    </row>
    <row r="266" spans="2:20" x14ac:dyDescent="0.3">
      <c r="B266" s="5" t="s">
        <v>272</v>
      </c>
      <c r="C266" s="1">
        <v>6722174</v>
      </c>
      <c r="D266" s="1">
        <v>48</v>
      </c>
      <c r="E266" s="1" t="s">
        <v>12</v>
      </c>
      <c r="F266" s="16">
        <v>45721</v>
      </c>
      <c r="G266" s="1" t="s">
        <v>1474</v>
      </c>
      <c r="H266" s="1" t="s">
        <v>1472</v>
      </c>
      <c r="I266" s="17" t="s">
        <v>1505</v>
      </c>
      <c r="J266" s="18" t="s">
        <v>23</v>
      </c>
      <c r="K266" s="19" t="s">
        <v>14</v>
      </c>
      <c r="L266" s="19" t="s">
        <v>42</v>
      </c>
      <c r="M266" s="20">
        <v>5</v>
      </c>
      <c r="N266" s="21">
        <v>84999</v>
      </c>
      <c r="O266" s="22">
        <v>12</v>
      </c>
      <c r="P266" s="23">
        <v>373995.6</v>
      </c>
      <c r="Q266" s="22">
        <v>4.5</v>
      </c>
      <c r="R266" s="22">
        <v>20</v>
      </c>
      <c r="S266" s="23">
        <f>(Table13[[#This Row],[Unit Price]]*Table13[[#This Row],[No.of Units]])*18%</f>
        <v>76499.099999999991</v>
      </c>
      <c r="T266" s="22" t="s">
        <v>1507</v>
      </c>
    </row>
    <row r="267" spans="2:20" x14ac:dyDescent="0.3">
      <c r="B267" s="5" t="s">
        <v>273</v>
      </c>
      <c r="C267" s="1">
        <v>9624470</v>
      </c>
      <c r="D267" s="1">
        <v>48</v>
      </c>
      <c r="E267" s="1" t="s">
        <v>12</v>
      </c>
      <c r="F267" s="16">
        <v>45721</v>
      </c>
      <c r="G267" s="1" t="s">
        <v>1474</v>
      </c>
      <c r="H267" s="1" t="s">
        <v>1483</v>
      </c>
      <c r="I267" s="17" t="s">
        <v>1504</v>
      </c>
      <c r="J267" s="18" t="s">
        <v>25</v>
      </c>
      <c r="K267" s="19" t="s">
        <v>26</v>
      </c>
      <c r="L267" s="19" t="s">
        <v>42</v>
      </c>
      <c r="M267" s="20">
        <v>4</v>
      </c>
      <c r="N267" s="21">
        <v>69999</v>
      </c>
      <c r="O267" s="22">
        <v>8</v>
      </c>
      <c r="P267" s="23">
        <v>257596.32</v>
      </c>
      <c r="Q267" s="22">
        <v>4.8</v>
      </c>
      <c r="R267" s="22">
        <v>20</v>
      </c>
      <c r="S267" s="23">
        <f>(Table13[[#This Row],[Unit Price]]*Table13[[#This Row],[No.of Units]])*18%</f>
        <v>50399.28</v>
      </c>
      <c r="T267" s="22" t="s">
        <v>1508</v>
      </c>
    </row>
    <row r="268" spans="2:20" x14ac:dyDescent="0.3">
      <c r="B268" s="5" t="s">
        <v>274</v>
      </c>
      <c r="C268" s="1">
        <v>8164407</v>
      </c>
      <c r="D268" s="1">
        <v>21</v>
      </c>
      <c r="E268" s="1" t="s">
        <v>12</v>
      </c>
      <c r="F268" s="16">
        <v>45721</v>
      </c>
      <c r="G268" s="1" t="s">
        <v>1470</v>
      </c>
      <c r="H268" s="1" t="s">
        <v>1482</v>
      </c>
      <c r="I268" s="17" t="s">
        <v>1503</v>
      </c>
      <c r="J268" s="18" t="s">
        <v>28</v>
      </c>
      <c r="K268" s="19" t="s">
        <v>26</v>
      </c>
      <c r="L268" s="19" t="s">
        <v>42</v>
      </c>
      <c r="M268" s="20">
        <v>10</v>
      </c>
      <c r="N268" s="21">
        <v>42999</v>
      </c>
      <c r="O268" s="22">
        <v>15</v>
      </c>
      <c r="P268" s="23">
        <v>365491.5</v>
      </c>
      <c r="Q268" s="22">
        <v>4.5999999999999996</v>
      </c>
      <c r="R268" s="22">
        <v>20</v>
      </c>
      <c r="S268" s="23">
        <f>(Table13[[#This Row],[Unit Price]]*Table13[[#This Row],[No.of Units]])*18%</f>
        <v>77398.2</v>
      </c>
      <c r="T268" s="22" t="s">
        <v>1507</v>
      </c>
    </row>
    <row r="269" spans="2:20" x14ac:dyDescent="0.3">
      <c r="B269" s="5" t="s">
        <v>275</v>
      </c>
      <c r="C269" s="1">
        <v>9640916</v>
      </c>
      <c r="D269" s="1">
        <v>46</v>
      </c>
      <c r="E269" s="1" t="s">
        <v>12</v>
      </c>
      <c r="F269" s="16">
        <v>45721</v>
      </c>
      <c r="G269" s="1" t="s">
        <v>1470</v>
      </c>
      <c r="H269" s="1" t="s">
        <v>1482</v>
      </c>
      <c r="I269" s="17" t="s">
        <v>1502</v>
      </c>
      <c r="J269" s="18" t="s">
        <v>13</v>
      </c>
      <c r="K269" s="19" t="s">
        <v>14</v>
      </c>
      <c r="L269" s="19" t="s">
        <v>49</v>
      </c>
      <c r="M269" s="20">
        <v>4</v>
      </c>
      <c r="N269" s="21">
        <v>99999</v>
      </c>
      <c r="O269" s="22">
        <v>10</v>
      </c>
      <c r="P269" s="23">
        <v>359996.4</v>
      </c>
      <c r="Q269" s="22">
        <v>4.7</v>
      </c>
      <c r="R269" s="22">
        <v>20</v>
      </c>
      <c r="S269" s="23">
        <f>(Table13[[#This Row],[Unit Price]]*Table13[[#This Row],[No.of Units]])*18%</f>
        <v>71999.28</v>
      </c>
      <c r="T269" s="22" t="s">
        <v>1508</v>
      </c>
    </row>
    <row r="270" spans="2:20" x14ac:dyDescent="0.3">
      <c r="B270" s="5" t="s">
        <v>276</v>
      </c>
      <c r="C270" s="1">
        <v>915050</v>
      </c>
      <c r="D270" s="1">
        <v>40</v>
      </c>
      <c r="E270" s="1" t="s">
        <v>12</v>
      </c>
      <c r="F270" s="16">
        <v>45721</v>
      </c>
      <c r="G270" s="1" t="s">
        <v>1475</v>
      </c>
      <c r="H270" s="1" t="s">
        <v>1472</v>
      </c>
      <c r="I270" s="17" t="s">
        <v>1503</v>
      </c>
      <c r="J270" s="18" t="s">
        <v>17</v>
      </c>
      <c r="K270" s="19" t="s">
        <v>18</v>
      </c>
      <c r="L270" s="19" t="s">
        <v>49</v>
      </c>
      <c r="M270" s="20">
        <v>40</v>
      </c>
      <c r="N270" s="21">
        <v>4999</v>
      </c>
      <c r="O270" s="22">
        <v>18</v>
      </c>
      <c r="P270" s="23">
        <v>163967.20000000001</v>
      </c>
      <c r="Q270" s="22">
        <v>4.4000000000000004</v>
      </c>
      <c r="R270" s="22">
        <v>20</v>
      </c>
      <c r="S270" s="23">
        <f>(Table13[[#This Row],[Unit Price]]*Table13[[#This Row],[No.of Units]])*18%</f>
        <v>35992.799999999996</v>
      </c>
      <c r="T270" s="22" t="s">
        <v>1508</v>
      </c>
    </row>
    <row r="271" spans="2:20" x14ac:dyDescent="0.3">
      <c r="B271" s="5" t="s">
        <v>277</v>
      </c>
      <c r="C271" s="1">
        <v>9285338</v>
      </c>
      <c r="D271" s="1">
        <v>23</v>
      </c>
      <c r="E271" s="1" t="s">
        <v>12</v>
      </c>
      <c r="F271" s="16">
        <v>45721</v>
      </c>
      <c r="G271" s="1" t="s">
        <v>1470</v>
      </c>
      <c r="H271" s="1" t="s">
        <v>1471</v>
      </c>
      <c r="I271" s="17" t="s">
        <v>1504</v>
      </c>
      <c r="J271" s="18" t="s">
        <v>21</v>
      </c>
      <c r="K271" s="19" t="s">
        <v>18</v>
      </c>
      <c r="L271" s="19" t="s">
        <v>49</v>
      </c>
      <c r="M271" s="20">
        <v>15</v>
      </c>
      <c r="N271" s="21">
        <v>24900</v>
      </c>
      <c r="O271" s="22">
        <v>5</v>
      </c>
      <c r="P271" s="23">
        <v>354825</v>
      </c>
      <c r="Q271" s="22">
        <v>4.8</v>
      </c>
      <c r="R271" s="22">
        <v>20</v>
      </c>
      <c r="S271" s="23">
        <f>(Table13[[#This Row],[Unit Price]]*Table13[[#This Row],[No.of Units]])*18%</f>
        <v>67230</v>
      </c>
      <c r="T271" s="22" t="s">
        <v>1508</v>
      </c>
    </row>
    <row r="272" spans="2:20" x14ac:dyDescent="0.3">
      <c r="B272" s="5" t="s">
        <v>278</v>
      </c>
      <c r="C272" s="1">
        <v>644445</v>
      </c>
      <c r="D272" s="1">
        <v>43</v>
      </c>
      <c r="E272" s="1" t="s">
        <v>12</v>
      </c>
      <c r="F272" s="16">
        <v>45721</v>
      </c>
      <c r="G272" s="1" t="s">
        <v>1470</v>
      </c>
      <c r="H272" s="1" t="s">
        <v>1471</v>
      </c>
      <c r="I272" s="17" t="s">
        <v>1505</v>
      </c>
      <c r="J272" s="18" t="s">
        <v>23</v>
      </c>
      <c r="K272" s="19" t="s">
        <v>14</v>
      </c>
      <c r="L272" s="19" t="s">
        <v>49</v>
      </c>
      <c r="M272" s="20">
        <v>2</v>
      </c>
      <c r="N272" s="21">
        <v>84999</v>
      </c>
      <c r="O272" s="22">
        <v>12</v>
      </c>
      <c r="P272" s="23">
        <v>149598.24</v>
      </c>
      <c r="Q272" s="22">
        <v>4.5</v>
      </c>
      <c r="R272" s="22">
        <v>20</v>
      </c>
      <c r="S272" s="23">
        <f>(Table13[[#This Row],[Unit Price]]*Table13[[#This Row],[No.of Units]])*18%</f>
        <v>30599.64</v>
      </c>
      <c r="T272" s="22" t="s">
        <v>1508</v>
      </c>
    </row>
    <row r="273" spans="2:20" x14ac:dyDescent="0.3">
      <c r="B273" s="5" t="s">
        <v>279</v>
      </c>
      <c r="C273" s="1">
        <v>4997330</v>
      </c>
      <c r="D273" s="1">
        <v>23</v>
      </c>
      <c r="E273" s="1" t="s">
        <v>12</v>
      </c>
      <c r="F273" s="16">
        <v>45721</v>
      </c>
      <c r="G273" s="1" t="s">
        <v>1470</v>
      </c>
      <c r="H273" s="1" t="s">
        <v>1480</v>
      </c>
      <c r="I273" s="17" t="s">
        <v>1504</v>
      </c>
      <c r="J273" s="18" t="s">
        <v>25</v>
      </c>
      <c r="K273" s="19" t="s">
        <v>26</v>
      </c>
      <c r="L273" s="19" t="s">
        <v>49</v>
      </c>
      <c r="M273" s="20">
        <v>4</v>
      </c>
      <c r="N273" s="21">
        <v>69999</v>
      </c>
      <c r="O273" s="22">
        <v>8</v>
      </c>
      <c r="P273" s="23">
        <v>257596.32</v>
      </c>
      <c r="Q273" s="22">
        <v>4.8</v>
      </c>
      <c r="R273" s="22">
        <v>20</v>
      </c>
      <c r="S273" s="23">
        <f>(Table13[[#This Row],[Unit Price]]*Table13[[#This Row],[No.of Units]])*18%</f>
        <v>50399.28</v>
      </c>
      <c r="T273" s="22" t="s">
        <v>1508</v>
      </c>
    </row>
    <row r="274" spans="2:20" x14ac:dyDescent="0.3">
      <c r="B274" s="5" t="s">
        <v>280</v>
      </c>
      <c r="C274" s="1">
        <v>3048145</v>
      </c>
      <c r="D274" s="1">
        <v>72</v>
      </c>
      <c r="E274" s="1" t="s">
        <v>20</v>
      </c>
      <c r="F274" s="16">
        <v>45721</v>
      </c>
      <c r="G274" s="1" t="s">
        <v>1470</v>
      </c>
      <c r="H274" s="1" t="s">
        <v>1471</v>
      </c>
      <c r="I274" s="17" t="s">
        <v>1503</v>
      </c>
      <c r="J274" s="18" t="s">
        <v>28</v>
      </c>
      <c r="K274" s="19" t="s">
        <v>26</v>
      </c>
      <c r="L274" s="19" t="s">
        <v>49</v>
      </c>
      <c r="M274" s="20">
        <v>9</v>
      </c>
      <c r="N274" s="21">
        <v>42999</v>
      </c>
      <c r="O274" s="22">
        <v>15</v>
      </c>
      <c r="P274" s="23">
        <v>328942.34999999998</v>
      </c>
      <c r="Q274" s="22">
        <v>4.5999999999999996</v>
      </c>
      <c r="R274" s="22">
        <v>20</v>
      </c>
      <c r="S274" s="23">
        <f>(Table13[[#This Row],[Unit Price]]*Table13[[#This Row],[No.of Units]])*18%</f>
        <v>69658.38</v>
      </c>
      <c r="T274" s="22" t="s">
        <v>1507</v>
      </c>
    </row>
    <row r="275" spans="2:20" x14ac:dyDescent="0.3">
      <c r="B275" s="5" t="s">
        <v>281</v>
      </c>
      <c r="C275" s="1">
        <v>7168499</v>
      </c>
      <c r="D275" s="1">
        <v>35</v>
      </c>
      <c r="E275" s="1" t="s">
        <v>12</v>
      </c>
      <c r="F275" s="16">
        <v>45728</v>
      </c>
      <c r="G275" s="1" t="s">
        <v>1470</v>
      </c>
      <c r="H275" s="1" t="s">
        <v>1482</v>
      </c>
      <c r="I275" s="17" t="s">
        <v>1502</v>
      </c>
      <c r="J275" s="18" t="s">
        <v>13</v>
      </c>
      <c r="K275" s="19" t="s">
        <v>14</v>
      </c>
      <c r="L275" s="19" t="s">
        <v>15</v>
      </c>
      <c r="M275" s="20">
        <v>6</v>
      </c>
      <c r="N275" s="21">
        <v>99999</v>
      </c>
      <c r="O275" s="22">
        <v>10</v>
      </c>
      <c r="P275" s="23">
        <v>539994.6</v>
      </c>
      <c r="Q275" s="22">
        <v>4.7</v>
      </c>
      <c r="R275" s="22">
        <v>20</v>
      </c>
      <c r="S275" s="23">
        <f>(Table13[[#This Row],[Unit Price]]*Table13[[#This Row],[No.of Units]])*18%</f>
        <v>107998.92</v>
      </c>
      <c r="T275" s="22" t="s">
        <v>1508</v>
      </c>
    </row>
    <row r="276" spans="2:20" x14ac:dyDescent="0.3">
      <c r="B276" s="5" t="s">
        <v>282</v>
      </c>
      <c r="C276" s="1">
        <v>3180908</v>
      </c>
      <c r="D276" s="1">
        <v>28</v>
      </c>
      <c r="E276" s="1" t="s">
        <v>12</v>
      </c>
      <c r="F276" s="16">
        <v>45728</v>
      </c>
      <c r="G276" s="1" t="s">
        <v>1470</v>
      </c>
      <c r="H276" s="1" t="s">
        <v>1471</v>
      </c>
      <c r="I276" s="17" t="s">
        <v>1503</v>
      </c>
      <c r="J276" s="18" t="s">
        <v>17</v>
      </c>
      <c r="K276" s="19" t="s">
        <v>18</v>
      </c>
      <c r="L276" s="19" t="s">
        <v>15</v>
      </c>
      <c r="M276" s="20">
        <v>60</v>
      </c>
      <c r="N276" s="21">
        <v>4999</v>
      </c>
      <c r="O276" s="22">
        <v>18</v>
      </c>
      <c r="P276" s="23">
        <v>245950.8</v>
      </c>
      <c r="Q276" s="22">
        <v>4.4000000000000004</v>
      </c>
      <c r="R276" s="22">
        <v>20</v>
      </c>
      <c r="S276" s="23">
        <f>(Table13[[#This Row],[Unit Price]]*Table13[[#This Row],[No.of Units]])*18%</f>
        <v>53989.2</v>
      </c>
      <c r="T276" s="22" t="s">
        <v>1507</v>
      </c>
    </row>
    <row r="277" spans="2:20" x14ac:dyDescent="0.3">
      <c r="B277" s="5" t="s">
        <v>283</v>
      </c>
      <c r="C277" s="1">
        <v>2286700</v>
      </c>
      <c r="D277" s="1">
        <v>65</v>
      </c>
      <c r="E277" s="1" t="s">
        <v>20</v>
      </c>
      <c r="F277" s="16">
        <v>45728</v>
      </c>
      <c r="G277" s="1" t="s">
        <v>1470</v>
      </c>
      <c r="H277" s="1" t="s">
        <v>1481</v>
      </c>
      <c r="I277" s="17" t="s">
        <v>1504</v>
      </c>
      <c r="J277" s="18" t="s">
        <v>21</v>
      </c>
      <c r="K277" s="19" t="s">
        <v>18</v>
      </c>
      <c r="L277" s="19" t="s">
        <v>15</v>
      </c>
      <c r="M277" s="20">
        <v>12</v>
      </c>
      <c r="N277" s="21">
        <v>24900</v>
      </c>
      <c r="O277" s="22">
        <v>5</v>
      </c>
      <c r="P277" s="23">
        <v>283860</v>
      </c>
      <c r="Q277" s="22">
        <v>4.8</v>
      </c>
      <c r="R277" s="22">
        <v>20</v>
      </c>
      <c r="S277" s="23">
        <f>(Table13[[#This Row],[Unit Price]]*Table13[[#This Row],[No.of Units]])*18%</f>
        <v>53784</v>
      </c>
      <c r="T277" s="22" t="s">
        <v>1508</v>
      </c>
    </row>
    <row r="278" spans="2:20" x14ac:dyDescent="0.3">
      <c r="B278" s="5" t="s">
        <v>284</v>
      </c>
      <c r="C278" s="1">
        <v>3305763</v>
      </c>
      <c r="D278" s="1">
        <v>36</v>
      </c>
      <c r="E278" s="1" t="s">
        <v>12</v>
      </c>
      <c r="F278" s="16">
        <v>45728</v>
      </c>
      <c r="G278" s="1" t="s">
        <v>1470</v>
      </c>
      <c r="H278" s="1" t="s">
        <v>1482</v>
      </c>
      <c r="I278" s="17" t="s">
        <v>1505</v>
      </c>
      <c r="J278" s="18" t="s">
        <v>23</v>
      </c>
      <c r="K278" s="19" t="s">
        <v>14</v>
      </c>
      <c r="L278" s="19" t="s">
        <v>15</v>
      </c>
      <c r="M278" s="20">
        <v>4</v>
      </c>
      <c r="N278" s="21">
        <v>84999</v>
      </c>
      <c r="O278" s="22">
        <v>12</v>
      </c>
      <c r="P278" s="23">
        <v>299196.48</v>
      </c>
      <c r="Q278" s="22">
        <v>4.5</v>
      </c>
      <c r="R278" s="22">
        <v>20</v>
      </c>
      <c r="S278" s="23">
        <f>(Table13[[#This Row],[Unit Price]]*Table13[[#This Row],[No.of Units]])*18%</f>
        <v>61199.28</v>
      </c>
      <c r="T278" s="22" t="s">
        <v>1507</v>
      </c>
    </row>
    <row r="279" spans="2:20" x14ac:dyDescent="0.3">
      <c r="B279" s="5" t="s">
        <v>285</v>
      </c>
      <c r="C279" s="1">
        <v>5676727</v>
      </c>
      <c r="D279" s="1">
        <v>70</v>
      </c>
      <c r="E279" s="1" t="s">
        <v>20</v>
      </c>
      <c r="F279" s="16">
        <v>45728</v>
      </c>
      <c r="G279" s="1" t="s">
        <v>1470</v>
      </c>
      <c r="H279" s="1" t="s">
        <v>1480</v>
      </c>
      <c r="I279" s="17" t="s">
        <v>1504</v>
      </c>
      <c r="J279" s="18" t="s">
        <v>25</v>
      </c>
      <c r="K279" s="19" t="s">
        <v>26</v>
      </c>
      <c r="L279" s="19" t="s">
        <v>15</v>
      </c>
      <c r="M279" s="20">
        <v>2</v>
      </c>
      <c r="N279" s="21">
        <v>69999</v>
      </c>
      <c r="O279" s="22">
        <v>8</v>
      </c>
      <c r="P279" s="23">
        <v>128798.16</v>
      </c>
      <c r="Q279" s="22">
        <v>4.8</v>
      </c>
      <c r="R279" s="22">
        <v>20</v>
      </c>
      <c r="S279" s="23">
        <f>(Table13[[#This Row],[Unit Price]]*Table13[[#This Row],[No.of Units]])*18%</f>
        <v>25199.64</v>
      </c>
      <c r="T279" s="22" t="s">
        <v>1508</v>
      </c>
    </row>
    <row r="280" spans="2:20" x14ac:dyDescent="0.3">
      <c r="B280" s="5" t="s">
        <v>286</v>
      </c>
      <c r="C280" s="1">
        <v>8302065</v>
      </c>
      <c r="D280" s="1">
        <v>41</v>
      </c>
      <c r="E280" s="1" t="s">
        <v>12</v>
      </c>
      <c r="F280" s="16">
        <v>45728</v>
      </c>
      <c r="G280" s="1" t="s">
        <v>1470</v>
      </c>
      <c r="H280" s="1" t="s">
        <v>1471</v>
      </c>
      <c r="I280" s="17" t="s">
        <v>1503</v>
      </c>
      <c r="J280" s="18" t="s">
        <v>28</v>
      </c>
      <c r="K280" s="19" t="s">
        <v>26</v>
      </c>
      <c r="L280" s="19" t="s">
        <v>15</v>
      </c>
      <c r="M280" s="20">
        <v>7</v>
      </c>
      <c r="N280" s="21">
        <v>42999</v>
      </c>
      <c r="O280" s="22">
        <v>15</v>
      </c>
      <c r="P280" s="23">
        <v>255844.05</v>
      </c>
      <c r="Q280" s="22">
        <v>4.5999999999999996</v>
      </c>
      <c r="R280" s="22">
        <v>20</v>
      </c>
      <c r="S280" s="23">
        <f>(Table13[[#This Row],[Unit Price]]*Table13[[#This Row],[No.of Units]])*18%</f>
        <v>54178.74</v>
      </c>
      <c r="T280" s="22" t="s">
        <v>1508</v>
      </c>
    </row>
    <row r="281" spans="2:20" x14ac:dyDescent="0.3">
      <c r="B281" s="5" t="s">
        <v>287</v>
      </c>
      <c r="C281" s="1">
        <v>7098912</v>
      </c>
      <c r="D281" s="1">
        <v>23</v>
      </c>
      <c r="E281" s="1" t="s">
        <v>12</v>
      </c>
      <c r="F281" s="16">
        <v>45728</v>
      </c>
      <c r="G281" s="1" t="s">
        <v>1470</v>
      </c>
      <c r="H281" s="1" t="s">
        <v>1483</v>
      </c>
      <c r="I281" s="17" t="s">
        <v>1502</v>
      </c>
      <c r="J281" s="18" t="s">
        <v>13</v>
      </c>
      <c r="K281" s="19" t="s">
        <v>14</v>
      </c>
      <c r="L281" s="19" t="s">
        <v>29</v>
      </c>
      <c r="M281" s="20">
        <v>6</v>
      </c>
      <c r="N281" s="21">
        <v>99999</v>
      </c>
      <c r="O281" s="22">
        <v>10</v>
      </c>
      <c r="P281" s="23">
        <v>539994.6</v>
      </c>
      <c r="Q281" s="22">
        <v>4.7</v>
      </c>
      <c r="R281" s="22">
        <v>20</v>
      </c>
      <c r="S281" s="23">
        <f>(Table13[[#This Row],[Unit Price]]*Table13[[#This Row],[No.of Units]])*18%</f>
        <v>107998.92</v>
      </c>
      <c r="T281" s="22" t="s">
        <v>1508</v>
      </c>
    </row>
    <row r="282" spans="2:20" x14ac:dyDescent="0.3">
      <c r="B282" s="5" t="s">
        <v>288</v>
      </c>
      <c r="C282" s="1">
        <v>3848348</v>
      </c>
      <c r="D282" s="1">
        <v>23</v>
      </c>
      <c r="E282" s="1" t="s">
        <v>12</v>
      </c>
      <c r="F282" s="16">
        <v>45728</v>
      </c>
      <c r="G282" s="1" t="s">
        <v>1470</v>
      </c>
      <c r="H282" s="1" t="s">
        <v>1471</v>
      </c>
      <c r="I282" s="17" t="s">
        <v>1503</v>
      </c>
      <c r="J282" s="18" t="s">
        <v>17</v>
      </c>
      <c r="K282" s="19" t="s">
        <v>18</v>
      </c>
      <c r="L282" s="19" t="s">
        <v>29</v>
      </c>
      <c r="M282" s="20">
        <v>55</v>
      </c>
      <c r="N282" s="21">
        <v>4999</v>
      </c>
      <c r="O282" s="22">
        <v>18</v>
      </c>
      <c r="P282" s="23">
        <v>225454.9</v>
      </c>
      <c r="Q282" s="22">
        <v>4.4000000000000004</v>
      </c>
      <c r="R282" s="22">
        <v>20</v>
      </c>
      <c r="S282" s="23">
        <f>(Table13[[#This Row],[Unit Price]]*Table13[[#This Row],[No.of Units]])*18%</f>
        <v>49490.1</v>
      </c>
      <c r="T282" s="22" t="s">
        <v>1508</v>
      </c>
    </row>
    <row r="283" spans="2:20" x14ac:dyDescent="0.3">
      <c r="B283" s="5" t="s">
        <v>289</v>
      </c>
      <c r="C283" s="1">
        <v>9613429</v>
      </c>
      <c r="D283" s="1">
        <v>48</v>
      </c>
      <c r="E283" s="1" t="s">
        <v>12</v>
      </c>
      <c r="F283" s="16">
        <v>45728</v>
      </c>
      <c r="G283" s="1" t="s">
        <v>1470</v>
      </c>
      <c r="H283" s="1" t="s">
        <v>1483</v>
      </c>
      <c r="I283" s="17" t="s">
        <v>1504</v>
      </c>
      <c r="J283" s="18" t="s">
        <v>21</v>
      </c>
      <c r="K283" s="19" t="s">
        <v>18</v>
      </c>
      <c r="L283" s="19" t="s">
        <v>29</v>
      </c>
      <c r="M283" s="20">
        <v>9</v>
      </c>
      <c r="N283" s="21">
        <v>24900</v>
      </c>
      <c r="O283" s="22">
        <v>5</v>
      </c>
      <c r="P283" s="23">
        <v>212895</v>
      </c>
      <c r="Q283" s="22">
        <v>4.8</v>
      </c>
      <c r="R283" s="22">
        <v>20</v>
      </c>
      <c r="S283" s="23">
        <f>(Table13[[#This Row],[Unit Price]]*Table13[[#This Row],[No.of Units]])*18%</f>
        <v>40338</v>
      </c>
      <c r="T283" s="22" t="s">
        <v>1508</v>
      </c>
    </row>
    <row r="284" spans="2:20" x14ac:dyDescent="0.3">
      <c r="B284" s="5" t="s">
        <v>289</v>
      </c>
      <c r="C284" s="1">
        <v>9613429</v>
      </c>
      <c r="D284" s="1">
        <v>22</v>
      </c>
      <c r="E284" s="1" t="s">
        <v>12</v>
      </c>
      <c r="F284" s="16">
        <v>45728</v>
      </c>
      <c r="G284" s="1" t="s">
        <v>1470</v>
      </c>
      <c r="H284" s="1" t="s">
        <v>1471</v>
      </c>
      <c r="I284" s="17" t="s">
        <v>1505</v>
      </c>
      <c r="J284" s="18" t="s">
        <v>23</v>
      </c>
      <c r="K284" s="19" t="s">
        <v>14</v>
      </c>
      <c r="L284" s="19" t="s">
        <v>29</v>
      </c>
      <c r="M284" s="20">
        <v>6</v>
      </c>
      <c r="N284" s="21">
        <v>84999</v>
      </c>
      <c r="O284" s="22">
        <v>12</v>
      </c>
      <c r="P284" s="23">
        <v>448794.72</v>
      </c>
      <c r="Q284" s="22">
        <v>4.5</v>
      </c>
      <c r="R284" s="22">
        <v>20</v>
      </c>
      <c r="S284" s="23">
        <f>(Table13[[#This Row],[Unit Price]]*Table13[[#This Row],[No.of Units]])*18%</f>
        <v>91798.92</v>
      </c>
      <c r="T284" s="22" t="s">
        <v>1507</v>
      </c>
    </row>
    <row r="285" spans="2:20" x14ac:dyDescent="0.3">
      <c r="B285" s="5" t="s">
        <v>290</v>
      </c>
      <c r="C285" s="1">
        <v>2921633</v>
      </c>
      <c r="D285" s="1">
        <v>22</v>
      </c>
      <c r="E285" s="1" t="s">
        <v>12</v>
      </c>
      <c r="F285" s="16">
        <v>45728</v>
      </c>
      <c r="G285" s="1" t="s">
        <v>1470</v>
      </c>
      <c r="H285" s="1" t="s">
        <v>1472</v>
      </c>
      <c r="I285" s="17" t="s">
        <v>1504</v>
      </c>
      <c r="J285" s="18" t="s">
        <v>25</v>
      </c>
      <c r="K285" s="19" t="s">
        <v>26</v>
      </c>
      <c r="L285" s="19" t="s">
        <v>29</v>
      </c>
      <c r="M285" s="20">
        <v>5</v>
      </c>
      <c r="N285" s="21">
        <v>69999</v>
      </c>
      <c r="O285" s="22">
        <v>8</v>
      </c>
      <c r="P285" s="23">
        <v>321995.40000000002</v>
      </c>
      <c r="Q285" s="22">
        <v>4.8</v>
      </c>
      <c r="R285" s="22">
        <v>20</v>
      </c>
      <c r="S285" s="23">
        <f>(Table13[[#This Row],[Unit Price]]*Table13[[#This Row],[No.of Units]])*18%</f>
        <v>62999.1</v>
      </c>
      <c r="T285" s="22" t="s">
        <v>1508</v>
      </c>
    </row>
    <row r="286" spans="2:20" x14ac:dyDescent="0.3">
      <c r="B286" s="5" t="s">
        <v>291</v>
      </c>
      <c r="C286" s="1">
        <v>1713822</v>
      </c>
      <c r="D286" s="1">
        <v>36</v>
      </c>
      <c r="E286" s="1" t="s">
        <v>12</v>
      </c>
      <c r="F286" s="16">
        <v>45728</v>
      </c>
      <c r="G286" s="1" t="s">
        <v>1470</v>
      </c>
      <c r="H286" s="1" t="s">
        <v>1482</v>
      </c>
      <c r="I286" s="17" t="s">
        <v>1503</v>
      </c>
      <c r="J286" s="18" t="s">
        <v>28</v>
      </c>
      <c r="K286" s="19" t="s">
        <v>26</v>
      </c>
      <c r="L286" s="19" t="s">
        <v>29</v>
      </c>
      <c r="M286" s="20">
        <v>7</v>
      </c>
      <c r="N286" s="21">
        <v>42999</v>
      </c>
      <c r="O286" s="22">
        <v>15</v>
      </c>
      <c r="P286" s="23">
        <v>255844.05</v>
      </c>
      <c r="Q286" s="22">
        <v>4.5999999999999996</v>
      </c>
      <c r="R286" s="22">
        <v>20</v>
      </c>
      <c r="S286" s="23">
        <f>(Table13[[#This Row],[Unit Price]]*Table13[[#This Row],[No.of Units]])*18%</f>
        <v>54178.74</v>
      </c>
      <c r="T286" s="22" t="s">
        <v>1507</v>
      </c>
    </row>
    <row r="287" spans="2:20" x14ac:dyDescent="0.3">
      <c r="B287" s="5" t="s">
        <v>292</v>
      </c>
      <c r="C287" s="1">
        <v>9822747</v>
      </c>
      <c r="D287" s="1">
        <v>50</v>
      </c>
      <c r="E287" s="1" t="s">
        <v>20</v>
      </c>
      <c r="F287" s="16">
        <v>45728</v>
      </c>
      <c r="G287" s="1" t="s">
        <v>1475</v>
      </c>
      <c r="H287" s="1" t="s">
        <v>1471</v>
      </c>
      <c r="I287" s="17" t="s">
        <v>1502</v>
      </c>
      <c r="J287" s="18" t="s">
        <v>13</v>
      </c>
      <c r="K287" s="19" t="s">
        <v>14</v>
      </c>
      <c r="L287" s="19" t="s">
        <v>35</v>
      </c>
      <c r="M287" s="20">
        <v>1</v>
      </c>
      <c r="N287" s="21">
        <v>99999</v>
      </c>
      <c r="O287" s="22">
        <v>10</v>
      </c>
      <c r="P287" s="23">
        <v>89999.1</v>
      </c>
      <c r="Q287" s="22">
        <v>4.7</v>
      </c>
      <c r="R287" s="22">
        <v>20</v>
      </c>
      <c r="S287" s="23">
        <f>(Table13[[#This Row],[Unit Price]]*Table13[[#This Row],[No.of Units]])*18%</f>
        <v>17999.82</v>
      </c>
      <c r="T287" s="22" t="s">
        <v>1507</v>
      </c>
    </row>
    <row r="288" spans="2:20" x14ac:dyDescent="0.3">
      <c r="B288" s="5" t="s">
        <v>293</v>
      </c>
      <c r="C288" s="1">
        <v>6548679</v>
      </c>
      <c r="D288" s="1">
        <v>40</v>
      </c>
      <c r="E288" s="1" t="s">
        <v>12</v>
      </c>
      <c r="F288" s="16">
        <v>45728</v>
      </c>
      <c r="G288" s="1" t="s">
        <v>1470</v>
      </c>
      <c r="H288" s="1" t="s">
        <v>1472</v>
      </c>
      <c r="I288" s="17" t="s">
        <v>1503</v>
      </c>
      <c r="J288" s="18" t="s">
        <v>17</v>
      </c>
      <c r="K288" s="19" t="s">
        <v>18</v>
      </c>
      <c r="L288" s="19" t="s">
        <v>35</v>
      </c>
      <c r="M288" s="20">
        <v>25</v>
      </c>
      <c r="N288" s="21">
        <v>4999</v>
      </c>
      <c r="O288" s="22">
        <v>18</v>
      </c>
      <c r="P288" s="23">
        <v>102479.5</v>
      </c>
      <c r="Q288" s="22">
        <v>4.4000000000000004</v>
      </c>
      <c r="R288" s="22">
        <v>20</v>
      </c>
      <c r="S288" s="23">
        <f>(Table13[[#This Row],[Unit Price]]*Table13[[#This Row],[No.of Units]])*18%</f>
        <v>22495.5</v>
      </c>
      <c r="T288" s="22" t="s">
        <v>1507</v>
      </c>
    </row>
    <row r="289" spans="2:20" x14ac:dyDescent="0.3">
      <c r="B289" s="5" t="s">
        <v>294</v>
      </c>
      <c r="C289" s="1">
        <v>2406097</v>
      </c>
      <c r="D289" s="1">
        <v>22</v>
      </c>
      <c r="E289" s="1" t="s">
        <v>12</v>
      </c>
      <c r="F289" s="16">
        <v>45728</v>
      </c>
      <c r="G289" s="1" t="s">
        <v>1470</v>
      </c>
      <c r="H289" s="1" t="s">
        <v>1482</v>
      </c>
      <c r="I289" s="17" t="s">
        <v>1504</v>
      </c>
      <c r="J289" s="18" t="s">
        <v>21</v>
      </c>
      <c r="K289" s="19" t="s">
        <v>18</v>
      </c>
      <c r="L289" s="19" t="s">
        <v>35</v>
      </c>
      <c r="M289" s="20">
        <v>5</v>
      </c>
      <c r="N289" s="21">
        <v>24900</v>
      </c>
      <c r="O289" s="22">
        <v>5</v>
      </c>
      <c r="P289" s="23">
        <v>118275</v>
      </c>
      <c r="Q289" s="22">
        <v>4.8</v>
      </c>
      <c r="R289" s="22">
        <v>20</v>
      </c>
      <c r="S289" s="23">
        <f>(Table13[[#This Row],[Unit Price]]*Table13[[#This Row],[No.of Units]])*18%</f>
        <v>22410</v>
      </c>
      <c r="T289" s="22" t="s">
        <v>1508</v>
      </c>
    </row>
    <row r="290" spans="2:20" x14ac:dyDescent="0.3">
      <c r="B290" s="5" t="s">
        <v>294</v>
      </c>
      <c r="C290" s="1">
        <v>2406097</v>
      </c>
      <c r="D290" s="1">
        <v>48</v>
      </c>
      <c r="E290" s="1" t="s">
        <v>12</v>
      </c>
      <c r="F290" s="16">
        <v>45728</v>
      </c>
      <c r="G290" s="1" t="s">
        <v>1470</v>
      </c>
      <c r="H290" s="1" t="s">
        <v>1472</v>
      </c>
      <c r="I290" s="17" t="s">
        <v>1505</v>
      </c>
      <c r="J290" s="18" t="s">
        <v>23</v>
      </c>
      <c r="K290" s="19" t="s">
        <v>14</v>
      </c>
      <c r="L290" s="19" t="s">
        <v>35</v>
      </c>
      <c r="M290" s="20">
        <v>2</v>
      </c>
      <c r="N290" s="21">
        <v>84999</v>
      </c>
      <c r="O290" s="22">
        <v>12</v>
      </c>
      <c r="P290" s="23">
        <v>149598.24</v>
      </c>
      <c r="Q290" s="22">
        <v>4.5</v>
      </c>
      <c r="R290" s="22">
        <v>20</v>
      </c>
      <c r="S290" s="23">
        <f>(Table13[[#This Row],[Unit Price]]*Table13[[#This Row],[No.of Units]])*18%</f>
        <v>30599.64</v>
      </c>
      <c r="T290" s="22" t="s">
        <v>1508</v>
      </c>
    </row>
    <row r="291" spans="2:20" x14ac:dyDescent="0.3">
      <c r="B291" s="5" t="s">
        <v>295</v>
      </c>
      <c r="C291" s="1">
        <v>9919199</v>
      </c>
      <c r="D291" s="1">
        <v>48</v>
      </c>
      <c r="E291" s="1" t="s">
        <v>12</v>
      </c>
      <c r="F291" s="16">
        <v>45728</v>
      </c>
      <c r="G291" s="1" t="s">
        <v>1470</v>
      </c>
      <c r="H291" s="1" t="s">
        <v>1471</v>
      </c>
      <c r="I291" s="17" t="s">
        <v>1504</v>
      </c>
      <c r="J291" s="18" t="s">
        <v>25</v>
      </c>
      <c r="K291" s="19" t="s">
        <v>26</v>
      </c>
      <c r="L291" s="19" t="s">
        <v>35</v>
      </c>
      <c r="M291" s="20">
        <v>1</v>
      </c>
      <c r="N291" s="21">
        <v>69999</v>
      </c>
      <c r="O291" s="22">
        <v>8</v>
      </c>
      <c r="P291" s="23">
        <v>64399.08</v>
      </c>
      <c r="Q291" s="22">
        <v>4.8</v>
      </c>
      <c r="R291" s="22">
        <v>20</v>
      </c>
      <c r="S291" s="23">
        <f>(Table13[[#This Row],[Unit Price]]*Table13[[#This Row],[No.of Units]])*18%</f>
        <v>12599.82</v>
      </c>
      <c r="T291" s="22" t="s">
        <v>1508</v>
      </c>
    </row>
    <row r="292" spans="2:20" x14ac:dyDescent="0.3">
      <c r="B292" s="5" t="s">
        <v>296</v>
      </c>
      <c r="C292" s="1">
        <v>8024399</v>
      </c>
      <c r="D292" s="1">
        <v>39</v>
      </c>
      <c r="E292" s="1" t="s">
        <v>12</v>
      </c>
      <c r="F292" s="16">
        <v>45728</v>
      </c>
      <c r="G292" s="1" t="s">
        <v>1470</v>
      </c>
      <c r="H292" s="1" t="s">
        <v>1482</v>
      </c>
      <c r="I292" s="17" t="s">
        <v>1503</v>
      </c>
      <c r="J292" s="18" t="s">
        <v>28</v>
      </c>
      <c r="K292" s="19" t="s">
        <v>26</v>
      </c>
      <c r="L292" s="19" t="s">
        <v>35</v>
      </c>
      <c r="M292" s="20">
        <v>6</v>
      </c>
      <c r="N292" s="21">
        <v>42999</v>
      </c>
      <c r="O292" s="22">
        <v>15</v>
      </c>
      <c r="P292" s="23">
        <v>219294.9</v>
      </c>
      <c r="Q292" s="22">
        <v>4.5999999999999996</v>
      </c>
      <c r="R292" s="22">
        <v>20</v>
      </c>
      <c r="S292" s="23">
        <f>(Table13[[#This Row],[Unit Price]]*Table13[[#This Row],[No.of Units]])*18%</f>
        <v>46438.92</v>
      </c>
      <c r="T292" s="22" t="s">
        <v>1508</v>
      </c>
    </row>
    <row r="293" spans="2:20" x14ac:dyDescent="0.3">
      <c r="B293" s="5" t="s">
        <v>297</v>
      </c>
      <c r="C293" s="1">
        <v>7721497</v>
      </c>
      <c r="D293" s="1">
        <v>44</v>
      </c>
      <c r="E293" s="1" t="s">
        <v>12</v>
      </c>
      <c r="F293" s="16">
        <v>45728</v>
      </c>
      <c r="G293" s="1" t="s">
        <v>1470</v>
      </c>
      <c r="H293" s="1" t="s">
        <v>1471</v>
      </c>
      <c r="I293" s="17" t="s">
        <v>1502</v>
      </c>
      <c r="J293" s="18" t="s">
        <v>13</v>
      </c>
      <c r="K293" s="19" t="s">
        <v>14</v>
      </c>
      <c r="L293" s="19" t="s">
        <v>42</v>
      </c>
      <c r="M293" s="20">
        <v>5</v>
      </c>
      <c r="N293" s="21">
        <v>99999</v>
      </c>
      <c r="O293" s="22">
        <v>10</v>
      </c>
      <c r="P293" s="23">
        <v>449995.5</v>
      </c>
      <c r="Q293" s="22">
        <v>4.7</v>
      </c>
      <c r="R293" s="22">
        <v>20</v>
      </c>
      <c r="S293" s="23">
        <f>(Table13[[#This Row],[Unit Price]]*Table13[[#This Row],[No.of Units]])*18%</f>
        <v>89999.099999999991</v>
      </c>
      <c r="T293" s="22" t="s">
        <v>1507</v>
      </c>
    </row>
    <row r="294" spans="2:20" x14ac:dyDescent="0.3">
      <c r="B294" s="5" t="s">
        <v>298</v>
      </c>
      <c r="C294" s="1">
        <v>5590210</v>
      </c>
      <c r="D294" s="1">
        <v>66</v>
      </c>
      <c r="E294" s="1" t="s">
        <v>20</v>
      </c>
      <c r="F294" s="16">
        <v>45728</v>
      </c>
      <c r="G294" s="1" t="s">
        <v>1473</v>
      </c>
      <c r="H294" s="1" t="s">
        <v>1472</v>
      </c>
      <c r="I294" s="17" t="s">
        <v>1503</v>
      </c>
      <c r="J294" s="18" t="s">
        <v>17</v>
      </c>
      <c r="K294" s="19" t="s">
        <v>18</v>
      </c>
      <c r="L294" s="19" t="s">
        <v>42</v>
      </c>
      <c r="M294" s="20">
        <v>38</v>
      </c>
      <c r="N294" s="21">
        <v>4999</v>
      </c>
      <c r="O294" s="22">
        <v>18</v>
      </c>
      <c r="P294" s="23">
        <v>155768.84</v>
      </c>
      <c r="Q294" s="22">
        <v>4.4000000000000004</v>
      </c>
      <c r="R294" s="22">
        <v>20</v>
      </c>
      <c r="S294" s="23">
        <f>(Table13[[#This Row],[Unit Price]]*Table13[[#This Row],[No.of Units]])*18%</f>
        <v>34193.159999999996</v>
      </c>
      <c r="T294" s="22" t="s">
        <v>1508</v>
      </c>
    </row>
    <row r="295" spans="2:20" x14ac:dyDescent="0.3">
      <c r="B295" s="5" t="s">
        <v>299</v>
      </c>
      <c r="C295" s="1">
        <v>5326871</v>
      </c>
      <c r="D295" s="1">
        <v>27</v>
      </c>
      <c r="E295" s="1" t="s">
        <v>12</v>
      </c>
      <c r="F295" s="16">
        <v>45728</v>
      </c>
      <c r="G295" s="1" t="s">
        <v>1470</v>
      </c>
      <c r="H295" s="1" t="s">
        <v>1483</v>
      </c>
      <c r="I295" s="17" t="s">
        <v>1504</v>
      </c>
      <c r="J295" s="18" t="s">
        <v>21</v>
      </c>
      <c r="K295" s="19" t="s">
        <v>18</v>
      </c>
      <c r="L295" s="19" t="s">
        <v>42</v>
      </c>
      <c r="M295" s="20">
        <v>9</v>
      </c>
      <c r="N295" s="21">
        <v>24900</v>
      </c>
      <c r="O295" s="22">
        <v>5</v>
      </c>
      <c r="P295" s="23">
        <v>212895</v>
      </c>
      <c r="Q295" s="22">
        <v>4.8</v>
      </c>
      <c r="R295" s="22">
        <v>20</v>
      </c>
      <c r="S295" s="23">
        <f>(Table13[[#This Row],[Unit Price]]*Table13[[#This Row],[No.of Units]])*18%</f>
        <v>40338</v>
      </c>
      <c r="T295" s="22" t="s">
        <v>1508</v>
      </c>
    </row>
    <row r="296" spans="2:20" x14ac:dyDescent="0.3">
      <c r="B296" s="5" t="s">
        <v>300</v>
      </c>
      <c r="C296" s="1">
        <v>490720</v>
      </c>
      <c r="D296" s="1">
        <v>23</v>
      </c>
      <c r="E296" s="1" t="s">
        <v>12</v>
      </c>
      <c r="F296" s="16">
        <v>45728</v>
      </c>
      <c r="G296" s="1" t="s">
        <v>1470</v>
      </c>
      <c r="H296" s="1" t="s">
        <v>1483</v>
      </c>
      <c r="I296" s="17" t="s">
        <v>1505</v>
      </c>
      <c r="J296" s="18" t="s">
        <v>23</v>
      </c>
      <c r="K296" s="19" t="s">
        <v>14</v>
      </c>
      <c r="L296" s="19" t="s">
        <v>42</v>
      </c>
      <c r="M296" s="20">
        <v>4</v>
      </c>
      <c r="N296" s="21">
        <v>84999</v>
      </c>
      <c r="O296" s="22">
        <v>12</v>
      </c>
      <c r="P296" s="23">
        <v>299196.48</v>
      </c>
      <c r="Q296" s="22">
        <v>4.5</v>
      </c>
      <c r="R296" s="22">
        <v>20</v>
      </c>
      <c r="S296" s="23">
        <f>(Table13[[#This Row],[Unit Price]]*Table13[[#This Row],[No.of Units]])*18%</f>
        <v>61199.28</v>
      </c>
      <c r="T296" s="22" t="s">
        <v>1508</v>
      </c>
    </row>
    <row r="297" spans="2:20" x14ac:dyDescent="0.3">
      <c r="B297" s="5" t="s">
        <v>301</v>
      </c>
      <c r="C297" s="1">
        <v>391103</v>
      </c>
      <c r="D297" s="1">
        <v>45</v>
      </c>
      <c r="E297" s="1" t="s">
        <v>12</v>
      </c>
      <c r="F297" s="16">
        <v>45728</v>
      </c>
      <c r="G297" s="1" t="s">
        <v>1470</v>
      </c>
      <c r="H297" s="1" t="s">
        <v>1472</v>
      </c>
      <c r="I297" s="17" t="s">
        <v>1504</v>
      </c>
      <c r="J297" s="18" t="s">
        <v>25</v>
      </c>
      <c r="K297" s="19" t="s">
        <v>26</v>
      </c>
      <c r="L297" s="19" t="s">
        <v>42</v>
      </c>
      <c r="M297" s="20">
        <v>5</v>
      </c>
      <c r="N297" s="21">
        <v>69999</v>
      </c>
      <c r="O297" s="22">
        <v>8</v>
      </c>
      <c r="P297" s="23">
        <v>321995.40000000002</v>
      </c>
      <c r="Q297" s="22">
        <v>4.8</v>
      </c>
      <c r="R297" s="22">
        <v>20</v>
      </c>
      <c r="S297" s="23">
        <f>(Table13[[#This Row],[Unit Price]]*Table13[[#This Row],[No.of Units]])*18%</f>
        <v>62999.1</v>
      </c>
      <c r="T297" s="22" t="s">
        <v>1508</v>
      </c>
    </row>
    <row r="298" spans="2:20" x14ac:dyDescent="0.3">
      <c r="B298" s="5" t="s">
        <v>302</v>
      </c>
      <c r="C298" s="1">
        <v>8905689</v>
      </c>
      <c r="D298" s="1">
        <v>38</v>
      </c>
      <c r="E298" s="1" t="s">
        <v>12</v>
      </c>
      <c r="F298" s="16">
        <v>45728</v>
      </c>
      <c r="G298" s="1" t="s">
        <v>1470</v>
      </c>
      <c r="H298" s="1" t="s">
        <v>1471</v>
      </c>
      <c r="I298" s="17" t="s">
        <v>1503</v>
      </c>
      <c r="J298" s="18" t="s">
        <v>28</v>
      </c>
      <c r="K298" s="19" t="s">
        <v>26</v>
      </c>
      <c r="L298" s="19" t="s">
        <v>42</v>
      </c>
      <c r="M298" s="20">
        <v>6</v>
      </c>
      <c r="N298" s="21">
        <v>42999</v>
      </c>
      <c r="O298" s="22">
        <v>15</v>
      </c>
      <c r="P298" s="23">
        <v>219294.9</v>
      </c>
      <c r="Q298" s="22">
        <v>4.5999999999999996</v>
      </c>
      <c r="R298" s="22">
        <v>20</v>
      </c>
      <c r="S298" s="23">
        <f>(Table13[[#This Row],[Unit Price]]*Table13[[#This Row],[No.of Units]])*18%</f>
        <v>46438.92</v>
      </c>
      <c r="T298" s="22" t="s">
        <v>1508</v>
      </c>
    </row>
    <row r="299" spans="2:20" x14ac:dyDescent="0.3">
      <c r="B299" s="5" t="s">
        <v>303</v>
      </c>
      <c r="C299" s="1">
        <v>4720373</v>
      </c>
      <c r="D299" s="1">
        <v>31</v>
      </c>
      <c r="E299" s="1" t="s">
        <v>12</v>
      </c>
      <c r="F299" s="16">
        <v>45728</v>
      </c>
      <c r="G299" s="1" t="s">
        <v>1470</v>
      </c>
      <c r="H299" s="1" t="s">
        <v>1471</v>
      </c>
      <c r="I299" s="17" t="s">
        <v>1502</v>
      </c>
      <c r="J299" s="18" t="s">
        <v>13</v>
      </c>
      <c r="K299" s="19" t="s">
        <v>14</v>
      </c>
      <c r="L299" s="19" t="s">
        <v>49</v>
      </c>
      <c r="M299" s="20">
        <v>4</v>
      </c>
      <c r="N299" s="21">
        <v>99999</v>
      </c>
      <c r="O299" s="22">
        <v>10</v>
      </c>
      <c r="P299" s="23">
        <v>359996.4</v>
      </c>
      <c r="Q299" s="22">
        <v>4.7</v>
      </c>
      <c r="R299" s="22">
        <v>20</v>
      </c>
      <c r="S299" s="23">
        <f>(Table13[[#This Row],[Unit Price]]*Table13[[#This Row],[No.of Units]])*18%</f>
        <v>71999.28</v>
      </c>
      <c r="T299" s="22" t="s">
        <v>1508</v>
      </c>
    </row>
    <row r="300" spans="2:20" x14ac:dyDescent="0.3">
      <c r="B300" s="5" t="s">
        <v>304</v>
      </c>
      <c r="C300" s="1">
        <v>767351</v>
      </c>
      <c r="D300" s="1">
        <v>35</v>
      </c>
      <c r="E300" s="1" t="s">
        <v>12</v>
      </c>
      <c r="F300" s="16">
        <v>45728</v>
      </c>
      <c r="G300" s="1" t="s">
        <v>1470</v>
      </c>
      <c r="H300" s="1" t="s">
        <v>1482</v>
      </c>
      <c r="I300" s="17" t="s">
        <v>1503</v>
      </c>
      <c r="J300" s="18" t="s">
        <v>17</v>
      </c>
      <c r="K300" s="19" t="s">
        <v>18</v>
      </c>
      <c r="L300" s="19" t="s">
        <v>49</v>
      </c>
      <c r="M300" s="20">
        <v>48</v>
      </c>
      <c r="N300" s="21">
        <v>4999</v>
      </c>
      <c r="O300" s="22">
        <v>18</v>
      </c>
      <c r="P300" s="23">
        <v>196760.64</v>
      </c>
      <c r="Q300" s="22">
        <v>4.4000000000000004</v>
      </c>
      <c r="R300" s="22">
        <v>20</v>
      </c>
      <c r="S300" s="23">
        <f>(Table13[[#This Row],[Unit Price]]*Table13[[#This Row],[No.of Units]])*18%</f>
        <v>43191.360000000001</v>
      </c>
      <c r="T300" s="22" t="s">
        <v>1508</v>
      </c>
    </row>
    <row r="301" spans="2:20" x14ac:dyDescent="0.3">
      <c r="B301" s="5" t="s">
        <v>305</v>
      </c>
      <c r="C301" s="1">
        <v>8967945</v>
      </c>
      <c r="D301" s="1">
        <v>38</v>
      </c>
      <c r="E301" s="1" t="s">
        <v>12</v>
      </c>
      <c r="F301" s="16">
        <v>45728</v>
      </c>
      <c r="G301" s="1" t="s">
        <v>1470</v>
      </c>
      <c r="H301" s="1" t="s">
        <v>1472</v>
      </c>
      <c r="I301" s="17" t="s">
        <v>1504</v>
      </c>
      <c r="J301" s="18" t="s">
        <v>21</v>
      </c>
      <c r="K301" s="19" t="s">
        <v>18</v>
      </c>
      <c r="L301" s="19" t="s">
        <v>49</v>
      </c>
      <c r="M301" s="20">
        <v>8</v>
      </c>
      <c r="N301" s="21">
        <v>24900</v>
      </c>
      <c r="O301" s="22">
        <v>5</v>
      </c>
      <c r="P301" s="23">
        <v>189240</v>
      </c>
      <c r="Q301" s="22">
        <v>4.8</v>
      </c>
      <c r="R301" s="22">
        <v>20</v>
      </c>
      <c r="S301" s="23">
        <f>(Table13[[#This Row],[Unit Price]]*Table13[[#This Row],[No.of Units]])*18%</f>
        <v>35856</v>
      </c>
      <c r="T301" s="22" t="s">
        <v>1508</v>
      </c>
    </row>
    <row r="302" spans="2:20" x14ac:dyDescent="0.3">
      <c r="B302" s="5" t="s">
        <v>306</v>
      </c>
      <c r="C302" s="1">
        <v>5675757</v>
      </c>
      <c r="D302" s="1">
        <v>19</v>
      </c>
      <c r="E302" s="1" t="s">
        <v>34</v>
      </c>
      <c r="F302" s="16">
        <v>45728</v>
      </c>
      <c r="G302" s="1" t="s">
        <v>1470</v>
      </c>
      <c r="H302" s="1" t="s">
        <v>1472</v>
      </c>
      <c r="I302" s="17" t="s">
        <v>1505</v>
      </c>
      <c r="J302" s="18" t="s">
        <v>23</v>
      </c>
      <c r="K302" s="19" t="s">
        <v>14</v>
      </c>
      <c r="L302" s="19" t="s">
        <v>49</v>
      </c>
      <c r="M302" s="20">
        <v>3</v>
      </c>
      <c r="N302" s="21">
        <v>84999</v>
      </c>
      <c r="O302" s="22">
        <v>12</v>
      </c>
      <c r="P302" s="23">
        <v>224397.36</v>
      </c>
      <c r="Q302" s="22">
        <v>4.5</v>
      </c>
      <c r="R302" s="22">
        <v>20</v>
      </c>
      <c r="S302" s="23">
        <f>(Table13[[#This Row],[Unit Price]]*Table13[[#This Row],[No.of Units]])*18%</f>
        <v>45899.46</v>
      </c>
      <c r="T302" s="22" t="s">
        <v>1507</v>
      </c>
    </row>
    <row r="303" spans="2:20" x14ac:dyDescent="0.3">
      <c r="B303" s="5" t="s">
        <v>307</v>
      </c>
      <c r="C303" s="1">
        <v>8218066</v>
      </c>
      <c r="D303" s="1">
        <v>30</v>
      </c>
      <c r="E303" s="1" t="s">
        <v>12</v>
      </c>
      <c r="F303" s="16">
        <v>45728</v>
      </c>
      <c r="G303" s="1" t="s">
        <v>1470</v>
      </c>
      <c r="H303" s="1" t="s">
        <v>1483</v>
      </c>
      <c r="I303" s="17" t="s">
        <v>1504</v>
      </c>
      <c r="J303" s="18" t="s">
        <v>25</v>
      </c>
      <c r="K303" s="19" t="s">
        <v>26</v>
      </c>
      <c r="L303" s="19" t="s">
        <v>49</v>
      </c>
      <c r="M303" s="20">
        <v>4</v>
      </c>
      <c r="N303" s="21">
        <v>69999</v>
      </c>
      <c r="O303" s="22">
        <v>8</v>
      </c>
      <c r="P303" s="23">
        <v>257596.32</v>
      </c>
      <c r="Q303" s="22">
        <v>4.8</v>
      </c>
      <c r="R303" s="22">
        <v>20</v>
      </c>
      <c r="S303" s="23">
        <f>(Table13[[#This Row],[Unit Price]]*Table13[[#This Row],[No.of Units]])*18%</f>
        <v>50399.28</v>
      </c>
      <c r="T303" s="22" t="s">
        <v>1507</v>
      </c>
    </row>
    <row r="304" spans="2:20" x14ac:dyDescent="0.3">
      <c r="B304" s="5" t="s">
        <v>308</v>
      </c>
      <c r="C304" s="1">
        <v>529992</v>
      </c>
      <c r="D304" s="1">
        <v>39</v>
      </c>
      <c r="E304" s="1" t="s">
        <v>12</v>
      </c>
      <c r="F304" s="16">
        <v>45728</v>
      </c>
      <c r="G304" s="1" t="s">
        <v>1470</v>
      </c>
      <c r="H304" s="1" t="s">
        <v>1472</v>
      </c>
      <c r="I304" s="17" t="s">
        <v>1503</v>
      </c>
      <c r="J304" s="18" t="s">
        <v>28</v>
      </c>
      <c r="K304" s="19" t="s">
        <v>26</v>
      </c>
      <c r="L304" s="19" t="s">
        <v>49</v>
      </c>
      <c r="M304" s="20">
        <v>5</v>
      </c>
      <c r="N304" s="21">
        <v>42999</v>
      </c>
      <c r="O304" s="22">
        <v>15</v>
      </c>
      <c r="P304" s="23">
        <v>182745.75</v>
      </c>
      <c r="Q304" s="22">
        <v>4.5999999999999996</v>
      </c>
      <c r="R304" s="22">
        <v>20</v>
      </c>
      <c r="S304" s="23">
        <f>(Table13[[#This Row],[Unit Price]]*Table13[[#This Row],[No.of Units]])*18%</f>
        <v>38699.1</v>
      </c>
      <c r="T304" s="22" t="s">
        <v>1508</v>
      </c>
    </row>
    <row r="305" spans="2:20" x14ac:dyDescent="0.3">
      <c r="B305" s="5" t="s">
        <v>309</v>
      </c>
      <c r="C305" s="1">
        <v>6630432</v>
      </c>
      <c r="D305" s="1">
        <v>66</v>
      </c>
      <c r="E305" s="1" t="s">
        <v>20</v>
      </c>
      <c r="F305" s="16">
        <v>45735</v>
      </c>
      <c r="G305" s="1" t="s">
        <v>1470</v>
      </c>
      <c r="H305" s="1" t="s">
        <v>1483</v>
      </c>
      <c r="I305" s="17" t="s">
        <v>1502</v>
      </c>
      <c r="J305" s="18" t="s">
        <v>13</v>
      </c>
      <c r="K305" s="19" t="s">
        <v>14</v>
      </c>
      <c r="L305" s="19" t="s">
        <v>15</v>
      </c>
      <c r="M305" s="20">
        <v>3</v>
      </c>
      <c r="N305" s="21">
        <v>99999</v>
      </c>
      <c r="O305" s="22">
        <v>10</v>
      </c>
      <c r="P305" s="23">
        <v>269997.3</v>
      </c>
      <c r="Q305" s="22">
        <v>4.7</v>
      </c>
      <c r="R305" s="22">
        <v>20</v>
      </c>
      <c r="S305" s="23">
        <f>(Table13[[#This Row],[Unit Price]]*Table13[[#This Row],[No.of Units]])*18%</f>
        <v>53999.46</v>
      </c>
      <c r="T305" s="22" t="s">
        <v>1507</v>
      </c>
    </row>
    <row r="306" spans="2:20" x14ac:dyDescent="0.3">
      <c r="B306" s="5" t="s">
        <v>310</v>
      </c>
      <c r="C306" s="1">
        <v>2194113</v>
      </c>
      <c r="D306" s="1">
        <v>42</v>
      </c>
      <c r="E306" s="1" t="s">
        <v>12</v>
      </c>
      <c r="F306" s="16">
        <v>45735</v>
      </c>
      <c r="G306" s="1" t="s">
        <v>1470</v>
      </c>
      <c r="H306" s="1" t="s">
        <v>1471</v>
      </c>
      <c r="I306" s="17" t="s">
        <v>1503</v>
      </c>
      <c r="J306" s="18" t="s">
        <v>17</v>
      </c>
      <c r="K306" s="19" t="s">
        <v>18</v>
      </c>
      <c r="L306" s="19" t="s">
        <v>15</v>
      </c>
      <c r="M306" s="20">
        <v>47</v>
      </c>
      <c r="N306" s="21">
        <v>4999</v>
      </c>
      <c r="O306" s="22">
        <v>18</v>
      </c>
      <c r="P306" s="23">
        <v>192661.46</v>
      </c>
      <c r="Q306" s="22">
        <v>4.4000000000000004</v>
      </c>
      <c r="R306" s="22">
        <v>20</v>
      </c>
      <c r="S306" s="23">
        <f>(Table13[[#This Row],[Unit Price]]*Table13[[#This Row],[No.of Units]])*18%</f>
        <v>42291.54</v>
      </c>
      <c r="T306" s="22" t="s">
        <v>1508</v>
      </c>
    </row>
    <row r="307" spans="2:20" x14ac:dyDescent="0.3">
      <c r="B307" s="5" t="s">
        <v>311</v>
      </c>
      <c r="C307" s="1">
        <v>7856161</v>
      </c>
      <c r="D307" s="1">
        <v>57</v>
      </c>
      <c r="E307" s="1" t="s">
        <v>20</v>
      </c>
      <c r="F307" s="16">
        <v>45735</v>
      </c>
      <c r="G307" s="1" t="s">
        <v>1470</v>
      </c>
      <c r="H307" s="1" t="s">
        <v>1471</v>
      </c>
      <c r="I307" s="17" t="s">
        <v>1504</v>
      </c>
      <c r="J307" s="18" t="s">
        <v>21</v>
      </c>
      <c r="K307" s="19" t="s">
        <v>18</v>
      </c>
      <c r="L307" s="19" t="s">
        <v>15</v>
      </c>
      <c r="M307" s="20">
        <v>15</v>
      </c>
      <c r="N307" s="21">
        <v>24900</v>
      </c>
      <c r="O307" s="22">
        <v>5</v>
      </c>
      <c r="P307" s="23">
        <v>354825</v>
      </c>
      <c r="Q307" s="22">
        <v>4.8</v>
      </c>
      <c r="R307" s="22">
        <v>20</v>
      </c>
      <c r="S307" s="23">
        <f>(Table13[[#This Row],[Unit Price]]*Table13[[#This Row],[No.of Units]])*18%</f>
        <v>67230</v>
      </c>
      <c r="T307" s="22" t="s">
        <v>1508</v>
      </c>
    </row>
    <row r="308" spans="2:20" x14ac:dyDescent="0.3">
      <c r="B308" s="5" t="s">
        <v>312</v>
      </c>
      <c r="C308" s="1">
        <v>781206</v>
      </c>
      <c r="D308" s="1">
        <v>26</v>
      </c>
      <c r="E308" s="1" t="s">
        <v>12</v>
      </c>
      <c r="F308" s="16">
        <v>45735</v>
      </c>
      <c r="G308" s="1" t="s">
        <v>1470</v>
      </c>
      <c r="H308" s="1" t="s">
        <v>1480</v>
      </c>
      <c r="I308" s="17" t="s">
        <v>1505</v>
      </c>
      <c r="J308" s="18" t="s">
        <v>23</v>
      </c>
      <c r="K308" s="19" t="s">
        <v>14</v>
      </c>
      <c r="L308" s="19" t="s">
        <v>15</v>
      </c>
      <c r="M308" s="20">
        <v>3</v>
      </c>
      <c r="N308" s="21">
        <v>84999</v>
      </c>
      <c r="O308" s="22">
        <v>12</v>
      </c>
      <c r="P308" s="23">
        <v>224397.36</v>
      </c>
      <c r="Q308" s="22">
        <v>4.5</v>
      </c>
      <c r="R308" s="22">
        <v>20</v>
      </c>
      <c r="S308" s="23">
        <f>(Table13[[#This Row],[Unit Price]]*Table13[[#This Row],[No.of Units]])*18%</f>
        <v>45899.46</v>
      </c>
      <c r="T308" s="22" t="s">
        <v>1507</v>
      </c>
    </row>
    <row r="309" spans="2:20" x14ac:dyDescent="0.3">
      <c r="B309" s="5" t="s">
        <v>313</v>
      </c>
      <c r="C309" s="1">
        <v>7780555</v>
      </c>
      <c r="D309" s="1">
        <v>36</v>
      </c>
      <c r="E309" s="1" t="s">
        <v>12</v>
      </c>
      <c r="F309" s="16">
        <v>45735</v>
      </c>
      <c r="G309" s="1" t="s">
        <v>1473</v>
      </c>
      <c r="H309" s="1" t="s">
        <v>1471</v>
      </c>
      <c r="I309" s="17" t="s">
        <v>1504</v>
      </c>
      <c r="J309" s="18" t="s">
        <v>25</v>
      </c>
      <c r="K309" s="19" t="s">
        <v>26</v>
      </c>
      <c r="L309" s="19" t="s">
        <v>15</v>
      </c>
      <c r="M309" s="20">
        <v>5</v>
      </c>
      <c r="N309" s="21">
        <v>69999</v>
      </c>
      <c r="O309" s="22">
        <v>8</v>
      </c>
      <c r="P309" s="23">
        <v>321995.40000000002</v>
      </c>
      <c r="Q309" s="22">
        <v>4.8</v>
      </c>
      <c r="R309" s="22">
        <v>20</v>
      </c>
      <c r="S309" s="23">
        <f>(Table13[[#This Row],[Unit Price]]*Table13[[#This Row],[No.of Units]])*18%</f>
        <v>62999.1</v>
      </c>
      <c r="T309" s="22" t="s">
        <v>1508</v>
      </c>
    </row>
    <row r="310" spans="2:20" x14ac:dyDescent="0.3">
      <c r="B310" s="5" t="s">
        <v>314</v>
      </c>
      <c r="C310" s="1">
        <v>6047509</v>
      </c>
      <c r="D310" s="1">
        <v>27</v>
      </c>
      <c r="E310" s="1" t="s">
        <v>12</v>
      </c>
      <c r="F310" s="16">
        <v>45735</v>
      </c>
      <c r="G310" s="1" t="s">
        <v>1470</v>
      </c>
      <c r="H310" s="1" t="s">
        <v>1472</v>
      </c>
      <c r="I310" s="17" t="s">
        <v>1503</v>
      </c>
      <c r="J310" s="18" t="s">
        <v>28</v>
      </c>
      <c r="K310" s="19" t="s">
        <v>26</v>
      </c>
      <c r="L310" s="19" t="s">
        <v>15</v>
      </c>
      <c r="M310" s="20">
        <v>6</v>
      </c>
      <c r="N310" s="21">
        <v>42999</v>
      </c>
      <c r="O310" s="22">
        <v>15</v>
      </c>
      <c r="P310" s="23">
        <v>219294.9</v>
      </c>
      <c r="Q310" s="22">
        <v>4.5999999999999996</v>
      </c>
      <c r="R310" s="22">
        <v>20</v>
      </c>
      <c r="S310" s="23">
        <f>(Table13[[#This Row],[Unit Price]]*Table13[[#This Row],[No.of Units]])*18%</f>
        <v>46438.92</v>
      </c>
      <c r="T310" s="22" t="s">
        <v>1507</v>
      </c>
    </row>
    <row r="311" spans="2:20" x14ac:dyDescent="0.3">
      <c r="B311" s="5" t="s">
        <v>315</v>
      </c>
      <c r="C311" s="1">
        <v>6615959</v>
      </c>
      <c r="D311" s="1">
        <v>18</v>
      </c>
      <c r="E311" s="1" t="s">
        <v>34</v>
      </c>
      <c r="F311" s="16">
        <v>45735</v>
      </c>
      <c r="G311" s="1" t="s">
        <v>1470</v>
      </c>
      <c r="H311" s="1" t="s">
        <v>1472</v>
      </c>
      <c r="I311" s="17" t="s">
        <v>1502</v>
      </c>
      <c r="J311" s="18" t="s">
        <v>13</v>
      </c>
      <c r="K311" s="19" t="s">
        <v>14</v>
      </c>
      <c r="L311" s="19" t="s">
        <v>29</v>
      </c>
      <c r="M311" s="20">
        <v>4</v>
      </c>
      <c r="N311" s="21">
        <v>99999</v>
      </c>
      <c r="O311" s="22">
        <v>10</v>
      </c>
      <c r="P311" s="23">
        <v>359996.4</v>
      </c>
      <c r="Q311" s="22">
        <v>4.7</v>
      </c>
      <c r="R311" s="22">
        <v>20</v>
      </c>
      <c r="S311" s="23">
        <f>(Table13[[#This Row],[Unit Price]]*Table13[[#This Row],[No.of Units]])*18%</f>
        <v>71999.28</v>
      </c>
      <c r="T311" s="22" t="s">
        <v>1507</v>
      </c>
    </row>
    <row r="312" spans="2:20" x14ac:dyDescent="0.3">
      <c r="B312" s="5" t="s">
        <v>315</v>
      </c>
      <c r="C312" s="1">
        <v>6615959</v>
      </c>
      <c r="D312" s="1">
        <v>24</v>
      </c>
      <c r="E312" s="1" t="s">
        <v>12</v>
      </c>
      <c r="F312" s="16">
        <v>45735</v>
      </c>
      <c r="G312" s="1" t="s">
        <v>1470</v>
      </c>
      <c r="H312" s="1" t="s">
        <v>1472</v>
      </c>
      <c r="I312" s="17" t="s">
        <v>1503</v>
      </c>
      <c r="J312" s="18" t="s">
        <v>17</v>
      </c>
      <c r="K312" s="19" t="s">
        <v>18</v>
      </c>
      <c r="L312" s="19" t="s">
        <v>29</v>
      </c>
      <c r="M312" s="20">
        <v>66</v>
      </c>
      <c r="N312" s="21">
        <v>4999</v>
      </c>
      <c r="O312" s="22">
        <v>18</v>
      </c>
      <c r="P312" s="23">
        <v>270545.88</v>
      </c>
      <c r="Q312" s="22">
        <v>4.4000000000000004</v>
      </c>
      <c r="R312" s="22">
        <v>20</v>
      </c>
      <c r="S312" s="23">
        <f>(Table13[[#This Row],[Unit Price]]*Table13[[#This Row],[No.of Units]])*18%</f>
        <v>59388.119999999995</v>
      </c>
      <c r="T312" s="22" t="s">
        <v>1508</v>
      </c>
    </row>
    <row r="313" spans="2:20" x14ac:dyDescent="0.3">
      <c r="B313" s="5" t="s">
        <v>316</v>
      </c>
      <c r="C313" s="1">
        <v>4084518</v>
      </c>
      <c r="D313" s="1">
        <v>31</v>
      </c>
      <c r="E313" s="1" t="s">
        <v>12</v>
      </c>
      <c r="F313" s="16">
        <v>45735</v>
      </c>
      <c r="G313" s="1" t="s">
        <v>1470</v>
      </c>
      <c r="H313" s="1" t="s">
        <v>1471</v>
      </c>
      <c r="I313" s="17" t="s">
        <v>1504</v>
      </c>
      <c r="J313" s="18" t="s">
        <v>21</v>
      </c>
      <c r="K313" s="19" t="s">
        <v>18</v>
      </c>
      <c r="L313" s="19" t="s">
        <v>29</v>
      </c>
      <c r="M313" s="20">
        <v>10</v>
      </c>
      <c r="N313" s="21">
        <v>24900</v>
      </c>
      <c r="O313" s="22">
        <v>5</v>
      </c>
      <c r="P313" s="23">
        <v>236550</v>
      </c>
      <c r="Q313" s="22">
        <v>4.8</v>
      </c>
      <c r="R313" s="22">
        <v>20</v>
      </c>
      <c r="S313" s="23">
        <f>(Table13[[#This Row],[Unit Price]]*Table13[[#This Row],[No.of Units]])*18%</f>
        <v>44820</v>
      </c>
      <c r="T313" s="22" t="s">
        <v>1508</v>
      </c>
    </row>
    <row r="314" spans="2:20" x14ac:dyDescent="0.3">
      <c r="B314" s="5" t="s">
        <v>317</v>
      </c>
      <c r="C314" s="1">
        <v>2902438</v>
      </c>
      <c r="D314" s="1">
        <v>33</v>
      </c>
      <c r="E314" s="1" t="s">
        <v>12</v>
      </c>
      <c r="F314" s="16">
        <v>45735</v>
      </c>
      <c r="G314" s="1" t="s">
        <v>1470</v>
      </c>
      <c r="H314" s="1" t="s">
        <v>1471</v>
      </c>
      <c r="I314" s="17" t="s">
        <v>1505</v>
      </c>
      <c r="J314" s="18" t="s">
        <v>23</v>
      </c>
      <c r="K314" s="19" t="s">
        <v>14</v>
      </c>
      <c r="L314" s="19" t="s">
        <v>29</v>
      </c>
      <c r="M314" s="20">
        <v>2</v>
      </c>
      <c r="N314" s="21">
        <v>84999</v>
      </c>
      <c r="O314" s="22">
        <v>12</v>
      </c>
      <c r="P314" s="23">
        <v>149598.24</v>
      </c>
      <c r="Q314" s="22">
        <v>4.5</v>
      </c>
      <c r="R314" s="22">
        <v>20</v>
      </c>
      <c r="S314" s="23">
        <f>(Table13[[#This Row],[Unit Price]]*Table13[[#This Row],[No.of Units]])*18%</f>
        <v>30599.64</v>
      </c>
      <c r="T314" s="22" t="s">
        <v>1507</v>
      </c>
    </row>
    <row r="315" spans="2:20" x14ac:dyDescent="0.3">
      <c r="B315" s="5" t="s">
        <v>318</v>
      </c>
      <c r="C315" s="1">
        <v>6082959</v>
      </c>
      <c r="D315" s="1">
        <v>40</v>
      </c>
      <c r="E315" s="1" t="s">
        <v>12</v>
      </c>
      <c r="F315" s="16">
        <v>45735</v>
      </c>
      <c r="G315" s="1" t="s">
        <v>1470</v>
      </c>
      <c r="H315" s="1" t="s">
        <v>1482</v>
      </c>
      <c r="I315" s="17" t="s">
        <v>1504</v>
      </c>
      <c r="J315" s="18" t="s">
        <v>25</v>
      </c>
      <c r="K315" s="19" t="s">
        <v>26</v>
      </c>
      <c r="L315" s="19" t="s">
        <v>29</v>
      </c>
      <c r="M315" s="20">
        <v>6</v>
      </c>
      <c r="N315" s="21">
        <v>69999</v>
      </c>
      <c r="O315" s="22">
        <v>8</v>
      </c>
      <c r="P315" s="23">
        <v>386394.48</v>
      </c>
      <c r="Q315" s="22">
        <v>4.8</v>
      </c>
      <c r="R315" s="22">
        <v>20</v>
      </c>
      <c r="S315" s="23">
        <f>(Table13[[#This Row],[Unit Price]]*Table13[[#This Row],[No.of Units]])*18%</f>
        <v>75598.92</v>
      </c>
      <c r="T315" s="22" t="s">
        <v>1507</v>
      </c>
    </row>
    <row r="316" spans="2:20" x14ac:dyDescent="0.3">
      <c r="B316" s="5" t="s">
        <v>319</v>
      </c>
      <c r="C316" s="1">
        <v>608880</v>
      </c>
      <c r="D316" s="1">
        <v>48</v>
      </c>
      <c r="E316" s="1" t="s">
        <v>12</v>
      </c>
      <c r="F316" s="16">
        <v>45735</v>
      </c>
      <c r="G316" s="1" t="s">
        <v>1470</v>
      </c>
      <c r="H316" s="1" t="s">
        <v>1482</v>
      </c>
      <c r="I316" s="17" t="s">
        <v>1503</v>
      </c>
      <c r="J316" s="18" t="s">
        <v>28</v>
      </c>
      <c r="K316" s="19" t="s">
        <v>26</v>
      </c>
      <c r="L316" s="19" t="s">
        <v>29</v>
      </c>
      <c r="M316" s="20">
        <v>8</v>
      </c>
      <c r="N316" s="21">
        <v>42999</v>
      </c>
      <c r="O316" s="22">
        <v>15</v>
      </c>
      <c r="P316" s="23">
        <v>292393.2</v>
      </c>
      <c r="Q316" s="22">
        <v>4.5999999999999996</v>
      </c>
      <c r="R316" s="22">
        <v>20</v>
      </c>
      <c r="S316" s="23">
        <f>(Table13[[#This Row],[Unit Price]]*Table13[[#This Row],[No.of Units]])*18%</f>
        <v>61918.559999999998</v>
      </c>
      <c r="T316" s="22" t="s">
        <v>1508</v>
      </c>
    </row>
    <row r="317" spans="2:20" x14ac:dyDescent="0.3">
      <c r="B317" s="5" t="s">
        <v>320</v>
      </c>
      <c r="C317" s="1">
        <v>5815426</v>
      </c>
      <c r="D317" s="1">
        <v>28</v>
      </c>
      <c r="E317" s="1" t="s">
        <v>12</v>
      </c>
      <c r="F317" s="16">
        <v>45735</v>
      </c>
      <c r="G317" s="1" t="s">
        <v>1470</v>
      </c>
      <c r="H317" s="1" t="s">
        <v>1482</v>
      </c>
      <c r="I317" s="17" t="s">
        <v>1502</v>
      </c>
      <c r="J317" s="18" t="s">
        <v>13</v>
      </c>
      <c r="K317" s="19" t="s">
        <v>14</v>
      </c>
      <c r="L317" s="19" t="s">
        <v>35</v>
      </c>
      <c r="M317" s="20">
        <v>4</v>
      </c>
      <c r="N317" s="21">
        <v>99999</v>
      </c>
      <c r="O317" s="22">
        <v>10</v>
      </c>
      <c r="P317" s="23">
        <v>359996.4</v>
      </c>
      <c r="Q317" s="22">
        <v>4.7</v>
      </c>
      <c r="R317" s="22">
        <v>20</v>
      </c>
      <c r="S317" s="23">
        <f>(Table13[[#This Row],[Unit Price]]*Table13[[#This Row],[No.of Units]])*18%</f>
        <v>71999.28</v>
      </c>
      <c r="T317" s="22" t="s">
        <v>1508</v>
      </c>
    </row>
    <row r="318" spans="2:20" x14ac:dyDescent="0.3">
      <c r="B318" s="5" t="s">
        <v>321</v>
      </c>
      <c r="C318" s="1">
        <v>4983896</v>
      </c>
      <c r="D318" s="1">
        <v>41</v>
      </c>
      <c r="E318" s="1" t="s">
        <v>12</v>
      </c>
      <c r="F318" s="16">
        <v>45735</v>
      </c>
      <c r="G318" s="1" t="s">
        <v>1470</v>
      </c>
      <c r="H318" s="1" t="s">
        <v>1483</v>
      </c>
      <c r="I318" s="17" t="s">
        <v>1503</v>
      </c>
      <c r="J318" s="18" t="s">
        <v>17</v>
      </c>
      <c r="K318" s="19" t="s">
        <v>18</v>
      </c>
      <c r="L318" s="19" t="s">
        <v>35</v>
      </c>
      <c r="M318" s="20">
        <v>25</v>
      </c>
      <c r="N318" s="21">
        <v>4999</v>
      </c>
      <c r="O318" s="22">
        <v>18</v>
      </c>
      <c r="P318" s="23">
        <v>102479.5</v>
      </c>
      <c r="Q318" s="22">
        <v>4.4000000000000004</v>
      </c>
      <c r="R318" s="22">
        <v>20</v>
      </c>
      <c r="S318" s="23">
        <f>(Table13[[#This Row],[Unit Price]]*Table13[[#This Row],[No.of Units]])*18%</f>
        <v>22495.5</v>
      </c>
      <c r="T318" s="22" t="s">
        <v>1508</v>
      </c>
    </row>
    <row r="319" spans="2:20" x14ac:dyDescent="0.3">
      <c r="B319" s="5" t="s">
        <v>322</v>
      </c>
      <c r="C319" s="1">
        <v>249073</v>
      </c>
      <c r="D319" s="1">
        <v>35</v>
      </c>
      <c r="E319" s="1" t="s">
        <v>12</v>
      </c>
      <c r="F319" s="16">
        <v>45735</v>
      </c>
      <c r="G319" s="1" t="s">
        <v>1470</v>
      </c>
      <c r="H319" s="1" t="s">
        <v>1471</v>
      </c>
      <c r="I319" s="17" t="s">
        <v>1504</v>
      </c>
      <c r="J319" s="18" t="s">
        <v>21</v>
      </c>
      <c r="K319" s="19" t="s">
        <v>18</v>
      </c>
      <c r="L319" s="19" t="s">
        <v>35</v>
      </c>
      <c r="M319" s="20">
        <v>4</v>
      </c>
      <c r="N319" s="21">
        <v>24900</v>
      </c>
      <c r="O319" s="22">
        <v>5</v>
      </c>
      <c r="P319" s="23">
        <v>94620</v>
      </c>
      <c r="Q319" s="22">
        <v>4.8</v>
      </c>
      <c r="R319" s="22">
        <v>20</v>
      </c>
      <c r="S319" s="23">
        <f>(Table13[[#This Row],[Unit Price]]*Table13[[#This Row],[No.of Units]])*18%</f>
        <v>17928</v>
      </c>
      <c r="T319" s="22" t="s">
        <v>1508</v>
      </c>
    </row>
    <row r="320" spans="2:20" x14ac:dyDescent="0.3">
      <c r="B320" s="5" t="s">
        <v>323</v>
      </c>
      <c r="C320" s="1">
        <v>296282</v>
      </c>
      <c r="D320" s="1">
        <v>27</v>
      </c>
      <c r="E320" s="1" t="s">
        <v>12</v>
      </c>
      <c r="F320" s="16">
        <v>45735</v>
      </c>
      <c r="G320" s="1" t="s">
        <v>1470</v>
      </c>
      <c r="H320" s="1" t="s">
        <v>1472</v>
      </c>
      <c r="I320" s="17" t="s">
        <v>1505</v>
      </c>
      <c r="J320" s="18" t="s">
        <v>23</v>
      </c>
      <c r="K320" s="19" t="s">
        <v>14</v>
      </c>
      <c r="L320" s="19" t="s">
        <v>35</v>
      </c>
      <c r="M320" s="20">
        <v>4</v>
      </c>
      <c r="N320" s="21">
        <v>84999</v>
      </c>
      <c r="O320" s="22">
        <v>12</v>
      </c>
      <c r="P320" s="23">
        <v>299196.48</v>
      </c>
      <c r="Q320" s="22">
        <v>4.5</v>
      </c>
      <c r="R320" s="22">
        <v>20</v>
      </c>
      <c r="S320" s="23">
        <f>(Table13[[#This Row],[Unit Price]]*Table13[[#This Row],[No.of Units]])*18%</f>
        <v>61199.28</v>
      </c>
      <c r="T320" s="22" t="s">
        <v>1507</v>
      </c>
    </row>
    <row r="321" spans="2:20" x14ac:dyDescent="0.3">
      <c r="B321" s="5" t="s">
        <v>324</v>
      </c>
      <c r="C321" s="1">
        <v>1853947</v>
      </c>
      <c r="D321" s="1">
        <v>74</v>
      </c>
      <c r="E321" s="1" t="s">
        <v>20</v>
      </c>
      <c r="F321" s="16">
        <v>45735</v>
      </c>
      <c r="G321" s="1" t="s">
        <v>1470</v>
      </c>
      <c r="H321" s="1" t="s">
        <v>1482</v>
      </c>
      <c r="I321" s="17" t="s">
        <v>1504</v>
      </c>
      <c r="J321" s="18" t="s">
        <v>25</v>
      </c>
      <c r="K321" s="19" t="s">
        <v>26</v>
      </c>
      <c r="L321" s="19" t="s">
        <v>35</v>
      </c>
      <c r="M321" s="20">
        <v>1</v>
      </c>
      <c r="N321" s="21">
        <v>69999</v>
      </c>
      <c r="O321" s="22">
        <v>8</v>
      </c>
      <c r="P321" s="23">
        <v>64399.08</v>
      </c>
      <c r="Q321" s="22">
        <v>4.8</v>
      </c>
      <c r="R321" s="22">
        <v>20</v>
      </c>
      <c r="S321" s="23">
        <f>(Table13[[#This Row],[Unit Price]]*Table13[[#This Row],[No.of Units]])*18%</f>
        <v>12599.82</v>
      </c>
      <c r="T321" s="22" t="s">
        <v>1508</v>
      </c>
    </row>
    <row r="322" spans="2:20" x14ac:dyDescent="0.3">
      <c r="B322" s="5" t="s">
        <v>325</v>
      </c>
      <c r="C322" s="1">
        <v>4651921</v>
      </c>
      <c r="D322" s="1">
        <v>65</v>
      </c>
      <c r="E322" s="1" t="s">
        <v>20</v>
      </c>
      <c r="F322" s="16">
        <v>45735</v>
      </c>
      <c r="G322" s="1" t="s">
        <v>1470</v>
      </c>
      <c r="H322" s="1" t="s">
        <v>1472</v>
      </c>
      <c r="I322" s="17" t="s">
        <v>1503</v>
      </c>
      <c r="J322" s="18" t="s">
        <v>28</v>
      </c>
      <c r="K322" s="19" t="s">
        <v>26</v>
      </c>
      <c r="L322" s="19" t="s">
        <v>35</v>
      </c>
      <c r="M322" s="20">
        <v>5</v>
      </c>
      <c r="N322" s="21">
        <v>42999</v>
      </c>
      <c r="O322" s="22">
        <v>15</v>
      </c>
      <c r="P322" s="23">
        <v>182745.75</v>
      </c>
      <c r="Q322" s="22">
        <v>4.5999999999999996</v>
      </c>
      <c r="R322" s="22">
        <v>20</v>
      </c>
      <c r="S322" s="23">
        <f>(Table13[[#This Row],[Unit Price]]*Table13[[#This Row],[No.of Units]])*18%</f>
        <v>38699.1</v>
      </c>
      <c r="T322" s="22" t="s">
        <v>1507</v>
      </c>
    </row>
    <row r="323" spans="2:20" x14ac:dyDescent="0.3">
      <c r="B323" s="5" t="s">
        <v>326</v>
      </c>
      <c r="C323" s="1">
        <v>6987211</v>
      </c>
      <c r="D323" s="1">
        <v>53</v>
      </c>
      <c r="E323" s="1" t="s">
        <v>20</v>
      </c>
      <c r="F323" s="16">
        <v>45735</v>
      </c>
      <c r="G323" s="1" t="s">
        <v>1470</v>
      </c>
      <c r="H323" s="1" t="s">
        <v>1472</v>
      </c>
      <c r="I323" s="17" t="s">
        <v>1502</v>
      </c>
      <c r="J323" s="18" t="s">
        <v>13</v>
      </c>
      <c r="K323" s="19" t="s">
        <v>14</v>
      </c>
      <c r="L323" s="19" t="s">
        <v>42</v>
      </c>
      <c r="M323" s="20">
        <v>5</v>
      </c>
      <c r="N323" s="21">
        <v>99999</v>
      </c>
      <c r="O323" s="22">
        <v>10</v>
      </c>
      <c r="P323" s="23">
        <v>449995.5</v>
      </c>
      <c r="Q323" s="22">
        <v>4.7</v>
      </c>
      <c r="R323" s="22">
        <v>20</v>
      </c>
      <c r="S323" s="23">
        <f>(Table13[[#This Row],[Unit Price]]*Table13[[#This Row],[No.of Units]])*18%</f>
        <v>89999.099999999991</v>
      </c>
      <c r="T323" s="22" t="s">
        <v>1507</v>
      </c>
    </row>
    <row r="324" spans="2:20" x14ac:dyDescent="0.3">
      <c r="B324" s="5" t="s">
        <v>327</v>
      </c>
      <c r="C324" s="1">
        <v>4835989</v>
      </c>
      <c r="D324" s="1">
        <v>48</v>
      </c>
      <c r="E324" s="1" t="s">
        <v>12</v>
      </c>
      <c r="F324" s="16">
        <v>45735</v>
      </c>
      <c r="G324" s="1" t="s">
        <v>1470</v>
      </c>
      <c r="H324" s="1" t="s">
        <v>1483</v>
      </c>
      <c r="I324" s="17" t="s">
        <v>1503</v>
      </c>
      <c r="J324" s="18" t="s">
        <v>17</v>
      </c>
      <c r="K324" s="19" t="s">
        <v>18</v>
      </c>
      <c r="L324" s="19" t="s">
        <v>42</v>
      </c>
      <c r="M324" s="20">
        <v>41</v>
      </c>
      <c r="N324" s="21">
        <v>4999</v>
      </c>
      <c r="O324" s="22">
        <v>18</v>
      </c>
      <c r="P324" s="23">
        <v>168066.38</v>
      </c>
      <c r="Q324" s="22">
        <v>4.4000000000000004</v>
      </c>
      <c r="R324" s="22">
        <v>20</v>
      </c>
      <c r="S324" s="23">
        <f>(Table13[[#This Row],[Unit Price]]*Table13[[#This Row],[No.of Units]])*18%</f>
        <v>36892.619999999995</v>
      </c>
      <c r="T324" s="22" t="s">
        <v>1508</v>
      </c>
    </row>
    <row r="325" spans="2:20" x14ac:dyDescent="0.3">
      <c r="B325" s="5" t="s">
        <v>327</v>
      </c>
      <c r="C325" s="1">
        <v>4835989</v>
      </c>
      <c r="D325" s="1">
        <v>24</v>
      </c>
      <c r="E325" s="1" t="s">
        <v>12</v>
      </c>
      <c r="F325" s="16">
        <v>45735</v>
      </c>
      <c r="G325" s="1" t="s">
        <v>1470</v>
      </c>
      <c r="H325" s="1" t="s">
        <v>1472</v>
      </c>
      <c r="I325" s="17" t="s">
        <v>1504</v>
      </c>
      <c r="J325" s="18" t="s">
        <v>21</v>
      </c>
      <c r="K325" s="19" t="s">
        <v>18</v>
      </c>
      <c r="L325" s="19" t="s">
        <v>42</v>
      </c>
      <c r="M325" s="20">
        <v>9</v>
      </c>
      <c r="N325" s="21">
        <v>24900</v>
      </c>
      <c r="O325" s="22">
        <v>5</v>
      </c>
      <c r="P325" s="23">
        <v>212895</v>
      </c>
      <c r="Q325" s="22">
        <v>4.8</v>
      </c>
      <c r="R325" s="22">
        <v>20</v>
      </c>
      <c r="S325" s="23">
        <f>(Table13[[#This Row],[Unit Price]]*Table13[[#This Row],[No.of Units]])*18%</f>
        <v>40338</v>
      </c>
      <c r="T325" s="22" t="s">
        <v>1507</v>
      </c>
    </row>
    <row r="326" spans="2:20" x14ac:dyDescent="0.3">
      <c r="B326" s="5" t="s">
        <v>328</v>
      </c>
      <c r="C326" s="1">
        <v>9124078</v>
      </c>
      <c r="D326" s="1">
        <v>64</v>
      </c>
      <c r="E326" s="1" t="s">
        <v>20</v>
      </c>
      <c r="F326" s="16">
        <v>45735</v>
      </c>
      <c r="G326" s="1" t="s">
        <v>1475</v>
      </c>
      <c r="H326" s="1" t="s">
        <v>1471</v>
      </c>
      <c r="I326" s="17" t="s">
        <v>1505</v>
      </c>
      <c r="J326" s="18" t="s">
        <v>23</v>
      </c>
      <c r="K326" s="19" t="s">
        <v>14</v>
      </c>
      <c r="L326" s="19" t="s">
        <v>42</v>
      </c>
      <c r="M326" s="20">
        <v>4</v>
      </c>
      <c r="N326" s="21">
        <v>84999</v>
      </c>
      <c r="O326" s="22">
        <v>12</v>
      </c>
      <c r="P326" s="23">
        <v>299196.48</v>
      </c>
      <c r="Q326" s="22">
        <v>4.5</v>
      </c>
      <c r="R326" s="22">
        <v>20</v>
      </c>
      <c r="S326" s="23">
        <f>(Table13[[#This Row],[Unit Price]]*Table13[[#This Row],[No.of Units]])*18%</f>
        <v>61199.28</v>
      </c>
      <c r="T326" s="22" t="s">
        <v>1508</v>
      </c>
    </row>
    <row r="327" spans="2:20" x14ac:dyDescent="0.3">
      <c r="B327" s="5" t="s">
        <v>329</v>
      </c>
      <c r="C327" s="1">
        <v>1781950</v>
      </c>
      <c r="D327" s="1">
        <v>30</v>
      </c>
      <c r="E327" s="1" t="s">
        <v>12</v>
      </c>
      <c r="F327" s="16">
        <v>45735</v>
      </c>
      <c r="G327" s="1" t="s">
        <v>1470</v>
      </c>
      <c r="H327" s="1" t="s">
        <v>1472</v>
      </c>
      <c r="I327" s="17" t="s">
        <v>1504</v>
      </c>
      <c r="J327" s="18" t="s">
        <v>25</v>
      </c>
      <c r="K327" s="19" t="s">
        <v>26</v>
      </c>
      <c r="L327" s="19" t="s">
        <v>42</v>
      </c>
      <c r="M327" s="20">
        <v>6</v>
      </c>
      <c r="N327" s="21">
        <v>69999</v>
      </c>
      <c r="O327" s="22">
        <v>8</v>
      </c>
      <c r="P327" s="23">
        <v>386394.48</v>
      </c>
      <c r="Q327" s="22">
        <v>4.8</v>
      </c>
      <c r="R327" s="22">
        <v>20</v>
      </c>
      <c r="S327" s="23">
        <f>(Table13[[#This Row],[Unit Price]]*Table13[[#This Row],[No.of Units]])*18%</f>
        <v>75598.92</v>
      </c>
      <c r="T327" s="22" t="s">
        <v>1508</v>
      </c>
    </row>
    <row r="328" spans="2:20" x14ac:dyDescent="0.3">
      <c r="B328" s="5" t="s">
        <v>330</v>
      </c>
      <c r="C328" s="1">
        <v>3695347</v>
      </c>
      <c r="D328" s="1">
        <v>22</v>
      </c>
      <c r="E328" s="1" t="s">
        <v>12</v>
      </c>
      <c r="F328" s="16">
        <v>45735</v>
      </c>
      <c r="G328" s="1" t="s">
        <v>1470</v>
      </c>
      <c r="H328" s="1" t="s">
        <v>1471</v>
      </c>
      <c r="I328" s="17" t="s">
        <v>1503</v>
      </c>
      <c r="J328" s="18" t="s">
        <v>28</v>
      </c>
      <c r="K328" s="19" t="s">
        <v>26</v>
      </c>
      <c r="L328" s="19" t="s">
        <v>42</v>
      </c>
      <c r="M328" s="20">
        <v>11</v>
      </c>
      <c r="N328" s="21">
        <v>42999</v>
      </c>
      <c r="O328" s="22">
        <v>15</v>
      </c>
      <c r="P328" s="23">
        <v>402040.65</v>
      </c>
      <c r="Q328" s="22">
        <v>4.5999999999999996</v>
      </c>
      <c r="R328" s="22">
        <v>20</v>
      </c>
      <c r="S328" s="23">
        <f>(Table13[[#This Row],[Unit Price]]*Table13[[#This Row],[No.of Units]])*18%</f>
        <v>85138.02</v>
      </c>
      <c r="T328" s="22" t="s">
        <v>1508</v>
      </c>
    </row>
    <row r="329" spans="2:20" x14ac:dyDescent="0.3">
      <c r="B329" s="5" t="s">
        <v>331</v>
      </c>
      <c r="C329" s="1">
        <v>2332327</v>
      </c>
      <c r="D329" s="1">
        <v>23</v>
      </c>
      <c r="E329" s="1" t="s">
        <v>12</v>
      </c>
      <c r="F329" s="16">
        <v>45735</v>
      </c>
      <c r="G329" s="1" t="s">
        <v>1470</v>
      </c>
      <c r="H329" s="1" t="s">
        <v>1471</v>
      </c>
      <c r="I329" s="17" t="s">
        <v>1502</v>
      </c>
      <c r="J329" s="18" t="s">
        <v>13</v>
      </c>
      <c r="K329" s="19" t="s">
        <v>14</v>
      </c>
      <c r="L329" s="19" t="s">
        <v>49</v>
      </c>
      <c r="M329" s="20">
        <v>4</v>
      </c>
      <c r="N329" s="21">
        <v>99999</v>
      </c>
      <c r="O329" s="22">
        <v>10</v>
      </c>
      <c r="P329" s="23">
        <v>359996.4</v>
      </c>
      <c r="Q329" s="22">
        <v>4.7</v>
      </c>
      <c r="R329" s="22">
        <v>20</v>
      </c>
      <c r="S329" s="23">
        <f>(Table13[[#This Row],[Unit Price]]*Table13[[#This Row],[No.of Units]])*18%</f>
        <v>71999.28</v>
      </c>
      <c r="T329" s="22" t="s">
        <v>1508</v>
      </c>
    </row>
    <row r="330" spans="2:20" x14ac:dyDescent="0.3">
      <c r="B330" s="5" t="s">
        <v>332</v>
      </c>
      <c r="C330" s="1">
        <v>6393323</v>
      </c>
      <c r="D330" s="1">
        <v>35</v>
      </c>
      <c r="E330" s="1" t="s">
        <v>12</v>
      </c>
      <c r="F330" s="16">
        <v>45735</v>
      </c>
      <c r="G330" s="1" t="s">
        <v>1470</v>
      </c>
      <c r="H330" s="1" t="s">
        <v>1471</v>
      </c>
      <c r="I330" s="17" t="s">
        <v>1503</v>
      </c>
      <c r="J330" s="18" t="s">
        <v>17</v>
      </c>
      <c r="K330" s="19" t="s">
        <v>18</v>
      </c>
      <c r="L330" s="19" t="s">
        <v>49</v>
      </c>
      <c r="M330" s="20">
        <v>56</v>
      </c>
      <c r="N330" s="21">
        <v>4999</v>
      </c>
      <c r="O330" s="22">
        <v>18</v>
      </c>
      <c r="P330" s="23">
        <v>229554.08000000002</v>
      </c>
      <c r="Q330" s="22">
        <v>4.4000000000000004</v>
      </c>
      <c r="R330" s="22">
        <v>20</v>
      </c>
      <c r="S330" s="23">
        <f>(Table13[[#This Row],[Unit Price]]*Table13[[#This Row],[No.of Units]])*18%</f>
        <v>50389.919999999998</v>
      </c>
      <c r="T330" s="22" t="s">
        <v>1508</v>
      </c>
    </row>
    <row r="331" spans="2:20" x14ac:dyDescent="0.3">
      <c r="B331" s="5" t="s">
        <v>333</v>
      </c>
      <c r="C331" s="1">
        <v>1741029</v>
      </c>
      <c r="D331" s="1">
        <v>20</v>
      </c>
      <c r="E331" s="1" t="s">
        <v>12</v>
      </c>
      <c r="F331" s="16">
        <v>45735</v>
      </c>
      <c r="G331" s="1" t="s">
        <v>1470</v>
      </c>
      <c r="H331" s="1" t="s">
        <v>1471</v>
      </c>
      <c r="I331" s="17" t="s">
        <v>1504</v>
      </c>
      <c r="J331" s="18" t="s">
        <v>21</v>
      </c>
      <c r="K331" s="19" t="s">
        <v>18</v>
      </c>
      <c r="L331" s="19" t="s">
        <v>49</v>
      </c>
      <c r="M331" s="20">
        <v>10</v>
      </c>
      <c r="N331" s="21">
        <v>24900</v>
      </c>
      <c r="O331" s="22">
        <v>5</v>
      </c>
      <c r="P331" s="23">
        <v>236550</v>
      </c>
      <c r="Q331" s="22">
        <v>4.8</v>
      </c>
      <c r="R331" s="22">
        <v>20</v>
      </c>
      <c r="S331" s="23">
        <f>(Table13[[#This Row],[Unit Price]]*Table13[[#This Row],[No.of Units]])*18%</f>
        <v>44820</v>
      </c>
      <c r="T331" s="22" t="s">
        <v>1508</v>
      </c>
    </row>
    <row r="332" spans="2:20" x14ac:dyDescent="0.3">
      <c r="B332" s="5" t="s">
        <v>334</v>
      </c>
      <c r="C332" s="1">
        <v>9462001</v>
      </c>
      <c r="D332" s="1">
        <v>43</v>
      </c>
      <c r="E332" s="1" t="s">
        <v>12</v>
      </c>
      <c r="F332" s="16">
        <v>45735</v>
      </c>
      <c r="G332" s="1" t="s">
        <v>1470</v>
      </c>
      <c r="H332" s="1" t="s">
        <v>1483</v>
      </c>
      <c r="I332" s="17" t="s">
        <v>1505</v>
      </c>
      <c r="J332" s="18" t="s">
        <v>23</v>
      </c>
      <c r="K332" s="19" t="s">
        <v>14</v>
      </c>
      <c r="L332" s="19" t="s">
        <v>49</v>
      </c>
      <c r="M332" s="20">
        <v>6</v>
      </c>
      <c r="N332" s="21">
        <v>84999</v>
      </c>
      <c r="O332" s="22">
        <v>12</v>
      </c>
      <c r="P332" s="23">
        <v>448794.72</v>
      </c>
      <c r="Q332" s="22">
        <v>4.5</v>
      </c>
      <c r="R332" s="22">
        <v>20</v>
      </c>
      <c r="S332" s="23">
        <f>(Table13[[#This Row],[Unit Price]]*Table13[[#This Row],[No.of Units]])*18%</f>
        <v>91798.92</v>
      </c>
      <c r="T332" s="22" t="s">
        <v>1508</v>
      </c>
    </row>
    <row r="333" spans="2:20" x14ac:dyDescent="0.3">
      <c r="B333" s="5" t="s">
        <v>335</v>
      </c>
      <c r="C333" s="1">
        <v>6561746</v>
      </c>
      <c r="D333" s="1">
        <v>49</v>
      </c>
      <c r="E333" s="1" t="s">
        <v>12</v>
      </c>
      <c r="F333" s="16">
        <v>45735</v>
      </c>
      <c r="G333" s="1" t="s">
        <v>1470</v>
      </c>
      <c r="H333" s="1" t="s">
        <v>1481</v>
      </c>
      <c r="I333" s="17" t="s">
        <v>1504</v>
      </c>
      <c r="J333" s="18" t="s">
        <v>25</v>
      </c>
      <c r="K333" s="19" t="s">
        <v>26</v>
      </c>
      <c r="L333" s="19" t="s">
        <v>49</v>
      </c>
      <c r="M333" s="20">
        <v>5</v>
      </c>
      <c r="N333" s="21">
        <v>69999</v>
      </c>
      <c r="O333" s="22">
        <v>8</v>
      </c>
      <c r="P333" s="23">
        <v>321995.40000000002</v>
      </c>
      <c r="Q333" s="22">
        <v>4.8</v>
      </c>
      <c r="R333" s="22">
        <v>20</v>
      </c>
      <c r="S333" s="23">
        <f>(Table13[[#This Row],[Unit Price]]*Table13[[#This Row],[No.of Units]])*18%</f>
        <v>62999.1</v>
      </c>
      <c r="T333" s="22" t="s">
        <v>1508</v>
      </c>
    </row>
    <row r="334" spans="2:20" x14ac:dyDescent="0.3">
      <c r="B334" s="5" t="s">
        <v>336</v>
      </c>
      <c r="C334" s="1">
        <v>8231592</v>
      </c>
      <c r="D334" s="1">
        <v>47</v>
      </c>
      <c r="E334" s="1" t="s">
        <v>12</v>
      </c>
      <c r="F334" s="16">
        <v>45735</v>
      </c>
      <c r="G334" s="1" t="s">
        <v>1470</v>
      </c>
      <c r="H334" s="1" t="s">
        <v>1471</v>
      </c>
      <c r="I334" s="17" t="s">
        <v>1503</v>
      </c>
      <c r="J334" s="18" t="s">
        <v>28</v>
      </c>
      <c r="K334" s="19" t="s">
        <v>26</v>
      </c>
      <c r="L334" s="19" t="s">
        <v>49</v>
      </c>
      <c r="M334" s="20">
        <v>8</v>
      </c>
      <c r="N334" s="21">
        <v>42999</v>
      </c>
      <c r="O334" s="22">
        <v>15</v>
      </c>
      <c r="P334" s="23">
        <v>292393.2</v>
      </c>
      <c r="Q334" s="22">
        <v>4.5999999999999996</v>
      </c>
      <c r="R334" s="22">
        <v>20</v>
      </c>
      <c r="S334" s="23">
        <f>(Table13[[#This Row],[Unit Price]]*Table13[[#This Row],[No.of Units]])*18%</f>
        <v>61918.559999999998</v>
      </c>
      <c r="T334" s="22" t="s">
        <v>1508</v>
      </c>
    </row>
    <row r="335" spans="2:20" x14ac:dyDescent="0.3">
      <c r="B335" s="5" t="s">
        <v>337</v>
      </c>
      <c r="C335" s="1">
        <v>1813868</v>
      </c>
      <c r="D335" s="1">
        <v>41</v>
      </c>
      <c r="E335" s="1" t="s">
        <v>12</v>
      </c>
      <c r="F335" s="16">
        <v>45742</v>
      </c>
      <c r="G335" s="1" t="s">
        <v>1470</v>
      </c>
      <c r="H335" s="1" t="s">
        <v>1471</v>
      </c>
      <c r="I335" s="17" t="s">
        <v>1502</v>
      </c>
      <c r="J335" s="18" t="s">
        <v>13</v>
      </c>
      <c r="K335" s="19" t="s">
        <v>14</v>
      </c>
      <c r="L335" s="19" t="s">
        <v>15</v>
      </c>
      <c r="M335" s="20">
        <v>6</v>
      </c>
      <c r="N335" s="21">
        <v>99999</v>
      </c>
      <c r="O335" s="22">
        <v>10</v>
      </c>
      <c r="P335" s="23">
        <v>539994.6</v>
      </c>
      <c r="Q335" s="22">
        <v>4.7</v>
      </c>
      <c r="R335" s="22">
        <v>20</v>
      </c>
      <c r="S335" s="23">
        <f>(Table13[[#This Row],[Unit Price]]*Table13[[#This Row],[No.of Units]])*18%</f>
        <v>107998.92</v>
      </c>
      <c r="T335" s="22" t="s">
        <v>1508</v>
      </c>
    </row>
    <row r="336" spans="2:20" x14ac:dyDescent="0.3">
      <c r="B336" s="5" t="s">
        <v>338</v>
      </c>
      <c r="C336" s="1">
        <v>5627675</v>
      </c>
      <c r="D336" s="1">
        <v>40</v>
      </c>
      <c r="E336" s="1" t="s">
        <v>12</v>
      </c>
      <c r="F336" s="16">
        <v>45742</v>
      </c>
      <c r="G336" s="1" t="s">
        <v>1475</v>
      </c>
      <c r="H336" s="1" t="s">
        <v>1483</v>
      </c>
      <c r="I336" s="17" t="s">
        <v>1503</v>
      </c>
      <c r="J336" s="18" t="s">
        <v>17</v>
      </c>
      <c r="K336" s="19" t="s">
        <v>18</v>
      </c>
      <c r="L336" s="19" t="s">
        <v>15</v>
      </c>
      <c r="M336" s="20">
        <v>59</v>
      </c>
      <c r="N336" s="21">
        <v>4999</v>
      </c>
      <c r="O336" s="22">
        <v>18</v>
      </c>
      <c r="P336" s="23">
        <v>241851.62</v>
      </c>
      <c r="Q336" s="22">
        <v>4.4000000000000004</v>
      </c>
      <c r="R336" s="22">
        <v>20</v>
      </c>
      <c r="S336" s="23">
        <f>(Table13[[#This Row],[Unit Price]]*Table13[[#This Row],[No.of Units]])*18%</f>
        <v>53089.38</v>
      </c>
      <c r="T336" s="22" t="s">
        <v>1508</v>
      </c>
    </row>
    <row r="337" spans="2:20" x14ac:dyDescent="0.3">
      <c r="B337" s="5" t="s">
        <v>339</v>
      </c>
      <c r="C337" s="1">
        <v>2239856</v>
      </c>
      <c r="D337" s="1">
        <v>42</v>
      </c>
      <c r="E337" s="1" t="s">
        <v>12</v>
      </c>
      <c r="F337" s="16">
        <v>45742</v>
      </c>
      <c r="G337" s="1" t="s">
        <v>1474</v>
      </c>
      <c r="H337" s="1" t="s">
        <v>1471</v>
      </c>
      <c r="I337" s="17" t="s">
        <v>1504</v>
      </c>
      <c r="J337" s="18" t="s">
        <v>21</v>
      </c>
      <c r="K337" s="19" t="s">
        <v>18</v>
      </c>
      <c r="L337" s="19" t="s">
        <v>15</v>
      </c>
      <c r="M337" s="20">
        <v>12</v>
      </c>
      <c r="N337" s="21">
        <v>24900</v>
      </c>
      <c r="O337" s="22">
        <v>5</v>
      </c>
      <c r="P337" s="23">
        <v>283860</v>
      </c>
      <c r="Q337" s="22">
        <v>4.8</v>
      </c>
      <c r="R337" s="22">
        <v>20</v>
      </c>
      <c r="S337" s="23">
        <f>(Table13[[#This Row],[Unit Price]]*Table13[[#This Row],[No.of Units]])*18%</f>
        <v>53784</v>
      </c>
      <c r="T337" s="22" t="s">
        <v>1507</v>
      </c>
    </row>
    <row r="338" spans="2:20" x14ac:dyDescent="0.3">
      <c r="B338" s="5" t="s">
        <v>340</v>
      </c>
      <c r="C338" s="1">
        <v>7546685</v>
      </c>
      <c r="D338" s="1">
        <v>42</v>
      </c>
      <c r="E338" s="1" t="s">
        <v>12</v>
      </c>
      <c r="F338" s="16">
        <v>45742</v>
      </c>
      <c r="G338" s="1" t="s">
        <v>1470</v>
      </c>
      <c r="H338" s="1" t="s">
        <v>1482</v>
      </c>
      <c r="I338" s="17" t="s">
        <v>1505</v>
      </c>
      <c r="J338" s="18" t="s">
        <v>23</v>
      </c>
      <c r="K338" s="19" t="s">
        <v>14</v>
      </c>
      <c r="L338" s="19" t="s">
        <v>15</v>
      </c>
      <c r="M338" s="20">
        <v>5</v>
      </c>
      <c r="N338" s="21">
        <v>84999</v>
      </c>
      <c r="O338" s="22">
        <v>12</v>
      </c>
      <c r="P338" s="23">
        <v>373995.6</v>
      </c>
      <c r="Q338" s="22">
        <v>4.5</v>
      </c>
      <c r="R338" s="22">
        <v>20</v>
      </c>
      <c r="S338" s="23">
        <f>(Table13[[#This Row],[Unit Price]]*Table13[[#This Row],[No.of Units]])*18%</f>
        <v>76499.099999999991</v>
      </c>
      <c r="T338" s="22" t="s">
        <v>1508</v>
      </c>
    </row>
    <row r="339" spans="2:20" x14ac:dyDescent="0.3">
      <c r="B339" s="5" t="s">
        <v>341</v>
      </c>
      <c r="C339" s="1">
        <v>3017458</v>
      </c>
      <c r="D339" s="1">
        <v>28</v>
      </c>
      <c r="E339" s="1" t="s">
        <v>12</v>
      </c>
      <c r="F339" s="16">
        <v>45742</v>
      </c>
      <c r="G339" s="1" t="s">
        <v>1470</v>
      </c>
      <c r="H339" s="1" t="s">
        <v>1471</v>
      </c>
      <c r="I339" s="17" t="s">
        <v>1504</v>
      </c>
      <c r="J339" s="18" t="s">
        <v>25</v>
      </c>
      <c r="K339" s="19" t="s">
        <v>26</v>
      </c>
      <c r="L339" s="19" t="s">
        <v>15</v>
      </c>
      <c r="M339" s="20">
        <v>3</v>
      </c>
      <c r="N339" s="21">
        <v>69999</v>
      </c>
      <c r="O339" s="22">
        <v>8</v>
      </c>
      <c r="P339" s="23">
        <v>193197.24</v>
      </c>
      <c r="Q339" s="22">
        <v>4.8</v>
      </c>
      <c r="R339" s="22">
        <v>20</v>
      </c>
      <c r="S339" s="23">
        <f>(Table13[[#This Row],[Unit Price]]*Table13[[#This Row],[No.of Units]])*18%</f>
        <v>37799.46</v>
      </c>
      <c r="T339" s="22" t="s">
        <v>1507</v>
      </c>
    </row>
    <row r="340" spans="2:20" x14ac:dyDescent="0.3">
      <c r="B340" s="5" t="s">
        <v>342</v>
      </c>
      <c r="C340" s="1">
        <v>5708054</v>
      </c>
      <c r="D340" s="1">
        <v>38</v>
      </c>
      <c r="E340" s="1" t="s">
        <v>12</v>
      </c>
      <c r="F340" s="16">
        <v>45742</v>
      </c>
      <c r="G340" s="1" t="s">
        <v>1470</v>
      </c>
      <c r="H340" s="1" t="s">
        <v>1471</v>
      </c>
      <c r="I340" s="17" t="s">
        <v>1503</v>
      </c>
      <c r="J340" s="18" t="s">
        <v>28</v>
      </c>
      <c r="K340" s="19" t="s">
        <v>26</v>
      </c>
      <c r="L340" s="19" t="s">
        <v>15</v>
      </c>
      <c r="M340" s="20">
        <v>7</v>
      </c>
      <c r="N340" s="21">
        <v>42999</v>
      </c>
      <c r="O340" s="22">
        <v>15</v>
      </c>
      <c r="P340" s="23">
        <v>255844.05</v>
      </c>
      <c r="Q340" s="22">
        <v>4.5999999999999996</v>
      </c>
      <c r="R340" s="22">
        <v>20</v>
      </c>
      <c r="S340" s="23">
        <f>(Table13[[#This Row],[Unit Price]]*Table13[[#This Row],[No.of Units]])*18%</f>
        <v>54178.74</v>
      </c>
      <c r="T340" s="22" t="s">
        <v>1508</v>
      </c>
    </row>
    <row r="341" spans="2:20" x14ac:dyDescent="0.3">
      <c r="B341" s="5" t="s">
        <v>343</v>
      </c>
      <c r="C341" s="1">
        <v>9342662</v>
      </c>
      <c r="D341" s="1">
        <v>39</v>
      </c>
      <c r="E341" s="1" t="s">
        <v>12</v>
      </c>
      <c r="F341" s="16">
        <v>45742</v>
      </c>
      <c r="G341" s="1" t="s">
        <v>1470</v>
      </c>
      <c r="H341" s="1" t="s">
        <v>1480</v>
      </c>
      <c r="I341" s="17" t="s">
        <v>1502</v>
      </c>
      <c r="J341" s="18" t="s">
        <v>13</v>
      </c>
      <c r="K341" s="19" t="s">
        <v>14</v>
      </c>
      <c r="L341" s="19" t="s">
        <v>29</v>
      </c>
      <c r="M341" s="20">
        <v>3</v>
      </c>
      <c r="N341" s="21">
        <v>99999</v>
      </c>
      <c r="O341" s="22">
        <v>10</v>
      </c>
      <c r="P341" s="23">
        <v>269997.3</v>
      </c>
      <c r="Q341" s="22">
        <v>4.7</v>
      </c>
      <c r="R341" s="22">
        <v>20</v>
      </c>
      <c r="S341" s="23">
        <f>(Table13[[#This Row],[Unit Price]]*Table13[[#This Row],[No.of Units]])*18%</f>
        <v>53999.46</v>
      </c>
      <c r="T341" s="22" t="s">
        <v>1508</v>
      </c>
    </row>
    <row r="342" spans="2:20" x14ac:dyDescent="0.3">
      <c r="B342" s="5" t="s">
        <v>344</v>
      </c>
      <c r="C342" s="1">
        <v>9584565</v>
      </c>
      <c r="D342" s="1">
        <v>67</v>
      </c>
      <c r="E342" s="1" t="s">
        <v>20</v>
      </c>
      <c r="F342" s="16">
        <v>45742</v>
      </c>
      <c r="G342" s="1" t="s">
        <v>1470</v>
      </c>
      <c r="H342" s="1" t="s">
        <v>1472</v>
      </c>
      <c r="I342" s="17" t="s">
        <v>1503</v>
      </c>
      <c r="J342" s="18" t="s">
        <v>17</v>
      </c>
      <c r="K342" s="19" t="s">
        <v>18</v>
      </c>
      <c r="L342" s="19" t="s">
        <v>29</v>
      </c>
      <c r="M342" s="20">
        <v>35</v>
      </c>
      <c r="N342" s="21">
        <v>4999</v>
      </c>
      <c r="O342" s="22">
        <v>18</v>
      </c>
      <c r="P342" s="23">
        <v>143471.29999999999</v>
      </c>
      <c r="Q342" s="22">
        <v>4.4000000000000004</v>
      </c>
      <c r="R342" s="22">
        <v>20</v>
      </c>
      <c r="S342" s="23">
        <f>(Table13[[#This Row],[Unit Price]]*Table13[[#This Row],[No.of Units]])*18%</f>
        <v>31493.699999999997</v>
      </c>
      <c r="T342" s="22" t="s">
        <v>1507</v>
      </c>
    </row>
    <row r="343" spans="2:20" x14ac:dyDescent="0.3">
      <c r="B343" s="5" t="s">
        <v>345</v>
      </c>
      <c r="C343" s="1">
        <v>229964</v>
      </c>
      <c r="D343" s="1">
        <v>65</v>
      </c>
      <c r="E343" s="1" t="s">
        <v>20</v>
      </c>
      <c r="F343" s="16">
        <v>45742</v>
      </c>
      <c r="G343" s="1" t="s">
        <v>1470</v>
      </c>
      <c r="H343" s="1" t="s">
        <v>1482</v>
      </c>
      <c r="I343" s="17" t="s">
        <v>1504</v>
      </c>
      <c r="J343" s="18" t="s">
        <v>21</v>
      </c>
      <c r="K343" s="19" t="s">
        <v>18</v>
      </c>
      <c r="L343" s="19" t="s">
        <v>29</v>
      </c>
      <c r="M343" s="20">
        <v>12</v>
      </c>
      <c r="N343" s="21">
        <v>24900</v>
      </c>
      <c r="O343" s="22">
        <v>5</v>
      </c>
      <c r="P343" s="23">
        <v>283860</v>
      </c>
      <c r="Q343" s="22">
        <v>4.8</v>
      </c>
      <c r="R343" s="22">
        <v>20</v>
      </c>
      <c r="S343" s="23">
        <f>(Table13[[#This Row],[Unit Price]]*Table13[[#This Row],[No.of Units]])*18%</f>
        <v>53784</v>
      </c>
      <c r="T343" s="22" t="s">
        <v>1508</v>
      </c>
    </row>
    <row r="344" spans="2:20" x14ac:dyDescent="0.3">
      <c r="B344" s="5" t="s">
        <v>346</v>
      </c>
      <c r="C344" s="1">
        <v>2567899</v>
      </c>
      <c r="D344" s="1">
        <v>67</v>
      </c>
      <c r="E344" s="1" t="s">
        <v>20</v>
      </c>
      <c r="F344" s="16">
        <v>45742</v>
      </c>
      <c r="G344" s="1" t="s">
        <v>1470</v>
      </c>
      <c r="H344" s="1" t="s">
        <v>1472</v>
      </c>
      <c r="I344" s="17" t="s">
        <v>1505</v>
      </c>
      <c r="J344" s="18" t="s">
        <v>23</v>
      </c>
      <c r="K344" s="19" t="s">
        <v>14</v>
      </c>
      <c r="L344" s="19" t="s">
        <v>29</v>
      </c>
      <c r="M344" s="20">
        <v>3</v>
      </c>
      <c r="N344" s="21">
        <v>84999</v>
      </c>
      <c r="O344" s="22">
        <v>12</v>
      </c>
      <c r="P344" s="23">
        <v>224397.36</v>
      </c>
      <c r="Q344" s="22">
        <v>4.5</v>
      </c>
      <c r="R344" s="22">
        <v>20</v>
      </c>
      <c r="S344" s="23">
        <f>(Table13[[#This Row],[Unit Price]]*Table13[[#This Row],[No.of Units]])*18%</f>
        <v>45899.46</v>
      </c>
      <c r="T344" s="22" t="s">
        <v>1508</v>
      </c>
    </row>
    <row r="345" spans="2:20" x14ac:dyDescent="0.3">
      <c r="B345" s="5" t="s">
        <v>347</v>
      </c>
      <c r="C345" s="1">
        <v>3120227</v>
      </c>
      <c r="D345" s="1">
        <v>77</v>
      </c>
      <c r="E345" s="1" t="s">
        <v>20</v>
      </c>
      <c r="F345" s="16">
        <v>45742</v>
      </c>
      <c r="G345" s="1" t="s">
        <v>1470</v>
      </c>
      <c r="H345" s="1" t="s">
        <v>1472</v>
      </c>
      <c r="I345" s="17" t="s">
        <v>1504</v>
      </c>
      <c r="J345" s="18" t="s">
        <v>25</v>
      </c>
      <c r="K345" s="19" t="s">
        <v>26</v>
      </c>
      <c r="L345" s="19" t="s">
        <v>29</v>
      </c>
      <c r="M345" s="20">
        <v>5</v>
      </c>
      <c r="N345" s="21">
        <v>69999</v>
      </c>
      <c r="O345" s="22">
        <v>8</v>
      </c>
      <c r="P345" s="23">
        <v>321995.40000000002</v>
      </c>
      <c r="Q345" s="22">
        <v>4.8</v>
      </c>
      <c r="R345" s="22">
        <v>20</v>
      </c>
      <c r="S345" s="23">
        <f>(Table13[[#This Row],[Unit Price]]*Table13[[#This Row],[No.of Units]])*18%</f>
        <v>62999.1</v>
      </c>
      <c r="T345" s="22" t="s">
        <v>1507</v>
      </c>
    </row>
    <row r="346" spans="2:20" x14ac:dyDescent="0.3">
      <c r="B346" s="5" t="s">
        <v>348</v>
      </c>
      <c r="C346" s="1">
        <v>1162355</v>
      </c>
      <c r="D346" s="1">
        <v>36</v>
      </c>
      <c r="E346" s="1" t="s">
        <v>12</v>
      </c>
      <c r="F346" s="16">
        <v>45742</v>
      </c>
      <c r="G346" s="1" t="s">
        <v>1470</v>
      </c>
      <c r="H346" s="1" t="s">
        <v>1472</v>
      </c>
      <c r="I346" s="17" t="s">
        <v>1503</v>
      </c>
      <c r="J346" s="18" t="s">
        <v>28</v>
      </c>
      <c r="K346" s="19" t="s">
        <v>26</v>
      </c>
      <c r="L346" s="19" t="s">
        <v>29</v>
      </c>
      <c r="M346" s="20">
        <v>5</v>
      </c>
      <c r="N346" s="21">
        <v>42999</v>
      </c>
      <c r="O346" s="22">
        <v>15</v>
      </c>
      <c r="P346" s="23">
        <v>182745.75</v>
      </c>
      <c r="Q346" s="22">
        <v>4.5999999999999996</v>
      </c>
      <c r="R346" s="22">
        <v>20</v>
      </c>
      <c r="S346" s="23">
        <f>(Table13[[#This Row],[Unit Price]]*Table13[[#This Row],[No.of Units]])*18%</f>
        <v>38699.1</v>
      </c>
      <c r="T346" s="22" t="s">
        <v>1508</v>
      </c>
    </row>
    <row r="347" spans="2:20" x14ac:dyDescent="0.3">
      <c r="B347" s="5" t="s">
        <v>349</v>
      </c>
      <c r="C347" s="1">
        <v>2844001</v>
      </c>
      <c r="D347" s="1">
        <v>53</v>
      </c>
      <c r="E347" s="1" t="s">
        <v>20</v>
      </c>
      <c r="F347" s="16">
        <v>45742</v>
      </c>
      <c r="G347" s="1" t="s">
        <v>1470</v>
      </c>
      <c r="H347" s="1" t="s">
        <v>1482</v>
      </c>
      <c r="I347" s="17" t="s">
        <v>1502</v>
      </c>
      <c r="J347" s="18" t="s">
        <v>13</v>
      </c>
      <c r="K347" s="19" t="s">
        <v>14</v>
      </c>
      <c r="L347" s="19" t="s">
        <v>35</v>
      </c>
      <c r="M347" s="20">
        <v>2</v>
      </c>
      <c r="N347" s="21">
        <v>99999</v>
      </c>
      <c r="O347" s="22">
        <v>10</v>
      </c>
      <c r="P347" s="23">
        <v>179998.2</v>
      </c>
      <c r="Q347" s="22">
        <v>4.7</v>
      </c>
      <c r="R347" s="22">
        <v>20</v>
      </c>
      <c r="S347" s="23">
        <f>(Table13[[#This Row],[Unit Price]]*Table13[[#This Row],[No.of Units]])*18%</f>
        <v>35999.64</v>
      </c>
      <c r="T347" s="22" t="s">
        <v>1508</v>
      </c>
    </row>
    <row r="348" spans="2:20" x14ac:dyDescent="0.3">
      <c r="B348" s="5" t="s">
        <v>350</v>
      </c>
      <c r="C348" s="1">
        <v>1796640</v>
      </c>
      <c r="D348" s="1">
        <v>26</v>
      </c>
      <c r="E348" s="1" t="s">
        <v>12</v>
      </c>
      <c r="F348" s="16">
        <v>45742</v>
      </c>
      <c r="G348" s="1" t="s">
        <v>1470</v>
      </c>
      <c r="H348" s="1" t="s">
        <v>1472</v>
      </c>
      <c r="I348" s="17" t="s">
        <v>1503</v>
      </c>
      <c r="J348" s="18" t="s">
        <v>17</v>
      </c>
      <c r="K348" s="19" t="s">
        <v>18</v>
      </c>
      <c r="L348" s="19" t="s">
        <v>35</v>
      </c>
      <c r="M348" s="20">
        <v>25</v>
      </c>
      <c r="N348" s="21">
        <v>4999</v>
      </c>
      <c r="O348" s="22">
        <v>18</v>
      </c>
      <c r="P348" s="23">
        <v>102479.5</v>
      </c>
      <c r="Q348" s="22">
        <v>4.4000000000000004</v>
      </c>
      <c r="R348" s="22">
        <v>20</v>
      </c>
      <c r="S348" s="23">
        <f>(Table13[[#This Row],[Unit Price]]*Table13[[#This Row],[No.of Units]])*18%</f>
        <v>22495.5</v>
      </c>
      <c r="T348" s="22" t="s">
        <v>1507</v>
      </c>
    </row>
    <row r="349" spans="2:20" x14ac:dyDescent="0.3">
      <c r="B349" s="5" t="s">
        <v>351</v>
      </c>
      <c r="C349" s="1">
        <v>223976</v>
      </c>
      <c r="D349" s="1">
        <v>43</v>
      </c>
      <c r="E349" s="1" t="s">
        <v>12</v>
      </c>
      <c r="F349" s="16">
        <v>45742</v>
      </c>
      <c r="G349" s="1" t="s">
        <v>1474</v>
      </c>
      <c r="H349" s="1" t="s">
        <v>1481</v>
      </c>
      <c r="I349" s="17" t="s">
        <v>1504</v>
      </c>
      <c r="J349" s="18" t="s">
        <v>21</v>
      </c>
      <c r="K349" s="19" t="s">
        <v>18</v>
      </c>
      <c r="L349" s="19" t="s">
        <v>35</v>
      </c>
      <c r="M349" s="20">
        <v>9</v>
      </c>
      <c r="N349" s="21">
        <v>24900</v>
      </c>
      <c r="O349" s="22">
        <v>5</v>
      </c>
      <c r="P349" s="23">
        <v>212895</v>
      </c>
      <c r="Q349" s="22">
        <v>4.8</v>
      </c>
      <c r="R349" s="22">
        <v>20</v>
      </c>
      <c r="S349" s="23">
        <f>(Table13[[#This Row],[Unit Price]]*Table13[[#This Row],[No.of Units]])*18%</f>
        <v>40338</v>
      </c>
      <c r="T349" s="22" t="s">
        <v>1507</v>
      </c>
    </row>
    <row r="350" spans="2:20" x14ac:dyDescent="0.3">
      <c r="B350" s="5" t="s">
        <v>352</v>
      </c>
      <c r="C350" s="1">
        <v>8085873</v>
      </c>
      <c r="D350" s="1">
        <v>59</v>
      </c>
      <c r="E350" s="1" t="s">
        <v>20</v>
      </c>
      <c r="F350" s="16">
        <v>45742</v>
      </c>
      <c r="G350" s="1" t="s">
        <v>1470</v>
      </c>
      <c r="H350" s="1" t="s">
        <v>1471</v>
      </c>
      <c r="I350" s="17" t="s">
        <v>1505</v>
      </c>
      <c r="J350" s="18" t="s">
        <v>23</v>
      </c>
      <c r="K350" s="19" t="s">
        <v>14</v>
      </c>
      <c r="L350" s="19" t="s">
        <v>35</v>
      </c>
      <c r="M350" s="20">
        <v>2</v>
      </c>
      <c r="N350" s="21">
        <v>84999</v>
      </c>
      <c r="O350" s="22">
        <v>12</v>
      </c>
      <c r="P350" s="23">
        <v>149598.24</v>
      </c>
      <c r="Q350" s="22">
        <v>4.5</v>
      </c>
      <c r="R350" s="22">
        <v>20</v>
      </c>
      <c r="S350" s="23">
        <f>(Table13[[#This Row],[Unit Price]]*Table13[[#This Row],[No.of Units]])*18%</f>
        <v>30599.64</v>
      </c>
      <c r="T350" s="22" t="s">
        <v>1508</v>
      </c>
    </row>
    <row r="351" spans="2:20" x14ac:dyDescent="0.3">
      <c r="B351" s="5" t="s">
        <v>353</v>
      </c>
      <c r="C351" s="1">
        <v>7767130</v>
      </c>
      <c r="D351" s="1">
        <v>29</v>
      </c>
      <c r="E351" s="1" t="s">
        <v>12</v>
      </c>
      <c r="F351" s="16">
        <v>45742</v>
      </c>
      <c r="G351" s="1" t="s">
        <v>1470</v>
      </c>
      <c r="H351" s="1" t="s">
        <v>1482</v>
      </c>
      <c r="I351" s="17" t="s">
        <v>1504</v>
      </c>
      <c r="J351" s="18" t="s">
        <v>25</v>
      </c>
      <c r="K351" s="19" t="s">
        <v>26</v>
      </c>
      <c r="L351" s="19" t="s">
        <v>35</v>
      </c>
      <c r="M351" s="20">
        <v>6</v>
      </c>
      <c r="N351" s="21">
        <v>69999</v>
      </c>
      <c r="O351" s="22">
        <v>8</v>
      </c>
      <c r="P351" s="23">
        <v>386394.48</v>
      </c>
      <c r="Q351" s="22">
        <v>4.8</v>
      </c>
      <c r="R351" s="22">
        <v>20</v>
      </c>
      <c r="S351" s="23">
        <f>(Table13[[#This Row],[Unit Price]]*Table13[[#This Row],[No.of Units]])*18%</f>
        <v>75598.92</v>
      </c>
      <c r="T351" s="22" t="s">
        <v>1507</v>
      </c>
    </row>
    <row r="352" spans="2:20" x14ac:dyDescent="0.3">
      <c r="B352" s="5" t="s">
        <v>354</v>
      </c>
      <c r="C352" s="1">
        <v>2118526</v>
      </c>
      <c r="D352" s="1">
        <v>34</v>
      </c>
      <c r="E352" s="1" t="s">
        <v>12</v>
      </c>
      <c r="F352" s="16">
        <v>45742</v>
      </c>
      <c r="G352" s="1" t="s">
        <v>1470</v>
      </c>
      <c r="H352" s="1" t="s">
        <v>1482</v>
      </c>
      <c r="I352" s="17" t="s">
        <v>1503</v>
      </c>
      <c r="J352" s="18" t="s">
        <v>28</v>
      </c>
      <c r="K352" s="19" t="s">
        <v>26</v>
      </c>
      <c r="L352" s="19" t="s">
        <v>35</v>
      </c>
      <c r="M352" s="20">
        <v>9</v>
      </c>
      <c r="N352" s="21">
        <v>42999</v>
      </c>
      <c r="O352" s="22">
        <v>15</v>
      </c>
      <c r="P352" s="23">
        <v>328942.34999999998</v>
      </c>
      <c r="Q352" s="22">
        <v>4.5999999999999996</v>
      </c>
      <c r="R352" s="22">
        <v>20</v>
      </c>
      <c r="S352" s="23">
        <f>(Table13[[#This Row],[Unit Price]]*Table13[[#This Row],[No.of Units]])*18%</f>
        <v>69658.38</v>
      </c>
      <c r="T352" s="22" t="s">
        <v>1508</v>
      </c>
    </row>
    <row r="353" spans="2:20" x14ac:dyDescent="0.3">
      <c r="B353" s="5" t="s">
        <v>355</v>
      </c>
      <c r="C353" s="1">
        <v>7688970</v>
      </c>
      <c r="D353" s="1">
        <v>57</v>
      </c>
      <c r="E353" s="1" t="s">
        <v>20</v>
      </c>
      <c r="F353" s="16">
        <v>45742</v>
      </c>
      <c r="G353" s="1" t="s">
        <v>1470</v>
      </c>
      <c r="H353" s="1" t="s">
        <v>1472</v>
      </c>
      <c r="I353" s="17" t="s">
        <v>1502</v>
      </c>
      <c r="J353" s="18" t="s">
        <v>13</v>
      </c>
      <c r="K353" s="19" t="s">
        <v>14</v>
      </c>
      <c r="L353" s="19" t="s">
        <v>42</v>
      </c>
      <c r="M353" s="20">
        <v>4</v>
      </c>
      <c r="N353" s="21">
        <v>99999</v>
      </c>
      <c r="O353" s="22">
        <v>10</v>
      </c>
      <c r="P353" s="23">
        <v>359996.4</v>
      </c>
      <c r="Q353" s="22">
        <v>4.7</v>
      </c>
      <c r="R353" s="22">
        <v>20</v>
      </c>
      <c r="S353" s="23">
        <f>(Table13[[#This Row],[Unit Price]]*Table13[[#This Row],[No.of Units]])*18%</f>
        <v>71999.28</v>
      </c>
      <c r="T353" s="22" t="s">
        <v>1507</v>
      </c>
    </row>
    <row r="354" spans="2:20" x14ac:dyDescent="0.3">
      <c r="B354" s="5" t="s">
        <v>356</v>
      </c>
      <c r="C354" s="1">
        <v>3678042</v>
      </c>
      <c r="D354" s="1">
        <v>30</v>
      </c>
      <c r="E354" s="1" t="s">
        <v>12</v>
      </c>
      <c r="F354" s="16">
        <v>45742</v>
      </c>
      <c r="G354" s="1" t="s">
        <v>1470</v>
      </c>
      <c r="H354" s="1" t="s">
        <v>1471</v>
      </c>
      <c r="I354" s="17" t="s">
        <v>1503</v>
      </c>
      <c r="J354" s="18" t="s">
        <v>17</v>
      </c>
      <c r="K354" s="19" t="s">
        <v>18</v>
      </c>
      <c r="L354" s="19" t="s">
        <v>42</v>
      </c>
      <c r="M354" s="20">
        <v>44</v>
      </c>
      <c r="N354" s="21">
        <v>4999</v>
      </c>
      <c r="O354" s="22">
        <v>18</v>
      </c>
      <c r="P354" s="23">
        <v>180363.91999999998</v>
      </c>
      <c r="Q354" s="22">
        <v>4.4000000000000004</v>
      </c>
      <c r="R354" s="22">
        <v>20</v>
      </c>
      <c r="S354" s="23">
        <f>(Table13[[#This Row],[Unit Price]]*Table13[[#This Row],[No.of Units]])*18%</f>
        <v>39592.080000000002</v>
      </c>
      <c r="T354" s="22" t="s">
        <v>1508</v>
      </c>
    </row>
    <row r="355" spans="2:20" x14ac:dyDescent="0.3">
      <c r="B355" s="5" t="s">
        <v>357</v>
      </c>
      <c r="C355" s="1">
        <v>4725061</v>
      </c>
      <c r="D355" s="1">
        <v>26</v>
      </c>
      <c r="E355" s="1" t="s">
        <v>12</v>
      </c>
      <c r="F355" s="16">
        <v>45742</v>
      </c>
      <c r="G355" s="1" t="s">
        <v>1470</v>
      </c>
      <c r="H355" s="1" t="s">
        <v>1482</v>
      </c>
      <c r="I355" s="17" t="s">
        <v>1504</v>
      </c>
      <c r="J355" s="18" t="s">
        <v>21</v>
      </c>
      <c r="K355" s="19" t="s">
        <v>18</v>
      </c>
      <c r="L355" s="19" t="s">
        <v>42</v>
      </c>
      <c r="M355" s="20">
        <v>6</v>
      </c>
      <c r="N355" s="21">
        <v>24900</v>
      </c>
      <c r="O355" s="22">
        <v>5</v>
      </c>
      <c r="P355" s="23">
        <v>141930</v>
      </c>
      <c r="Q355" s="22">
        <v>4.8</v>
      </c>
      <c r="R355" s="22">
        <v>20</v>
      </c>
      <c r="S355" s="23">
        <f>(Table13[[#This Row],[Unit Price]]*Table13[[#This Row],[No.of Units]])*18%</f>
        <v>26892</v>
      </c>
      <c r="T355" s="22" t="s">
        <v>1508</v>
      </c>
    </row>
    <row r="356" spans="2:20" x14ac:dyDescent="0.3">
      <c r="B356" s="5" t="s">
        <v>358</v>
      </c>
      <c r="C356" s="1">
        <v>8125364</v>
      </c>
      <c r="D356" s="1">
        <v>32</v>
      </c>
      <c r="E356" s="1" t="s">
        <v>12</v>
      </c>
      <c r="F356" s="16">
        <v>45742</v>
      </c>
      <c r="G356" s="1" t="s">
        <v>1470</v>
      </c>
      <c r="H356" s="1" t="s">
        <v>1472</v>
      </c>
      <c r="I356" s="17" t="s">
        <v>1505</v>
      </c>
      <c r="J356" s="18" t="s">
        <v>23</v>
      </c>
      <c r="K356" s="19" t="s">
        <v>14</v>
      </c>
      <c r="L356" s="19" t="s">
        <v>42</v>
      </c>
      <c r="M356" s="20">
        <v>5</v>
      </c>
      <c r="N356" s="21">
        <v>84999</v>
      </c>
      <c r="O356" s="22">
        <v>12</v>
      </c>
      <c r="P356" s="23">
        <v>373995.6</v>
      </c>
      <c r="Q356" s="22">
        <v>4.5</v>
      </c>
      <c r="R356" s="22">
        <v>20</v>
      </c>
      <c r="S356" s="23">
        <f>(Table13[[#This Row],[Unit Price]]*Table13[[#This Row],[No.of Units]])*18%</f>
        <v>76499.099999999991</v>
      </c>
      <c r="T356" s="22" t="s">
        <v>1508</v>
      </c>
    </row>
    <row r="357" spans="2:20" x14ac:dyDescent="0.3">
      <c r="B357" s="5" t="s">
        <v>359</v>
      </c>
      <c r="C357" s="1">
        <v>7787158</v>
      </c>
      <c r="D357" s="1">
        <v>60</v>
      </c>
      <c r="E357" s="1" t="s">
        <v>20</v>
      </c>
      <c r="F357" s="16">
        <v>45742</v>
      </c>
      <c r="G357" s="1" t="s">
        <v>1470</v>
      </c>
      <c r="H357" s="1" t="s">
        <v>1482</v>
      </c>
      <c r="I357" s="17" t="s">
        <v>1504</v>
      </c>
      <c r="J357" s="18" t="s">
        <v>25</v>
      </c>
      <c r="K357" s="19" t="s">
        <v>26</v>
      </c>
      <c r="L357" s="19" t="s">
        <v>42</v>
      </c>
      <c r="M357" s="20">
        <v>3</v>
      </c>
      <c r="N357" s="21">
        <v>69999</v>
      </c>
      <c r="O357" s="22">
        <v>8</v>
      </c>
      <c r="P357" s="23">
        <v>193197.24</v>
      </c>
      <c r="Q357" s="22">
        <v>4.8</v>
      </c>
      <c r="R357" s="22">
        <v>20</v>
      </c>
      <c r="S357" s="23">
        <f>(Table13[[#This Row],[Unit Price]]*Table13[[#This Row],[No.of Units]])*18%</f>
        <v>37799.46</v>
      </c>
      <c r="T357" s="22" t="s">
        <v>1507</v>
      </c>
    </row>
    <row r="358" spans="2:20" x14ac:dyDescent="0.3">
      <c r="B358" s="5" t="s">
        <v>360</v>
      </c>
      <c r="C358" s="1">
        <v>1559586</v>
      </c>
      <c r="D358" s="1">
        <v>37</v>
      </c>
      <c r="E358" s="1" t="s">
        <v>12</v>
      </c>
      <c r="F358" s="16">
        <v>45742</v>
      </c>
      <c r="G358" s="1" t="s">
        <v>1470</v>
      </c>
      <c r="H358" s="1" t="s">
        <v>1483</v>
      </c>
      <c r="I358" s="17" t="s">
        <v>1503</v>
      </c>
      <c r="J358" s="18" t="s">
        <v>28</v>
      </c>
      <c r="K358" s="19" t="s">
        <v>26</v>
      </c>
      <c r="L358" s="19" t="s">
        <v>42</v>
      </c>
      <c r="M358" s="20">
        <v>8</v>
      </c>
      <c r="N358" s="21">
        <v>42999</v>
      </c>
      <c r="O358" s="22">
        <v>15</v>
      </c>
      <c r="P358" s="23">
        <v>292393.2</v>
      </c>
      <c r="Q358" s="22">
        <v>4.5999999999999996</v>
      </c>
      <c r="R358" s="22">
        <v>20</v>
      </c>
      <c r="S358" s="23">
        <f>(Table13[[#This Row],[Unit Price]]*Table13[[#This Row],[No.of Units]])*18%</f>
        <v>61918.559999999998</v>
      </c>
      <c r="T358" s="22" t="s">
        <v>1508</v>
      </c>
    </row>
    <row r="359" spans="2:20" x14ac:dyDescent="0.3">
      <c r="B359" s="5" t="s">
        <v>361</v>
      </c>
      <c r="C359" s="1">
        <v>4277775</v>
      </c>
      <c r="D359" s="1">
        <v>49</v>
      </c>
      <c r="E359" s="1" t="s">
        <v>12</v>
      </c>
      <c r="F359" s="16">
        <v>45742</v>
      </c>
      <c r="G359" s="1" t="s">
        <v>1470</v>
      </c>
      <c r="H359" s="1" t="s">
        <v>1483</v>
      </c>
      <c r="I359" s="17" t="s">
        <v>1502</v>
      </c>
      <c r="J359" s="18" t="s">
        <v>13</v>
      </c>
      <c r="K359" s="19" t="s">
        <v>14</v>
      </c>
      <c r="L359" s="19" t="s">
        <v>49</v>
      </c>
      <c r="M359" s="20">
        <v>4</v>
      </c>
      <c r="N359" s="21">
        <v>99999</v>
      </c>
      <c r="O359" s="22">
        <v>10</v>
      </c>
      <c r="P359" s="23">
        <v>359996.4</v>
      </c>
      <c r="Q359" s="22">
        <v>4.7</v>
      </c>
      <c r="R359" s="22">
        <v>20</v>
      </c>
      <c r="S359" s="23">
        <f>(Table13[[#This Row],[Unit Price]]*Table13[[#This Row],[No.of Units]])*18%</f>
        <v>71999.28</v>
      </c>
      <c r="T359" s="22" t="s">
        <v>1508</v>
      </c>
    </row>
    <row r="360" spans="2:20" x14ac:dyDescent="0.3">
      <c r="B360" s="5" t="s">
        <v>362</v>
      </c>
      <c r="C360" s="1">
        <v>8238226</v>
      </c>
      <c r="D360" s="1">
        <v>62</v>
      </c>
      <c r="E360" s="1" t="s">
        <v>20</v>
      </c>
      <c r="F360" s="16">
        <v>45742</v>
      </c>
      <c r="G360" s="1" t="s">
        <v>1470</v>
      </c>
      <c r="H360" s="1" t="s">
        <v>1471</v>
      </c>
      <c r="I360" s="17" t="s">
        <v>1503</v>
      </c>
      <c r="J360" s="18" t="s">
        <v>17</v>
      </c>
      <c r="K360" s="19" t="s">
        <v>18</v>
      </c>
      <c r="L360" s="19" t="s">
        <v>49</v>
      </c>
      <c r="M360" s="20">
        <v>51</v>
      </c>
      <c r="N360" s="21">
        <v>4999</v>
      </c>
      <c r="O360" s="22">
        <v>18</v>
      </c>
      <c r="P360" s="23">
        <v>209058.18</v>
      </c>
      <c r="Q360" s="22">
        <v>4.4000000000000004</v>
      </c>
      <c r="R360" s="22">
        <v>20</v>
      </c>
      <c r="S360" s="23">
        <f>(Table13[[#This Row],[Unit Price]]*Table13[[#This Row],[No.of Units]])*18%</f>
        <v>45890.82</v>
      </c>
      <c r="T360" s="22" t="s">
        <v>1508</v>
      </c>
    </row>
    <row r="361" spans="2:20" x14ac:dyDescent="0.3">
      <c r="B361" s="5" t="s">
        <v>363</v>
      </c>
      <c r="C361" s="1">
        <v>3874867</v>
      </c>
      <c r="D361" s="1">
        <v>39</v>
      </c>
      <c r="E361" s="1" t="s">
        <v>12</v>
      </c>
      <c r="F361" s="16">
        <v>45742</v>
      </c>
      <c r="G361" s="1" t="s">
        <v>1470</v>
      </c>
      <c r="H361" s="1" t="s">
        <v>1482</v>
      </c>
      <c r="I361" s="17" t="s">
        <v>1504</v>
      </c>
      <c r="J361" s="18" t="s">
        <v>21</v>
      </c>
      <c r="K361" s="19" t="s">
        <v>18</v>
      </c>
      <c r="L361" s="19" t="s">
        <v>49</v>
      </c>
      <c r="M361" s="20">
        <v>10</v>
      </c>
      <c r="N361" s="21">
        <v>24900</v>
      </c>
      <c r="O361" s="22">
        <v>5</v>
      </c>
      <c r="P361" s="23">
        <v>236550</v>
      </c>
      <c r="Q361" s="22">
        <v>4.8</v>
      </c>
      <c r="R361" s="22">
        <v>20</v>
      </c>
      <c r="S361" s="23">
        <f>(Table13[[#This Row],[Unit Price]]*Table13[[#This Row],[No.of Units]])*18%</f>
        <v>44820</v>
      </c>
      <c r="T361" s="22" t="s">
        <v>1508</v>
      </c>
    </row>
    <row r="362" spans="2:20" x14ac:dyDescent="0.3">
      <c r="B362" s="5" t="s">
        <v>364</v>
      </c>
      <c r="C362" s="1">
        <v>9065362</v>
      </c>
      <c r="D362" s="1">
        <v>42</v>
      </c>
      <c r="E362" s="1" t="s">
        <v>12</v>
      </c>
      <c r="F362" s="16">
        <v>45742</v>
      </c>
      <c r="G362" s="1" t="s">
        <v>1475</v>
      </c>
      <c r="H362" s="1" t="s">
        <v>1472</v>
      </c>
      <c r="I362" s="17" t="s">
        <v>1505</v>
      </c>
      <c r="J362" s="18" t="s">
        <v>23</v>
      </c>
      <c r="K362" s="19" t="s">
        <v>14</v>
      </c>
      <c r="L362" s="19" t="s">
        <v>49</v>
      </c>
      <c r="M362" s="20">
        <v>4</v>
      </c>
      <c r="N362" s="21">
        <v>84999</v>
      </c>
      <c r="O362" s="22">
        <v>12</v>
      </c>
      <c r="P362" s="23">
        <v>299196.48</v>
      </c>
      <c r="Q362" s="22">
        <v>4.5</v>
      </c>
      <c r="R362" s="22">
        <v>20</v>
      </c>
      <c r="S362" s="23">
        <f>(Table13[[#This Row],[Unit Price]]*Table13[[#This Row],[No.of Units]])*18%</f>
        <v>61199.28</v>
      </c>
      <c r="T362" s="22" t="s">
        <v>1507</v>
      </c>
    </row>
    <row r="363" spans="2:20" x14ac:dyDescent="0.3">
      <c r="B363" s="5" t="s">
        <v>365</v>
      </c>
      <c r="C363" s="1">
        <v>4405714</v>
      </c>
      <c r="D363" s="1">
        <v>38</v>
      </c>
      <c r="E363" s="1" t="s">
        <v>12</v>
      </c>
      <c r="F363" s="16">
        <v>45742</v>
      </c>
      <c r="G363" s="1" t="s">
        <v>1470</v>
      </c>
      <c r="H363" s="1" t="s">
        <v>1472</v>
      </c>
      <c r="I363" s="17" t="s">
        <v>1504</v>
      </c>
      <c r="J363" s="18" t="s">
        <v>25</v>
      </c>
      <c r="K363" s="19" t="s">
        <v>26</v>
      </c>
      <c r="L363" s="19" t="s">
        <v>49</v>
      </c>
      <c r="M363" s="20">
        <v>5</v>
      </c>
      <c r="N363" s="21">
        <v>69999</v>
      </c>
      <c r="O363" s="22">
        <v>8</v>
      </c>
      <c r="P363" s="23">
        <v>321995.40000000002</v>
      </c>
      <c r="Q363" s="22">
        <v>4.8</v>
      </c>
      <c r="R363" s="22">
        <v>20</v>
      </c>
      <c r="S363" s="23">
        <f>(Table13[[#This Row],[Unit Price]]*Table13[[#This Row],[No.of Units]])*18%</f>
        <v>62999.1</v>
      </c>
      <c r="T363" s="22" t="s">
        <v>1508</v>
      </c>
    </row>
    <row r="364" spans="2:20" x14ac:dyDescent="0.3">
      <c r="B364" s="5" t="s">
        <v>366</v>
      </c>
      <c r="C364" s="1">
        <v>1957132</v>
      </c>
      <c r="D364" s="1">
        <v>32</v>
      </c>
      <c r="E364" s="1" t="s">
        <v>12</v>
      </c>
      <c r="F364" s="16">
        <v>45742</v>
      </c>
      <c r="G364" s="1" t="s">
        <v>1470</v>
      </c>
      <c r="H364" s="1" t="s">
        <v>1472</v>
      </c>
      <c r="I364" s="17" t="s">
        <v>1503</v>
      </c>
      <c r="J364" s="18" t="s">
        <v>28</v>
      </c>
      <c r="K364" s="19" t="s">
        <v>26</v>
      </c>
      <c r="L364" s="19" t="s">
        <v>49</v>
      </c>
      <c r="M364" s="20">
        <v>9</v>
      </c>
      <c r="N364" s="21">
        <v>42999</v>
      </c>
      <c r="O364" s="22">
        <v>15</v>
      </c>
      <c r="P364" s="23">
        <v>328942.34999999998</v>
      </c>
      <c r="Q364" s="22">
        <v>4.5999999999999996</v>
      </c>
      <c r="R364" s="22">
        <v>20</v>
      </c>
      <c r="S364" s="23">
        <f>(Table13[[#This Row],[Unit Price]]*Table13[[#This Row],[No.of Units]])*18%</f>
        <v>69658.38</v>
      </c>
      <c r="T364" s="22" t="s">
        <v>1508</v>
      </c>
    </row>
    <row r="365" spans="2:20" x14ac:dyDescent="0.3">
      <c r="B365" s="5" t="s">
        <v>367</v>
      </c>
      <c r="C365" s="1">
        <v>8630007</v>
      </c>
      <c r="D365" s="1">
        <v>37</v>
      </c>
      <c r="E365" s="1" t="s">
        <v>12</v>
      </c>
      <c r="F365" s="16">
        <v>45749</v>
      </c>
      <c r="G365" s="1" t="s">
        <v>1470</v>
      </c>
      <c r="H365" s="1" t="s">
        <v>1482</v>
      </c>
      <c r="I365" s="17" t="s">
        <v>1502</v>
      </c>
      <c r="J365" s="18" t="s">
        <v>13</v>
      </c>
      <c r="K365" s="19" t="s">
        <v>14</v>
      </c>
      <c r="L365" s="19" t="s">
        <v>15</v>
      </c>
      <c r="M365" s="20">
        <v>6</v>
      </c>
      <c r="N365" s="21">
        <v>99999</v>
      </c>
      <c r="O365" s="22">
        <v>10</v>
      </c>
      <c r="P365" s="23">
        <v>539994.6</v>
      </c>
      <c r="Q365" s="22">
        <v>4.7</v>
      </c>
      <c r="R365" s="22">
        <v>20</v>
      </c>
      <c r="S365" s="23">
        <f>(Table13[[#This Row],[Unit Price]]*Table13[[#This Row],[No.of Units]])*18%</f>
        <v>107998.92</v>
      </c>
      <c r="T365" s="22" t="s">
        <v>1508</v>
      </c>
    </row>
    <row r="366" spans="2:20" x14ac:dyDescent="0.3">
      <c r="B366" s="5" t="s">
        <v>368</v>
      </c>
      <c r="C366" s="1">
        <v>2849866</v>
      </c>
      <c r="D366" s="1">
        <v>20</v>
      </c>
      <c r="E366" s="1" t="s">
        <v>12</v>
      </c>
      <c r="F366" s="16">
        <v>45749</v>
      </c>
      <c r="G366" s="1" t="s">
        <v>1470</v>
      </c>
      <c r="H366" s="1" t="s">
        <v>1471</v>
      </c>
      <c r="I366" s="17" t="s">
        <v>1503</v>
      </c>
      <c r="J366" s="18" t="s">
        <v>17</v>
      </c>
      <c r="K366" s="19" t="s">
        <v>18</v>
      </c>
      <c r="L366" s="19" t="s">
        <v>15</v>
      </c>
      <c r="M366" s="20">
        <v>50</v>
      </c>
      <c r="N366" s="21">
        <v>4999</v>
      </c>
      <c r="O366" s="22">
        <v>18</v>
      </c>
      <c r="P366" s="23">
        <v>204959</v>
      </c>
      <c r="Q366" s="22">
        <v>4.4000000000000004</v>
      </c>
      <c r="R366" s="22">
        <v>20</v>
      </c>
      <c r="S366" s="23">
        <f>(Table13[[#This Row],[Unit Price]]*Table13[[#This Row],[No.of Units]])*18%</f>
        <v>44991</v>
      </c>
      <c r="T366" s="22" t="s">
        <v>1508</v>
      </c>
    </row>
    <row r="367" spans="2:20" x14ac:dyDescent="0.3">
      <c r="B367" s="5" t="s">
        <v>369</v>
      </c>
      <c r="C367" s="1">
        <v>8910046</v>
      </c>
      <c r="D367" s="1">
        <v>33</v>
      </c>
      <c r="E367" s="1" t="s">
        <v>12</v>
      </c>
      <c r="F367" s="16">
        <v>45749</v>
      </c>
      <c r="G367" s="1" t="s">
        <v>1470</v>
      </c>
      <c r="H367" s="1" t="s">
        <v>1472</v>
      </c>
      <c r="I367" s="17" t="s">
        <v>1504</v>
      </c>
      <c r="J367" s="18" t="s">
        <v>21</v>
      </c>
      <c r="K367" s="19" t="s">
        <v>18</v>
      </c>
      <c r="L367" s="19" t="s">
        <v>15</v>
      </c>
      <c r="M367" s="20">
        <v>6</v>
      </c>
      <c r="N367" s="21">
        <v>24900</v>
      </c>
      <c r="O367" s="22">
        <v>5</v>
      </c>
      <c r="P367" s="23">
        <v>141930</v>
      </c>
      <c r="Q367" s="22">
        <v>4.8</v>
      </c>
      <c r="R367" s="22">
        <v>20</v>
      </c>
      <c r="S367" s="23">
        <f>(Table13[[#This Row],[Unit Price]]*Table13[[#This Row],[No.of Units]])*18%</f>
        <v>26892</v>
      </c>
      <c r="T367" s="22" t="s">
        <v>1507</v>
      </c>
    </row>
    <row r="368" spans="2:20" x14ac:dyDescent="0.3">
      <c r="B368" s="5" t="s">
        <v>370</v>
      </c>
      <c r="C368" s="1">
        <v>3946363</v>
      </c>
      <c r="D368" s="1">
        <v>38</v>
      </c>
      <c r="E368" s="1" t="s">
        <v>12</v>
      </c>
      <c r="F368" s="16">
        <v>45749</v>
      </c>
      <c r="G368" s="1" t="s">
        <v>1470</v>
      </c>
      <c r="H368" s="1" t="s">
        <v>1471</v>
      </c>
      <c r="I368" s="17" t="s">
        <v>1505</v>
      </c>
      <c r="J368" s="18" t="s">
        <v>23</v>
      </c>
      <c r="K368" s="19" t="s">
        <v>14</v>
      </c>
      <c r="L368" s="19" t="s">
        <v>15</v>
      </c>
      <c r="M368" s="20">
        <v>5</v>
      </c>
      <c r="N368" s="21">
        <v>84999</v>
      </c>
      <c r="O368" s="22">
        <v>12</v>
      </c>
      <c r="P368" s="23">
        <v>373995.6</v>
      </c>
      <c r="Q368" s="22">
        <v>4.5</v>
      </c>
      <c r="R368" s="22">
        <v>20</v>
      </c>
      <c r="S368" s="23">
        <f>(Table13[[#This Row],[Unit Price]]*Table13[[#This Row],[No.of Units]])*18%</f>
        <v>76499.099999999991</v>
      </c>
      <c r="T368" s="22" t="s">
        <v>1507</v>
      </c>
    </row>
    <row r="369" spans="2:20" x14ac:dyDescent="0.3">
      <c r="B369" s="5" t="s">
        <v>371</v>
      </c>
      <c r="C369" s="1">
        <v>8490644</v>
      </c>
      <c r="D369" s="1">
        <v>24</v>
      </c>
      <c r="E369" s="1" t="s">
        <v>12</v>
      </c>
      <c r="F369" s="16">
        <v>45749</v>
      </c>
      <c r="G369" s="1" t="s">
        <v>1474</v>
      </c>
      <c r="H369" s="1" t="s">
        <v>1471</v>
      </c>
      <c r="I369" s="17" t="s">
        <v>1504</v>
      </c>
      <c r="J369" s="18" t="s">
        <v>25</v>
      </c>
      <c r="K369" s="19" t="s">
        <v>26</v>
      </c>
      <c r="L369" s="19" t="s">
        <v>15</v>
      </c>
      <c r="M369" s="20">
        <v>4</v>
      </c>
      <c r="N369" s="21">
        <v>69999</v>
      </c>
      <c r="O369" s="22">
        <v>8</v>
      </c>
      <c r="P369" s="23">
        <v>257596.32</v>
      </c>
      <c r="Q369" s="22">
        <v>4.8</v>
      </c>
      <c r="R369" s="22">
        <v>20</v>
      </c>
      <c r="S369" s="23">
        <f>(Table13[[#This Row],[Unit Price]]*Table13[[#This Row],[No.of Units]])*18%</f>
        <v>50399.28</v>
      </c>
      <c r="T369" s="22" t="s">
        <v>1508</v>
      </c>
    </row>
    <row r="370" spans="2:20" x14ac:dyDescent="0.3">
      <c r="B370" s="5" t="s">
        <v>372</v>
      </c>
      <c r="C370" s="1">
        <v>17510</v>
      </c>
      <c r="D370" s="1">
        <v>21</v>
      </c>
      <c r="E370" s="1" t="s">
        <v>12</v>
      </c>
      <c r="F370" s="16">
        <v>45749</v>
      </c>
      <c r="G370" s="1" t="s">
        <v>1470</v>
      </c>
      <c r="H370" s="1" t="s">
        <v>1471</v>
      </c>
      <c r="I370" s="17" t="s">
        <v>1503</v>
      </c>
      <c r="J370" s="18" t="s">
        <v>28</v>
      </c>
      <c r="K370" s="19" t="s">
        <v>26</v>
      </c>
      <c r="L370" s="19" t="s">
        <v>15</v>
      </c>
      <c r="M370" s="20">
        <v>8</v>
      </c>
      <c r="N370" s="21">
        <v>42999</v>
      </c>
      <c r="O370" s="22">
        <v>15</v>
      </c>
      <c r="P370" s="23">
        <v>292393.2</v>
      </c>
      <c r="Q370" s="22">
        <v>4.5999999999999996</v>
      </c>
      <c r="R370" s="22">
        <v>20</v>
      </c>
      <c r="S370" s="23">
        <f>(Table13[[#This Row],[Unit Price]]*Table13[[#This Row],[No.of Units]])*18%</f>
        <v>61918.559999999998</v>
      </c>
      <c r="T370" s="22" t="s">
        <v>1508</v>
      </c>
    </row>
    <row r="371" spans="2:20" x14ac:dyDescent="0.3">
      <c r="B371" s="5" t="s">
        <v>373</v>
      </c>
      <c r="C371" s="1">
        <v>1607946</v>
      </c>
      <c r="D371" s="1">
        <v>31</v>
      </c>
      <c r="E371" s="1" t="s">
        <v>12</v>
      </c>
      <c r="F371" s="16">
        <v>45749</v>
      </c>
      <c r="G371" s="1" t="s">
        <v>1470</v>
      </c>
      <c r="H371" s="1" t="s">
        <v>1483</v>
      </c>
      <c r="I371" s="17" t="s">
        <v>1502</v>
      </c>
      <c r="J371" s="18" t="s">
        <v>13</v>
      </c>
      <c r="K371" s="19" t="s">
        <v>14</v>
      </c>
      <c r="L371" s="19" t="s">
        <v>29</v>
      </c>
      <c r="M371" s="20">
        <v>6</v>
      </c>
      <c r="N371" s="21">
        <v>99999</v>
      </c>
      <c r="O371" s="22">
        <v>10</v>
      </c>
      <c r="P371" s="23">
        <v>539994.6</v>
      </c>
      <c r="Q371" s="22">
        <v>4.7</v>
      </c>
      <c r="R371" s="22">
        <v>20</v>
      </c>
      <c r="S371" s="23">
        <f>(Table13[[#This Row],[Unit Price]]*Table13[[#This Row],[No.of Units]])*18%</f>
        <v>107998.92</v>
      </c>
      <c r="T371" s="22" t="s">
        <v>1508</v>
      </c>
    </row>
    <row r="372" spans="2:20" x14ac:dyDescent="0.3">
      <c r="B372" s="5" t="s">
        <v>374</v>
      </c>
      <c r="C372" s="1">
        <v>4402120</v>
      </c>
      <c r="D372" s="1">
        <v>78</v>
      </c>
      <c r="E372" s="1" t="s">
        <v>20</v>
      </c>
      <c r="F372" s="16">
        <v>45749</v>
      </c>
      <c r="G372" s="1" t="s">
        <v>1470</v>
      </c>
      <c r="H372" s="1" t="s">
        <v>1471</v>
      </c>
      <c r="I372" s="17" t="s">
        <v>1503</v>
      </c>
      <c r="J372" s="18" t="s">
        <v>17</v>
      </c>
      <c r="K372" s="19" t="s">
        <v>18</v>
      </c>
      <c r="L372" s="19" t="s">
        <v>29</v>
      </c>
      <c r="M372" s="20">
        <v>45</v>
      </c>
      <c r="N372" s="21">
        <v>4999</v>
      </c>
      <c r="O372" s="22">
        <v>18</v>
      </c>
      <c r="P372" s="23">
        <v>184463.1</v>
      </c>
      <c r="Q372" s="22">
        <v>4.4000000000000004</v>
      </c>
      <c r="R372" s="22">
        <v>20</v>
      </c>
      <c r="S372" s="23">
        <f>(Table13[[#This Row],[Unit Price]]*Table13[[#This Row],[No.of Units]])*18%</f>
        <v>40491.9</v>
      </c>
      <c r="T372" s="22" t="s">
        <v>1508</v>
      </c>
    </row>
    <row r="373" spans="2:20" x14ac:dyDescent="0.3">
      <c r="B373" s="5" t="s">
        <v>375</v>
      </c>
      <c r="C373" s="1">
        <v>6741005</v>
      </c>
      <c r="D373" s="1">
        <v>30</v>
      </c>
      <c r="E373" s="1" t="s">
        <v>12</v>
      </c>
      <c r="F373" s="16">
        <v>45749</v>
      </c>
      <c r="G373" s="1" t="s">
        <v>1470</v>
      </c>
      <c r="H373" s="1" t="s">
        <v>1471</v>
      </c>
      <c r="I373" s="17" t="s">
        <v>1504</v>
      </c>
      <c r="J373" s="18" t="s">
        <v>21</v>
      </c>
      <c r="K373" s="19" t="s">
        <v>18</v>
      </c>
      <c r="L373" s="19" t="s">
        <v>29</v>
      </c>
      <c r="M373" s="20">
        <v>15</v>
      </c>
      <c r="N373" s="21">
        <v>24900</v>
      </c>
      <c r="O373" s="22">
        <v>5</v>
      </c>
      <c r="P373" s="23">
        <v>354825</v>
      </c>
      <c r="Q373" s="22">
        <v>4.8</v>
      </c>
      <c r="R373" s="22">
        <v>20</v>
      </c>
      <c r="S373" s="23">
        <f>(Table13[[#This Row],[Unit Price]]*Table13[[#This Row],[No.of Units]])*18%</f>
        <v>67230</v>
      </c>
      <c r="T373" s="22" t="s">
        <v>1508</v>
      </c>
    </row>
    <row r="374" spans="2:20" x14ac:dyDescent="0.3">
      <c r="B374" s="5" t="s">
        <v>376</v>
      </c>
      <c r="C374" s="1">
        <v>7396160</v>
      </c>
      <c r="D374" s="1">
        <v>46</v>
      </c>
      <c r="E374" s="1" t="s">
        <v>12</v>
      </c>
      <c r="F374" s="16">
        <v>45749</v>
      </c>
      <c r="G374" s="1" t="s">
        <v>1470</v>
      </c>
      <c r="H374" s="1" t="s">
        <v>1471</v>
      </c>
      <c r="I374" s="17" t="s">
        <v>1505</v>
      </c>
      <c r="J374" s="18" t="s">
        <v>23</v>
      </c>
      <c r="K374" s="19" t="s">
        <v>14</v>
      </c>
      <c r="L374" s="19" t="s">
        <v>29</v>
      </c>
      <c r="M374" s="20">
        <v>6</v>
      </c>
      <c r="N374" s="21">
        <v>84999</v>
      </c>
      <c r="O374" s="22">
        <v>12</v>
      </c>
      <c r="P374" s="23">
        <v>448794.72</v>
      </c>
      <c r="Q374" s="22">
        <v>4.5</v>
      </c>
      <c r="R374" s="22">
        <v>20</v>
      </c>
      <c r="S374" s="23">
        <f>(Table13[[#This Row],[Unit Price]]*Table13[[#This Row],[No.of Units]])*18%</f>
        <v>91798.92</v>
      </c>
      <c r="T374" s="22" t="s">
        <v>1508</v>
      </c>
    </row>
    <row r="375" spans="2:20" x14ac:dyDescent="0.3">
      <c r="B375" s="5" t="s">
        <v>377</v>
      </c>
      <c r="C375" s="1">
        <v>9872468</v>
      </c>
      <c r="D375" s="1">
        <v>20</v>
      </c>
      <c r="E375" s="1" t="s">
        <v>12</v>
      </c>
      <c r="F375" s="16">
        <v>45749</v>
      </c>
      <c r="G375" s="1" t="s">
        <v>1470</v>
      </c>
      <c r="H375" s="1" t="s">
        <v>1472</v>
      </c>
      <c r="I375" s="17" t="s">
        <v>1504</v>
      </c>
      <c r="J375" s="18" t="s">
        <v>25</v>
      </c>
      <c r="K375" s="19" t="s">
        <v>26</v>
      </c>
      <c r="L375" s="19" t="s">
        <v>29</v>
      </c>
      <c r="M375" s="20">
        <v>2</v>
      </c>
      <c r="N375" s="21">
        <v>69999</v>
      </c>
      <c r="O375" s="22">
        <v>8</v>
      </c>
      <c r="P375" s="23">
        <v>128798.16</v>
      </c>
      <c r="Q375" s="22">
        <v>4.8</v>
      </c>
      <c r="R375" s="22">
        <v>20</v>
      </c>
      <c r="S375" s="23">
        <f>(Table13[[#This Row],[Unit Price]]*Table13[[#This Row],[No.of Units]])*18%</f>
        <v>25199.64</v>
      </c>
      <c r="T375" s="22" t="s">
        <v>1507</v>
      </c>
    </row>
    <row r="376" spans="2:20" x14ac:dyDescent="0.3">
      <c r="B376" s="5" t="s">
        <v>378</v>
      </c>
      <c r="C376" s="1">
        <v>6685775</v>
      </c>
      <c r="D376" s="1">
        <v>22</v>
      </c>
      <c r="E376" s="1" t="s">
        <v>12</v>
      </c>
      <c r="F376" s="16">
        <v>45749</v>
      </c>
      <c r="G376" s="1" t="s">
        <v>1470</v>
      </c>
      <c r="H376" s="1" t="s">
        <v>1480</v>
      </c>
      <c r="I376" s="17" t="s">
        <v>1503</v>
      </c>
      <c r="J376" s="18" t="s">
        <v>28</v>
      </c>
      <c r="K376" s="19" t="s">
        <v>26</v>
      </c>
      <c r="L376" s="19" t="s">
        <v>29</v>
      </c>
      <c r="M376" s="20">
        <v>10</v>
      </c>
      <c r="N376" s="21">
        <v>42999</v>
      </c>
      <c r="O376" s="22">
        <v>15</v>
      </c>
      <c r="P376" s="23">
        <v>365491.5</v>
      </c>
      <c r="Q376" s="22">
        <v>4.5999999999999996</v>
      </c>
      <c r="R376" s="22">
        <v>20</v>
      </c>
      <c r="S376" s="23">
        <f>(Table13[[#This Row],[Unit Price]]*Table13[[#This Row],[No.of Units]])*18%</f>
        <v>77398.2</v>
      </c>
      <c r="T376" s="22" t="s">
        <v>1508</v>
      </c>
    </row>
    <row r="377" spans="2:20" x14ac:dyDescent="0.3">
      <c r="B377" s="5" t="s">
        <v>379</v>
      </c>
      <c r="C377" s="1">
        <v>2742059</v>
      </c>
      <c r="D377" s="1">
        <v>18</v>
      </c>
      <c r="E377" s="1" t="s">
        <v>34</v>
      </c>
      <c r="F377" s="16">
        <v>45749</v>
      </c>
      <c r="G377" s="1" t="s">
        <v>1470</v>
      </c>
      <c r="H377" s="1" t="s">
        <v>1472</v>
      </c>
      <c r="I377" s="17" t="s">
        <v>1502</v>
      </c>
      <c r="J377" s="18" t="s">
        <v>13</v>
      </c>
      <c r="K377" s="19" t="s">
        <v>14</v>
      </c>
      <c r="L377" s="19" t="s">
        <v>35</v>
      </c>
      <c r="M377" s="20">
        <v>6</v>
      </c>
      <c r="N377" s="21">
        <v>99999</v>
      </c>
      <c r="O377" s="22">
        <v>10</v>
      </c>
      <c r="P377" s="23">
        <v>539994.6</v>
      </c>
      <c r="Q377" s="22">
        <v>4.7</v>
      </c>
      <c r="R377" s="22">
        <v>20</v>
      </c>
      <c r="S377" s="23">
        <f>(Table13[[#This Row],[Unit Price]]*Table13[[#This Row],[No.of Units]])*18%</f>
        <v>107998.92</v>
      </c>
      <c r="T377" s="22" t="s">
        <v>1508</v>
      </c>
    </row>
    <row r="378" spans="2:20" x14ac:dyDescent="0.3">
      <c r="B378" s="5" t="s">
        <v>380</v>
      </c>
      <c r="C378" s="1">
        <v>431359</v>
      </c>
      <c r="D378" s="1">
        <v>24</v>
      </c>
      <c r="E378" s="1" t="s">
        <v>12</v>
      </c>
      <c r="F378" s="16">
        <v>45749</v>
      </c>
      <c r="G378" s="1" t="s">
        <v>1473</v>
      </c>
      <c r="H378" s="1" t="s">
        <v>1472</v>
      </c>
      <c r="I378" s="17" t="s">
        <v>1503</v>
      </c>
      <c r="J378" s="18" t="s">
        <v>17</v>
      </c>
      <c r="K378" s="19" t="s">
        <v>18</v>
      </c>
      <c r="L378" s="19" t="s">
        <v>35</v>
      </c>
      <c r="M378" s="20">
        <v>43</v>
      </c>
      <c r="N378" s="21">
        <v>4999</v>
      </c>
      <c r="O378" s="22">
        <v>18</v>
      </c>
      <c r="P378" s="23">
        <v>176264.74</v>
      </c>
      <c r="Q378" s="22">
        <v>4.4000000000000004</v>
      </c>
      <c r="R378" s="22">
        <v>20</v>
      </c>
      <c r="S378" s="23">
        <f>(Table13[[#This Row],[Unit Price]]*Table13[[#This Row],[No.of Units]])*18%</f>
        <v>38692.26</v>
      </c>
      <c r="T378" s="22" t="s">
        <v>1507</v>
      </c>
    </row>
    <row r="379" spans="2:20" x14ac:dyDescent="0.3">
      <c r="B379" s="5" t="s">
        <v>381</v>
      </c>
      <c r="C379" s="1">
        <v>2254374</v>
      </c>
      <c r="D379" s="1">
        <v>39</v>
      </c>
      <c r="E379" s="1" t="s">
        <v>12</v>
      </c>
      <c r="F379" s="16">
        <v>45749</v>
      </c>
      <c r="G379" s="1" t="s">
        <v>1470</v>
      </c>
      <c r="H379" s="1" t="s">
        <v>1472</v>
      </c>
      <c r="I379" s="17" t="s">
        <v>1504</v>
      </c>
      <c r="J379" s="18" t="s">
        <v>21</v>
      </c>
      <c r="K379" s="19" t="s">
        <v>18</v>
      </c>
      <c r="L379" s="19" t="s">
        <v>35</v>
      </c>
      <c r="M379" s="20">
        <v>6</v>
      </c>
      <c r="N379" s="21">
        <v>24900</v>
      </c>
      <c r="O379" s="22">
        <v>5</v>
      </c>
      <c r="P379" s="23">
        <v>141930</v>
      </c>
      <c r="Q379" s="22">
        <v>4.8</v>
      </c>
      <c r="R379" s="22">
        <v>20</v>
      </c>
      <c r="S379" s="23">
        <f>(Table13[[#This Row],[Unit Price]]*Table13[[#This Row],[No.of Units]])*18%</f>
        <v>26892</v>
      </c>
      <c r="T379" s="22" t="s">
        <v>1508</v>
      </c>
    </row>
    <row r="380" spans="2:20" x14ac:dyDescent="0.3">
      <c r="B380" s="5" t="s">
        <v>382</v>
      </c>
      <c r="C380" s="1">
        <v>2506744</v>
      </c>
      <c r="D380" s="1">
        <v>22</v>
      </c>
      <c r="E380" s="1" t="s">
        <v>12</v>
      </c>
      <c r="F380" s="16">
        <v>45749</v>
      </c>
      <c r="G380" s="1" t="s">
        <v>1470</v>
      </c>
      <c r="H380" s="1" t="s">
        <v>1471</v>
      </c>
      <c r="I380" s="17" t="s">
        <v>1505</v>
      </c>
      <c r="J380" s="18" t="s">
        <v>23</v>
      </c>
      <c r="K380" s="19" t="s">
        <v>14</v>
      </c>
      <c r="L380" s="19" t="s">
        <v>35</v>
      </c>
      <c r="M380" s="20">
        <v>3</v>
      </c>
      <c r="N380" s="21">
        <v>84999</v>
      </c>
      <c r="O380" s="22">
        <v>12</v>
      </c>
      <c r="P380" s="23">
        <v>224397.36</v>
      </c>
      <c r="Q380" s="22">
        <v>4.5</v>
      </c>
      <c r="R380" s="22">
        <v>20</v>
      </c>
      <c r="S380" s="23">
        <f>(Table13[[#This Row],[Unit Price]]*Table13[[#This Row],[No.of Units]])*18%</f>
        <v>45899.46</v>
      </c>
      <c r="T380" s="22" t="s">
        <v>1507</v>
      </c>
    </row>
    <row r="381" spans="2:20" x14ac:dyDescent="0.3">
      <c r="B381" s="5" t="s">
        <v>383</v>
      </c>
      <c r="C381" s="1">
        <v>225967</v>
      </c>
      <c r="D381" s="1">
        <v>46</v>
      </c>
      <c r="E381" s="1" t="s">
        <v>12</v>
      </c>
      <c r="F381" s="16">
        <v>45749</v>
      </c>
      <c r="G381" s="1" t="s">
        <v>1470</v>
      </c>
      <c r="H381" s="1" t="s">
        <v>1471</v>
      </c>
      <c r="I381" s="17" t="s">
        <v>1504</v>
      </c>
      <c r="J381" s="18" t="s">
        <v>25</v>
      </c>
      <c r="K381" s="19" t="s">
        <v>26</v>
      </c>
      <c r="L381" s="19" t="s">
        <v>35</v>
      </c>
      <c r="M381" s="20">
        <v>3</v>
      </c>
      <c r="N381" s="21">
        <v>69999</v>
      </c>
      <c r="O381" s="22">
        <v>8</v>
      </c>
      <c r="P381" s="23">
        <v>193197.24</v>
      </c>
      <c r="Q381" s="22">
        <v>4.8</v>
      </c>
      <c r="R381" s="22">
        <v>20</v>
      </c>
      <c r="S381" s="23">
        <f>(Table13[[#This Row],[Unit Price]]*Table13[[#This Row],[No.of Units]])*18%</f>
        <v>37799.46</v>
      </c>
      <c r="T381" s="22" t="s">
        <v>1508</v>
      </c>
    </row>
    <row r="382" spans="2:20" x14ac:dyDescent="0.3">
      <c r="B382" s="5" t="s">
        <v>384</v>
      </c>
      <c r="C382" s="1">
        <v>9746730</v>
      </c>
      <c r="D382" s="1">
        <v>45</v>
      </c>
      <c r="E382" s="1" t="s">
        <v>12</v>
      </c>
      <c r="F382" s="16">
        <v>45749</v>
      </c>
      <c r="G382" s="1" t="s">
        <v>1470</v>
      </c>
      <c r="H382" s="1" t="s">
        <v>1482</v>
      </c>
      <c r="I382" s="17" t="s">
        <v>1503</v>
      </c>
      <c r="J382" s="18" t="s">
        <v>28</v>
      </c>
      <c r="K382" s="19" t="s">
        <v>26</v>
      </c>
      <c r="L382" s="19" t="s">
        <v>35</v>
      </c>
      <c r="M382" s="20">
        <v>8</v>
      </c>
      <c r="N382" s="21">
        <v>42999</v>
      </c>
      <c r="O382" s="22">
        <v>15</v>
      </c>
      <c r="P382" s="23">
        <v>292393.2</v>
      </c>
      <c r="Q382" s="22">
        <v>4.5999999999999996</v>
      </c>
      <c r="R382" s="22">
        <v>20</v>
      </c>
      <c r="S382" s="23">
        <f>(Table13[[#This Row],[Unit Price]]*Table13[[#This Row],[No.of Units]])*18%</f>
        <v>61918.559999999998</v>
      </c>
      <c r="T382" s="22" t="s">
        <v>1508</v>
      </c>
    </row>
    <row r="383" spans="2:20" x14ac:dyDescent="0.3">
      <c r="B383" s="5" t="s">
        <v>385</v>
      </c>
      <c r="C383" s="1">
        <v>2994704</v>
      </c>
      <c r="D383" s="1">
        <v>22</v>
      </c>
      <c r="E383" s="1" t="s">
        <v>12</v>
      </c>
      <c r="F383" s="16">
        <v>45749</v>
      </c>
      <c r="G383" s="1" t="s">
        <v>1470</v>
      </c>
      <c r="H383" s="1" t="s">
        <v>1482</v>
      </c>
      <c r="I383" s="17" t="s">
        <v>1502</v>
      </c>
      <c r="J383" s="18" t="s">
        <v>13</v>
      </c>
      <c r="K383" s="19" t="s">
        <v>14</v>
      </c>
      <c r="L383" s="19" t="s">
        <v>42</v>
      </c>
      <c r="M383" s="20">
        <v>3</v>
      </c>
      <c r="N383" s="21">
        <v>99999</v>
      </c>
      <c r="O383" s="22">
        <v>10</v>
      </c>
      <c r="P383" s="23">
        <v>269997.3</v>
      </c>
      <c r="Q383" s="22">
        <v>4.7</v>
      </c>
      <c r="R383" s="22">
        <v>20</v>
      </c>
      <c r="S383" s="23">
        <f>(Table13[[#This Row],[Unit Price]]*Table13[[#This Row],[No.of Units]])*18%</f>
        <v>53999.46</v>
      </c>
      <c r="T383" s="22" t="s">
        <v>1508</v>
      </c>
    </row>
    <row r="384" spans="2:20" x14ac:dyDescent="0.3">
      <c r="B384" s="5" t="s">
        <v>386</v>
      </c>
      <c r="C384" s="1">
        <v>4768183</v>
      </c>
      <c r="D384" s="1">
        <v>49</v>
      </c>
      <c r="E384" s="1" t="s">
        <v>12</v>
      </c>
      <c r="F384" s="16">
        <v>45749</v>
      </c>
      <c r="G384" s="1" t="s">
        <v>1470</v>
      </c>
      <c r="H384" s="1" t="s">
        <v>1482</v>
      </c>
      <c r="I384" s="17" t="s">
        <v>1503</v>
      </c>
      <c r="J384" s="18" t="s">
        <v>17</v>
      </c>
      <c r="K384" s="19" t="s">
        <v>18</v>
      </c>
      <c r="L384" s="19" t="s">
        <v>42</v>
      </c>
      <c r="M384" s="20">
        <v>38</v>
      </c>
      <c r="N384" s="21">
        <v>4999</v>
      </c>
      <c r="O384" s="22">
        <v>18</v>
      </c>
      <c r="P384" s="23">
        <v>155768.84</v>
      </c>
      <c r="Q384" s="22">
        <v>4.4000000000000004</v>
      </c>
      <c r="R384" s="22">
        <v>20</v>
      </c>
      <c r="S384" s="23">
        <f>(Table13[[#This Row],[Unit Price]]*Table13[[#This Row],[No.of Units]])*18%</f>
        <v>34193.159999999996</v>
      </c>
      <c r="T384" s="22" t="s">
        <v>1508</v>
      </c>
    </row>
    <row r="385" spans="2:20" x14ac:dyDescent="0.3">
      <c r="B385" s="5" t="s">
        <v>387</v>
      </c>
      <c r="C385" s="1">
        <v>5358164</v>
      </c>
      <c r="D385" s="1">
        <v>23</v>
      </c>
      <c r="E385" s="1" t="s">
        <v>12</v>
      </c>
      <c r="F385" s="16">
        <v>45749</v>
      </c>
      <c r="G385" s="1" t="s">
        <v>1470</v>
      </c>
      <c r="H385" s="1" t="s">
        <v>1483</v>
      </c>
      <c r="I385" s="17" t="s">
        <v>1504</v>
      </c>
      <c r="J385" s="18" t="s">
        <v>21</v>
      </c>
      <c r="K385" s="19" t="s">
        <v>18</v>
      </c>
      <c r="L385" s="19" t="s">
        <v>42</v>
      </c>
      <c r="M385" s="20">
        <v>12</v>
      </c>
      <c r="N385" s="21">
        <v>24900</v>
      </c>
      <c r="O385" s="22">
        <v>5</v>
      </c>
      <c r="P385" s="23">
        <v>283860</v>
      </c>
      <c r="Q385" s="22">
        <v>4.8</v>
      </c>
      <c r="R385" s="22">
        <v>20</v>
      </c>
      <c r="S385" s="23">
        <f>(Table13[[#This Row],[Unit Price]]*Table13[[#This Row],[No.of Units]])*18%</f>
        <v>53784</v>
      </c>
      <c r="T385" s="22" t="s">
        <v>1508</v>
      </c>
    </row>
    <row r="386" spans="2:20" x14ac:dyDescent="0.3">
      <c r="B386" s="5" t="s">
        <v>388</v>
      </c>
      <c r="C386" s="1">
        <v>8201125</v>
      </c>
      <c r="D386" s="1">
        <v>31</v>
      </c>
      <c r="E386" s="1" t="s">
        <v>12</v>
      </c>
      <c r="F386" s="16">
        <v>45749</v>
      </c>
      <c r="G386" s="1" t="s">
        <v>1470</v>
      </c>
      <c r="H386" s="1" t="s">
        <v>1472</v>
      </c>
      <c r="I386" s="17" t="s">
        <v>1505</v>
      </c>
      <c r="J386" s="18" t="s">
        <v>23</v>
      </c>
      <c r="K386" s="19" t="s">
        <v>14</v>
      </c>
      <c r="L386" s="19" t="s">
        <v>42</v>
      </c>
      <c r="M386" s="20">
        <v>2</v>
      </c>
      <c r="N386" s="21">
        <v>84999</v>
      </c>
      <c r="O386" s="22">
        <v>12</v>
      </c>
      <c r="P386" s="23">
        <v>149598.24</v>
      </c>
      <c r="Q386" s="22">
        <v>4.5</v>
      </c>
      <c r="R386" s="22">
        <v>20</v>
      </c>
      <c r="S386" s="23">
        <f>(Table13[[#This Row],[Unit Price]]*Table13[[#This Row],[No.of Units]])*18%</f>
        <v>30599.64</v>
      </c>
      <c r="T386" s="22" t="s">
        <v>1508</v>
      </c>
    </row>
    <row r="387" spans="2:20" x14ac:dyDescent="0.3">
      <c r="B387" s="5" t="s">
        <v>389</v>
      </c>
      <c r="C387" s="1">
        <v>6455153</v>
      </c>
      <c r="D387" s="1">
        <v>28</v>
      </c>
      <c r="E387" s="1" t="s">
        <v>12</v>
      </c>
      <c r="F387" s="16">
        <v>45749</v>
      </c>
      <c r="G387" s="1" t="s">
        <v>1470</v>
      </c>
      <c r="H387" s="1" t="s">
        <v>1482</v>
      </c>
      <c r="I387" s="17" t="s">
        <v>1504</v>
      </c>
      <c r="J387" s="18" t="s">
        <v>25</v>
      </c>
      <c r="K387" s="19" t="s">
        <v>26</v>
      </c>
      <c r="L387" s="19" t="s">
        <v>42</v>
      </c>
      <c r="M387" s="20">
        <v>6</v>
      </c>
      <c r="N387" s="21">
        <v>69999</v>
      </c>
      <c r="O387" s="22">
        <v>8</v>
      </c>
      <c r="P387" s="23">
        <v>386394.48</v>
      </c>
      <c r="Q387" s="22">
        <v>4.8</v>
      </c>
      <c r="R387" s="22">
        <v>20</v>
      </c>
      <c r="S387" s="23">
        <f>(Table13[[#This Row],[Unit Price]]*Table13[[#This Row],[No.of Units]])*18%</f>
        <v>75598.92</v>
      </c>
      <c r="T387" s="22" t="s">
        <v>1507</v>
      </c>
    </row>
    <row r="388" spans="2:20" x14ac:dyDescent="0.3">
      <c r="B388" s="5" t="s">
        <v>389</v>
      </c>
      <c r="C388" s="1">
        <v>6455153</v>
      </c>
      <c r="D388" s="1">
        <v>61</v>
      </c>
      <c r="E388" s="1" t="s">
        <v>20</v>
      </c>
      <c r="F388" s="16">
        <v>45749</v>
      </c>
      <c r="G388" s="1" t="s">
        <v>1474</v>
      </c>
      <c r="H388" s="1" t="s">
        <v>1482</v>
      </c>
      <c r="I388" s="17" t="s">
        <v>1503</v>
      </c>
      <c r="J388" s="18" t="s">
        <v>28</v>
      </c>
      <c r="K388" s="19" t="s">
        <v>26</v>
      </c>
      <c r="L388" s="19" t="s">
        <v>42</v>
      </c>
      <c r="M388" s="20">
        <v>8</v>
      </c>
      <c r="N388" s="21">
        <v>42999</v>
      </c>
      <c r="O388" s="22">
        <v>15</v>
      </c>
      <c r="P388" s="23">
        <v>292393.2</v>
      </c>
      <c r="Q388" s="22">
        <v>4.5999999999999996</v>
      </c>
      <c r="R388" s="22">
        <v>20</v>
      </c>
      <c r="S388" s="23">
        <f>(Table13[[#This Row],[Unit Price]]*Table13[[#This Row],[No.of Units]])*18%</f>
        <v>61918.559999999998</v>
      </c>
      <c r="T388" s="22" t="s">
        <v>1508</v>
      </c>
    </row>
    <row r="389" spans="2:20" x14ac:dyDescent="0.3">
      <c r="B389" s="5" t="s">
        <v>390</v>
      </c>
      <c r="C389" s="1">
        <v>6936302</v>
      </c>
      <c r="D389" s="1">
        <v>50</v>
      </c>
      <c r="E389" s="1" t="s">
        <v>20</v>
      </c>
      <c r="F389" s="16">
        <v>45749</v>
      </c>
      <c r="G389" s="1" t="s">
        <v>1470</v>
      </c>
      <c r="H389" s="1" t="s">
        <v>1471</v>
      </c>
      <c r="I389" s="17" t="s">
        <v>1502</v>
      </c>
      <c r="J389" s="18" t="s">
        <v>13</v>
      </c>
      <c r="K389" s="19" t="s">
        <v>14</v>
      </c>
      <c r="L389" s="19" t="s">
        <v>49</v>
      </c>
      <c r="M389" s="20">
        <v>6</v>
      </c>
      <c r="N389" s="21">
        <v>99999</v>
      </c>
      <c r="O389" s="22">
        <v>10</v>
      </c>
      <c r="P389" s="23">
        <v>539994.6</v>
      </c>
      <c r="Q389" s="22">
        <v>4.7</v>
      </c>
      <c r="R389" s="22">
        <v>20</v>
      </c>
      <c r="S389" s="23">
        <f>(Table13[[#This Row],[Unit Price]]*Table13[[#This Row],[No.of Units]])*18%</f>
        <v>107998.92</v>
      </c>
      <c r="T389" s="22" t="s">
        <v>1508</v>
      </c>
    </row>
    <row r="390" spans="2:20" x14ac:dyDescent="0.3">
      <c r="B390" s="5" t="s">
        <v>391</v>
      </c>
      <c r="C390" s="1">
        <v>9117771</v>
      </c>
      <c r="D390" s="1">
        <v>32</v>
      </c>
      <c r="E390" s="1" t="s">
        <v>12</v>
      </c>
      <c r="F390" s="16">
        <v>45749</v>
      </c>
      <c r="G390" s="1" t="s">
        <v>1470</v>
      </c>
      <c r="H390" s="1" t="s">
        <v>1472</v>
      </c>
      <c r="I390" s="17" t="s">
        <v>1503</v>
      </c>
      <c r="J390" s="18" t="s">
        <v>17</v>
      </c>
      <c r="K390" s="19" t="s">
        <v>18</v>
      </c>
      <c r="L390" s="19" t="s">
        <v>49</v>
      </c>
      <c r="M390" s="20">
        <v>55</v>
      </c>
      <c r="N390" s="21">
        <v>4999</v>
      </c>
      <c r="O390" s="22">
        <v>18</v>
      </c>
      <c r="P390" s="23">
        <v>225454.9</v>
      </c>
      <c r="Q390" s="22">
        <v>4.4000000000000004</v>
      </c>
      <c r="R390" s="22">
        <v>20</v>
      </c>
      <c r="S390" s="23">
        <f>(Table13[[#This Row],[Unit Price]]*Table13[[#This Row],[No.of Units]])*18%</f>
        <v>49490.1</v>
      </c>
      <c r="T390" s="22" t="s">
        <v>1508</v>
      </c>
    </row>
    <row r="391" spans="2:20" x14ac:dyDescent="0.3">
      <c r="B391" s="5" t="s">
        <v>392</v>
      </c>
      <c r="C391" s="1">
        <v>3176719</v>
      </c>
      <c r="D391" s="1">
        <v>78</v>
      </c>
      <c r="E391" s="1" t="s">
        <v>20</v>
      </c>
      <c r="F391" s="16">
        <v>45749</v>
      </c>
      <c r="G391" s="1" t="s">
        <v>1470</v>
      </c>
      <c r="H391" s="1" t="s">
        <v>1472</v>
      </c>
      <c r="I391" s="17" t="s">
        <v>1504</v>
      </c>
      <c r="J391" s="18" t="s">
        <v>21</v>
      </c>
      <c r="K391" s="19" t="s">
        <v>18</v>
      </c>
      <c r="L391" s="19" t="s">
        <v>49</v>
      </c>
      <c r="M391" s="20">
        <v>13</v>
      </c>
      <c r="N391" s="21">
        <v>24900</v>
      </c>
      <c r="O391" s="22">
        <v>5</v>
      </c>
      <c r="P391" s="23">
        <v>307515</v>
      </c>
      <c r="Q391" s="22">
        <v>4.8</v>
      </c>
      <c r="R391" s="22">
        <v>20</v>
      </c>
      <c r="S391" s="23">
        <f>(Table13[[#This Row],[Unit Price]]*Table13[[#This Row],[No.of Units]])*18%</f>
        <v>58266</v>
      </c>
      <c r="T391" s="22" t="s">
        <v>1508</v>
      </c>
    </row>
    <row r="392" spans="2:20" x14ac:dyDescent="0.3">
      <c r="B392" s="5" t="s">
        <v>393</v>
      </c>
      <c r="C392" s="1">
        <v>5627495</v>
      </c>
      <c r="D392" s="1">
        <v>32</v>
      </c>
      <c r="E392" s="1" t="s">
        <v>12</v>
      </c>
      <c r="F392" s="16">
        <v>45749</v>
      </c>
      <c r="G392" s="1" t="s">
        <v>1470</v>
      </c>
      <c r="H392" s="1" t="s">
        <v>1482</v>
      </c>
      <c r="I392" s="17" t="s">
        <v>1505</v>
      </c>
      <c r="J392" s="18" t="s">
        <v>23</v>
      </c>
      <c r="K392" s="19" t="s">
        <v>14</v>
      </c>
      <c r="L392" s="19" t="s">
        <v>49</v>
      </c>
      <c r="M392" s="20">
        <v>4</v>
      </c>
      <c r="N392" s="21">
        <v>84999</v>
      </c>
      <c r="O392" s="22">
        <v>12</v>
      </c>
      <c r="P392" s="23">
        <v>299196.48</v>
      </c>
      <c r="Q392" s="22">
        <v>4.5</v>
      </c>
      <c r="R392" s="22">
        <v>20</v>
      </c>
      <c r="S392" s="23">
        <f>(Table13[[#This Row],[Unit Price]]*Table13[[#This Row],[No.of Units]])*18%</f>
        <v>61199.28</v>
      </c>
      <c r="T392" s="22" t="s">
        <v>1507</v>
      </c>
    </row>
    <row r="393" spans="2:20" x14ac:dyDescent="0.3">
      <c r="B393" s="5" t="s">
        <v>394</v>
      </c>
      <c r="C393" s="1">
        <v>8666099</v>
      </c>
      <c r="D393" s="1">
        <v>54</v>
      </c>
      <c r="E393" s="1" t="s">
        <v>20</v>
      </c>
      <c r="F393" s="16">
        <v>45749</v>
      </c>
      <c r="G393" s="1" t="s">
        <v>1470</v>
      </c>
      <c r="H393" s="1" t="s">
        <v>1471</v>
      </c>
      <c r="I393" s="17" t="s">
        <v>1504</v>
      </c>
      <c r="J393" s="18" t="s">
        <v>25</v>
      </c>
      <c r="K393" s="19" t="s">
        <v>26</v>
      </c>
      <c r="L393" s="19" t="s">
        <v>49</v>
      </c>
      <c r="M393" s="20">
        <v>2</v>
      </c>
      <c r="N393" s="21">
        <v>69999</v>
      </c>
      <c r="O393" s="22">
        <v>8</v>
      </c>
      <c r="P393" s="23">
        <v>128798.16</v>
      </c>
      <c r="Q393" s="22">
        <v>4.8</v>
      </c>
      <c r="R393" s="22">
        <v>20</v>
      </c>
      <c r="S393" s="23">
        <f>(Table13[[#This Row],[Unit Price]]*Table13[[#This Row],[No.of Units]])*18%</f>
        <v>25199.64</v>
      </c>
      <c r="T393" s="22" t="s">
        <v>1508</v>
      </c>
    </row>
    <row r="394" spans="2:20" x14ac:dyDescent="0.3">
      <c r="B394" s="5" t="s">
        <v>395</v>
      </c>
      <c r="C394" s="1">
        <v>2950631</v>
      </c>
      <c r="D394" s="1">
        <v>43</v>
      </c>
      <c r="E394" s="1" t="s">
        <v>12</v>
      </c>
      <c r="F394" s="16">
        <v>45749</v>
      </c>
      <c r="G394" s="1" t="s">
        <v>1470</v>
      </c>
      <c r="H394" s="1" t="s">
        <v>1472</v>
      </c>
      <c r="I394" s="17" t="s">
        <v>1503</v>
      </c>
      <c r="J394" s="18" t="s">
        <v>28</v>
      </c>
      <c r="K394" s="19" t="s">
        <v>26</v>
      </c>
      <c r="L394" s="19" t="s">
        <v>49</v>
      </c>
      <c r="M394" s="20">
        <v>7</v>
      </c>
      <c r="N394" s="21">
        <v>42999</v>
      </c>
      <c r="O394" s="22">
        <v>15</v>
      </c>
      <c r="P394" s="23">
        <v>255844.05</v>
      </c>
      <c r="Q394" s="22">
        <v>4.5999999999999996</v>
      </c>
      <c r="R394" s="22">
        <v>20</v>
      </c>
      <c r="S394" s="23">
        <f>(Table13[[#This Row],[Unit Price]]*Table13[[#This Row],[No.of Units]])*18%</f>
        <v>54178.74</v>
      </c>
      <c r="T394" s="22" t="s">
        <v>1508</v>
      </c>
    </row>
    <row r="395" spans="2:20" x14ac:dyDescent="0.3">
      <c r="B395" s="5" t="s">
        <v>396</v>
      </c>
      <c r="C395" s="1">
        <v>2273061</v>
      </c>
      <c r="D395" s="1">
        <v>38</v>
      </c>
      <c r="E395" s="1" t="s">
        <v>12</v>
      </c>
      <c r="F395" s="16">
        <v>45756</v>
      </c>
      <c r="G395" s="1" t="s">
        <v>1470</v>
      </c>
      <c r="H395" s="1" t="s">
        <v>1471</v>
      </c>
      <c r="I395" s="17" t="s">
        <v>1502</v>
      </c>
      <c r="J395" s="18" t="s">
        <v>13</v>
      </c>
      <c r="K395" s="19" t="s">
        <v>14</v>
      </c>
      <c r="L395" s="19" t="s">
        <v>15</v>
      </c>
      <c r="M395" s="20">
        <v>5</v>
      </c>
      <c r="N395" s="21">
        <v>99999</v>
      </c>
      <c r="O395" s="22">
        <v>10</v>
      </c>
      <c r="P395" s="23">
        <v>449995.5</v>
      </c>
      <c r="Q395" s="22">
        <v>4.7</v>
      </c>
      <c r="R395" s="22">
        <v>20</v>
      </c>
      <c r="S395" s="23">
        <f>(Table13[[#This Row],[Unit Price]]*Table13[[#This Row],[No.of Units]])*18%</f>
        <v>89999.099999999991</v>
      </c>
      <c r="T395" s="22" t="s">
        <v>1508</v>
      </c>
    </row>
    <row r="396" spans="2:20" x14ac:dyDescent="0.3">
      <c r="B396" s="5" t="s">
        <v>397</v>
      </c>
      <c r="C396" s="1">
        <v>5272502</v>
      </c>
      <c r="D396" s="1">
        <v>45</v>
      </c>
      <c r="E396" s="1" t="s">
        <v>12</v>
      </c>
      <c r="F396" s="16">
        <v>45756</v>
      </c>
      <c r="G396" s="1" t="s">
        <v>1470</v>
      </c>
      <c r="H396" s="1" t="s">
        <v>1472</v>
      </c>
      <c r="I396" s="17" t="s">
        <v>1503</v>
      </c>
      <c r="J396" s="18" t="s">
        <v>17</v>
      </c>
      <c r="K396" s="19" t="s">
        <v>18</v>
      </c>
      <c r="L396" s="19" t="s">
        <v>15</v>
      </c>
      <c r="M396" s="20">
        <v>42</v>
      </c>
      <c r="N396" s="21">
        <v>4999</v>
      </c>
      <c r="O396" s="22">
        <v>18</v>
      </c>
      <c r="P396" s="23">
        <v>172165.56</v>
      </c>
      <c r="Q396" s="22">
        <v>4.4000000000000004</v>
      </c>
      <c r="R396" s="22">
        <v>20</v>
      </c>
      <c r="S396" s="23">
        <f>(Table13[[#This Row],[Unit Price]]*Table13[[#This Row],[No.of Units]])*18%</f>
        <v>37792.439999999995</v>
      </c>
      <c r="T396" s="22" t="s">
        <v>1507</v>
      </c>
    </row>
    <row r="397" spans="2:20" x14ac:dyDescent="0.3">
      <c r="B397" s="5" t="s">
        <v>398</v>
      </c>
      <c r="C397" s="1">
        <v>3639245</v>
      </c>
      <c r="D397" s="1">
        <v>39</v>
      </c>
      <c r="E397" s="1" t="s">
        <v>12</v>
      </c>
      <c r="F397" s="16">
        <v>45756</v>
      </c>
      <c r="G397" s="1" t="s">
        <v>1474</v>
      </c>
      <c r="H397" s="1" t="s">
        <v>1483</v>
      </c>
      <c r="I397" s="17" t="s">
        <v>1504</v>
      </c>
      <c r="J397" s="18" t="s">
        <v>21</v>
      </c>
      <c r="K397" s="19" t="s">
        <v>18</v>
      </c>
      <c r="L397" s="19" t="s">
        <v>15</v>
      </c>
      <c r="M397" s="20">
        <v>9</v>
      </c>
      <c r="N397" s="21">
        <v>24900</v>
      </c>
      <c r="O397" s="22">
        <v>5</v>
      </c>
      <c r="P397" s="23">
        <v>212895</v>
      </c>
      <c r="Q397" s="22">
        <v>4.8</v>
      </c>
      <c r="R397" s="22">
        <v>20</v>
      </c>
      <c r="S397" s="23">
        <f>(Table13[[#This Row],[Unit Price]]*Table13[[#This Row],[No.of Units]])*18%</f>
        <v>40338</v>
      </c>
      <c r="T397" s="22" t="s">
        <v>1508</v>
      </c>
    </row>
    <row r="398" spans="2:20" x14ac:dyDescent="0.3">
      <c r="B398" s="5" t="s">
        <v>399</v>
      </c>
      <c r="C398" s="1">
        <v>5199868</v>
      </c>
      <c r="D398" s="1">
        <v>51</v>
      </c>
      <c r="E398" s="1" t="s">
        <v>20</v>
      </c>
      <c r="F398" s="16">
        <v>45756</v>
      </c>
      <c r="G398" s="1" t="s">
        <v>1470</v>
      </c>
      <c r="H398" s="1" t="s">
        <v>1471</v>
      </c>
      <c r="I398" s="17" t="s">
        <v>1505</v>
      </c>
      <c r="J398" s="18" t="s">
        <v>23</v>
      </c>
      <c r="K398" s="19" t="s">
        <v>14</v>
      </c>
      <c r="L398" s="19" t="s">
        <v>15</v>
      </c>
      <c r="M398" s="20">
        <v>6</v>
      </c>
      <c r="N398" s="21">
        <v>84999</v>
      </c>
      <c r="O398" s="22">
        <v>12</v>
      </c>
      <c r="P398" s="23">
        <v>448794.72</v>
      </c>
      <c r="Q398" s="22">
        <v>4.5</v>
      </c>
      <c r="R398" s="22">
        <v>20</v>
      </c>
      <c r="S398" s="23">
        <f>(Table13[[#This Row],[Unit Price]]*Table13[[#This Row],[No.of Units]])*18%</f>
        <v>91798.92</v>
      </c>
      <c r="T398" s="22" t="s">
        <v>1507</v>
      </c>
    </row>
    <row r="399" spans="2:20" x14ac:dyDescent="0.3">
      <c r="B399" s="5" t="s">
        <v>400</v>
      </c>
      <c r="C399" s="1">
        <v>2633521</v>
      </c>
      <c r="D399" s="1">
        <v>30</v>
      </c>
      <c r="E399" s="1" t="s">
        <v>12</v>
      </c>
      <c r="F399" s="16">
        <v>45756</v>
      </c>
      <c r="G399" s="1" t="s">
        <v>1475</v>
      </c>
      <c r="H399" s="1" t="s">
        <v>1472</v>
      </c>
      <c r="I399" s="17" t="s">
        <v>1504</v>
      </c>
      <c r="J399" s="18" t="s">
        <v>25</v>
      </c>
      <c r="K399" s="19" t="s">
        <v>26</v>
      </c>
      <c r="L399" s="19" t="s">
        <v>15</v>
      </c>
      <c r="M399" s="20">
        <v>2</v>
      </c>
      <c r="N399" s="21">
        <v>69999</v>
      </c>
      <c r="O399" s="22">
        <v>8</v>
      </c>
      <c r="P399" s="23">
        <v>128798.16</v>
      </c>
      <c r="Q399" s="22">
        <v>4.8</v>
      </c>
      <c r="R399" s="22">
        <v>20</v>
      </c>
      <c r="S399" s="23">
        <f>(Table13[[#This Row],[Unit Price]]*Table13[[#This Row],[No.of Units]])*18%</f>
        <v>25199.64</v>
      </c>
      <c r="T399" s="22" t="s">
        <v>1507</v>
      </c>
    </row>
    <row r="400" spans="2:20" x14ac:dyDescent="0.3">
      <c r="B400" s="5" t="s">
        <v>401</v>
      </c>
      <c r="C400" s="1">
        <v>3204932</v>
      </c>
      <c r="D400" s="1">
        <v>21</v>
      </c>
      <c r="E400" s="1" t="s">
        <v>12</v>
      </c>
      <c r="F400" s="16">
        <v>45756</v>
      </c>
      <c r="G400" s="1" t="s">
        <v>1470</v>
      </c>
      <c r="H400" s="1" t="s">
        <v>1482</v>
      </c>
      <c r="I400" s="17" t="s">
        <v>1503</v>
      </c>
      <c r="J400" s="18" t="s">
        <v>28</v>
      </c>
      <c r="K400" s="19" t="s">
        <v>26</v>
      </c>
      <c r="L400" s="19" t="s">
        <v>15</v>
      </c>
      <c r="M400" s="20">
        <v>9</v>
      </c>
      <c r="N400" s="21">
        <v>42999</v>
      </c>
      <c r="O400" s="22">
        <v>15</v>
      </c>
      <c r="P400" s="23">
        <v>328942.34999999998</v>
      </c>
      <c r="Q400" s="22">
        <v>4.5999999999999996</v>
      </c>
      <c r="R400" s="22">
        <v>20</v>
      </c>
      <c r="S400" s="23">
        <f>(Table13[[#This Row],[Unit Price]]*Table13[[#This Row],[No.of Units]])*18%</f>
        <v>69658.38</v>
      </c>
      <c r="T400" s="22" t="s">
        <v>1507</v>
      </c>
    </row>
    <row r="401" spans="2:20" x14ac:dyDescent="0.3">
      <c r="B401" s="5" t="s">
        <v>402</v>
      </c>
      <c r="C401" s="1">
        <v>8846329</v>
      </c>
      <c r="D401" s="1">
        <v>44</v>
      </c>
      <c r="E401" s="1" t="s">
        <v>12</v>
      </c>
      <c r="F401" s="16">
        <v>45756</v>
      </c>
      <c r="G401" s="1" t="s">
        <v>1470</v>
      </c>
      <c r="H401" s="1" t="s">
        <v>1472</v>
      </c>
      <c r="I401" s="17" t="s">
        <v>1502</v>
      </c>
      <c r="J401" s="18" t="s">
        <v>13</v>
      </c>
      <c r="K401" s="19" t="s">
        <v>14</v>
      </c>
      <c r="L401" s="19" t="s">
        <v>29</v>
      </c>
      <c r="M401" s="20">
        <v>5</v>
      </c>
      <c r="N401" s="21">
        <v>99999</v>
      </c>
      <c r="O401" s="22">
        <v>10</v>
      </c>
      <c r="P401" s="23">
        <v>449995.5</v>
      </c>
      <c r="Q401" s="22">
        <v>4.7</v>
      </c>
      <c r="R401" s="22">
        <v>20</v>
      </c>
      <c r="S401" s="23">
        <f>(Table13[[#This Row],[Unit Price]]*Table13[[#This Row],[No.of Units]])*18%</f>
        <v>89999.099999999991</v>
      </c>
      <c r="T401" s="22" t="s">
        <v>1508</v>
      </c>
    </row>
    <row r="402" spans="2:20" x14ac:dyDescent="0.3">
      <c r="B402" s="5" t="s">
        <v>403</v>
      </c>
      <c r="C402" s="1">
        <v>5669660</v>
      </c>
      <c r="D402" s="1">
        <v>20</v>
      </c>
      <c r="E402" s="1" t="s">
        <v>12</v>
      </c>
      <c r="F402" s="16">
        <v>45756</v>
      </c>
      <c r="G402" s="1" t="s">
        <v>1470</v>
      </c>
      <c r="H402" s="1" t="s">
        <v>1471</v>
      </c>
      <c r="I402" s="17" t="s">
        <v>1503</v>
      </c>
      <c r="J402" s="18" t="s">
        <v>17</v>
      </c>
      <c r="K402" s="19" t="s">
        <v>18</v>
      </c>
      <c r="L402" s="19" t="s">
        <v>29</v>
      </c>
      <c r="M402" s="20">
        <v>66</v>
      </c>
      <c r="N402" s="21">
        <v>4999</v>
      </c>
      <c r="O402" s="22">
        <v>18</v>
      </c>
      <c r="P402" s="23">
        <v>270545.88</v>
      </c>
      <c r="Q402" s="22">
        <v>4.4000000000000004</v>
      </c>
      <c r="R402" s="22">
        <v>20</v>
      </c>
      <c r="S402" s="23">
        <f>(Table13[[#This Row],[Unit Price]]*Table13[[#This Row],[No.of Units]])*18%</f>
        <v>59388.119999999995</v>
      </c>
      <c r="T402" s="22" t="s">
        <v>1507</v>
      </c>
    </row>
    <row r="403" spans="2:20" x14ac:dyDescent="0.3">
      <c r="B403" s="5" t="s">
        <v>404</v>
      </c>
      <c r="C403" s="1">
        <v>3743867</v>
      </c>
      <c r="D403" s="1">
        <v>35</v>
      </c>
      <c r="E403" s="1" t="s">
        <v>12</v>
      </c>
      <c r="F403" s="16">
        <v>45756</v>
      </c>
      <c r="G403" s="1" t="s">
        <v>1470</v>
      </c>
      <c r="H403" s="1" t="s">
        <v>1471</v>
      </c>
      <c r="I403" s="17" t="s">
        <v>1504</v>
      </c>
      <c r="J403" s="18" t="s">
        <v>21</v>
      </c>
      <c r="K403" s="19" t="s">
        <v>18</v>
      </c>
      <c r="L403" s="19" t="s">
        <v>29</v>
      </c>
      <c r="M403" s="20">
        <v>15</v>
      </c>
      <c r="N403" s="21">
        <v>24900</v>
      </c>
      <c r="O403" s="22">
        <v>5</v>
      </c>
      <c r="P403" s="23">
        <v>354825</v>
      </c>
      <c r="Q403" s="22">
        <v>4.8</v>
      </c>
      <c r="R403" s="22">
        <v>20</v>
      </c>
      <c r="S403" s="23">
        <f>(Table13[[#This Row],[Unit Price]]*Table13[[#This Row],[No.of Units]])*18%</f>
        <v>67230</v>
      </c>
      <c r="T403" s="22" t="s">
        <v>1508</v>
      </c>
    </row>
    <row r="404" spans="2:20" x14ac:dyDescent="0.3">
      <c r="B404" s="5" t="s">
        <v>405</v>
      </c>
      <c r="C404" s="1">
        <v>8790622</v>
      </c>
      <c r="D404" s="1">
        <v>18</v>
      </c>
      <c r="E404" s="1" t="s">
        <v>34</v>
      </c>
      <c r="F404" s="16">
        <v>45756</v>
      </c>
      <c r="G404" s="1" t="s">
        <v>1470</v>
      </c>
      <c r="H404" s="1" t="s">
        <v>1471</v>
      </c>
      <c r="I404" s="17" t="s">
        <v>1505</v>
      </c>
      <c r="J404" s="18" t="s">
        <v>23</v>
      </c>
      <c r="K404" s="19" t="s">
        <v>14</v>
      </c>
      <c r="L404" s="19" t="s">
        <v>29</v>
      </c>
      <c r="M404" s="20">
        <v>3</v>
      </c>
      <c r="N404" s="21">
        <v>84999</v>
      </c>
      <c r="O404" s="22">
        <v>12</v>
      </c>
      <c r="P404" s="23">
        <v>224397.36</v>
      </c>
      <c r="Q404" s="22">
        <v>4.5</v>
      </c>
      <c r="R404" s="22">
        <v>20</v>
      </c>
      <c r="S404" s="23">
        <f>(Table13[[#This Row],[Unit Price]]*Table13[[#This Row],[No.of Units]])*18%</f>
        <v>45899.46</v>
      </c>
      <c r="T404" s="22" t="s">
        <v>1508</v>
      </c>
    </row>
    <row r="405" spans="2:20" x14ac:dyDescent="0.3">
      <c r="B405" s="5" t="s">
        <v>406</v>
      </c>
      <c r="C405" s="1">
        <v>6016873</v>
      </c>
      <c r="D405" s="1">
        <v>49</v>
      </c>
      <c r="E405" s="1" t="s">
        <v>12</v>
      </c>
      <c r="F405" s="16">
        <v>45756</v>
      </c>
      <c r="G405" s="1" t="s">
        <v>1470</v>
      </c>
      <c r="H405" s="1" t="s">
        <v>1471</v>
      </c>
      <c r="I405" s="17" t="s">
        <v>1504</v>
      </c>
      <c r="J405" s="18" t="s">
        <v>25</v>
      </c>
      <c r="K405" s="19" t="s">
        <v>26</v>
      </c>
      <c r="L405" s="19" t="s">
        <v>29</v>
      </c>
      <c r="M405" s="20">
        <v>6</v>
      </c>
      <c r="N405" s="21">
        <v>69999</v>
      </c>
      <c r="O405" s="22">
        <v>8</v>
      </c>
      <c r="P405" s="23">
        <v>386394.48</v>
      </c>
      <c r="Q405" s="22">
        <v>4.8</v>
      </c>
      <c r="R405" s="22">
        <v>20</v>
      </c>
      <c r="S405" s="23">
        <f>(Table13[[#This Row],[Unit Price]]*Table13[[#This Row],[No.of Units]])*18%</f>
        <v>75598.92</v>
      </c>
      <c r="T405" s="22" t="s">
        <v>1508</v>
      </c>
    </row>
    <row r="406" spans="2:20" x14ac:dyDescent="0.3">
      <c r="B406" s="5" t="s">
        <v>407</v>
      </c>
      <c r="C406" s="1">
        <v>4515678</v>
      </c>
      <c r="D406" s="1">
        <v>46</v>
      </c>
      <c r="E406" s="1" t="s">
        <v>12</v>
      </c>
      <c r="F406" s="16">
        <v>45756</v>
      </c>
      <c r="G406" s="1" t="s">
        <v>1470</v>
      </c>
      <c r="H406" s="1" t="s">
        <v>1482</v>
      </c>
      <c r="I406" s="17" t="s">
        <v>1503</v>
      </c>
      <c r="J406" s="18" t="s">
        <v>28</v>
      </c>
      <c r="K406" s="19" t="s">
        <v>26</v>
      </c>
      <c r="L406" s="19" t="s">
        <v>29</v>
      </c>
      <c r="M406" s="20">
        <v>9</v>
      </c>
      <c r="N406" s="21">
        <v>42999</v>
      </c>
      <c r="O406" s="22">
        <v>15</v>
      </c>
      <c r="P406" s="23">
        <v>328942.34999999998</v>
      </c>
      <c r="Q406" s="22">
        <v>4.5999999999999996</v>
      </c>
      <c r="R406" s="22">
        <v>20</v>
      </c>
      <c r="S406" s="23">
        <f>(Table13[[#This Row],[Unit Price]]*Table13[[#This Row],[No.of Units]])*18%</f>
        <v>69658.38</v>
      </c>
      <c r="T406" s="22" t="s">
        <v>1508</v>
      </c>
    </row>
    <row r="407" spans="2:20" x14ac:dyDescent="0.3">
      <c r="B407" s="5" t="s">
        <v>408</v>
      </c>
      <c r="C407" s="1">
        <v>206214</v>
      </c>
      <c r="D407" s="1">
        <v>42</v>
      </c>
      <c r="E407" s="1" t="s">
        <v>12</v>
      </c>
      <c r="F407" s="16">
        <v>45756</v>
      </c>
      <c r="G407" s="1" t="s">
        <v>1470</v>
      </c>
      <c r="H407" s="1" t="s">
        <v>1483</v>
      </c>
      <c r="I407" s="17" t="s">
        <v>1502</v>
      </c>
      <c r="J407" s="18" t="s">
        <v>13</v>
      </c>
      <c r="K407" s="19" t="s">
        <v>14</v>
      </c>
      <c r="L407" s="19" t="s">
        <v>35</v>
      </c>
      <c r="M407" s="20">
        <v>5</v>
      </c>
      <c r="N407" s="21">
        <v>99999</v>
      </c>
      <c r="O407" s="22">
        <v>10</v>
      </c>
      <c r="P407" s="23">
        <v>449995.5</v>
      </c>
      <c r="Q407" s="22">
        <v>4.7</v>
      </c>
      <c r="R407" s="22">
        <v>20</v>
      </c>
      <c r="S407" s="23">
        <f>(Table13[[#This Row],[Unit Price]]*Table13[[#This Row],[No.of Units]])*18%</f>
        <v>89999.099999999991</v>
      </c>
      <c r="T407" s="22" t="s">
        <v>1507</v>
      </c>
    </row>
    <row r="408" spans="2:20" x14ac:dyDescent="0.3">
      <c r="B408" s="5" t="s">
        <v>409</v>
      </c>
      <c r="C408" s="1">
        <v>9158142</v>
      </c>
      <c r="D408" s="1">
        <v>23</v>
      </c>
      <c r="E408" s="1" t="s">
        <v>12</v>
      </c>
      <c r="F408" s="16">
        <v>45756</v>
      </c>
      <c r="G408" s="1" t="s">
        <v>1470</v>
      </c>
      <c r="H408" s="1" t="s">
        <v>1472</v>
      </c>
      <c r="I408" s="17" t="s">
        <v>1503</v>
      </c>
      <c r="J408" s="18" t="s">
        <v>17</v>
      </c>
      <c r="K408" s="19" t="s">
        <v>18</v>
      </c>
      <c r="L408" s="19" t="s">
        <v>35</v>
      </c>
      <c r="M408" s="20">
        <v>44</v>
      </c>
      <c r="N408" s="21">
        <v>4999</v>
      </c>
      <c r="O408" s="22">
        <v>18</v>
      </c>
      <c r="P408" s="23">
        <v>180363.91999999998</v>
      </c>
      <c r="Q408" s="22">
        <v>4.4000000000000004</v>
      </c>
      <c r="R408" s="22">
        <v>20</v>
      </c>
      <c r="S408" s="23">
        <f>(Table13[[#This Row],[Unit Price]]*Table13[[#This Row],[No.of Units]])*18%</f>
        <v>39592.080000000002</v>
      </c>
      <c r="T408" s="22" t="s">
        <v>1508</v>
      </c>
    </row>
    <row r="409" spans="2:20" x14ac:dyDescent="0.3">
      <c r="B409" s="5" t="s">
        <v>410</v>
      </c>
      <c r="C409" s="1">
        <v>6580211</v>
      </c>
      <c r="D409" s="1">
        <v>36</v>
      </c>
      <c r="E409" s="1" t="s">
        <v>12</v>
      </c>
      <c r="F409" s="16">
        <v>45756</v>
      </c>
      <c r="G409" s="1" t="s">
        <v>1470</v>
      </c>
      <c r="H409" s="1" t="s">
        <v>1472</v>
      </c>
      <c r="I409" s="17" t="s">
        <v>1504</v>
      </c>
      <c r="J409" s="18" t="s">
        <v>21</v>
      </c>
      <c r="K409" s="19" t="s">
        <v>18</v>
      </c>
      <c r="L409" s="19" t="s">
        <v>35</v>
      </c>
      <c r="M409" s="20">
        <v>6</v>
      </c>
      <c r="N409" s="21">
        <v>24900</v>
      </c>
      <c r="O409" s="22">
        <v>5</v>
      </c>
      <c r="P409" s="23">
        <v>141930</v>
      </c>
      <c r="Q409" s="22">
        <v>4.8</v>
      </c>
      <c r="R409" s="22">
        <v>20</v>
      </c>
      <c r="S409" s="23">
        <f>(Table13[[#This Row],[Unit Price]]*Table13[[#This Row],[No.of Units]])*18%</f>
        <v>26892</v>
      </c>
      <c r="T409" s="22" t="s">
        <v>1507</v>
      </c>
    </row>
    <row r="410" spans="2:20" x14ac:dyDescent="0.3">
      <c r="B410" s="5" t="s">
        <v>411</v>
      </c>
      <c r="C410" s="1">
        <v>8484605</v>
      </c>
      <c r="D410" s="1">
        <v>67</v>
      </c>
      <c r="E410" s="1" t="s">
        <v>20</v>
      </c>
      <c r="F410" s="16">
        <v>45756</v>
      </c>
      <c r="G410" s="1" t="s">
        <v>1470</v>
      </c>
      <c r="H410" s="1" t="s">
        <v>1483</v>
      </c>
      <c r="I410" s="17" t="s">
        <v>1505</v>
      </c>
      <c r="J410" s="18" t="s">
        <v>23</v>
      </c>
      <c r="K410" s="19" t="s">
        <v>14</v>
      </c>
      <c r="L410" s="19" t="s">
        <v>35</v>
      </c>
      <c r="M410" s="20">
        <v>4</v>
      </c>
      <c r="N410" s="21">
        <v>84999</v>
      </c>
      <c r="O410" s="22">
        <v>12</v>
      </c>
      <c r="P410" s="23">
        <v>299196.48</v>
      </c>
      <c r="Q410" s="22">
        <v>4.5</v>
      </c>
      <c r="R410" s="22">
        <v>20</v>
      </c>
      <c r="S410" s="23">
        <f>(Table13[[#This Row],[Unit Price]]*Table13[[#This Row],[No.of Units]])*18%</f>
        <v>61199.28</v>
      </c>
      <c r="T410" s="22" t="s">
        <v>1508</v>
      </c>
    </row>
    <row r="411" spans="2:20" x14ac:dyDescent="0.3">
      <c r="B411" s="5" t="s">
        <v>412</v>
      </c>
      <c r="C411" s="1">
        <v>7905996</v>
      </c>
      <c r="D411" s="1">
        <v>76</v>
      </c>
      <c r="E411" s="1" t="s">
        <v>20</v>
      </c>
      <c r="F411" s="16">
        <v>45756</v>
      </c>
      <c r="G411" s="1" t="s">
        <v>1470</v>
      </c>
      <c r="H411" s="1" t="s">
        <v>1480</v>
      </c>
      <c r="I411" s="17" t="s">
        <v>1504</v>
      </c>
      <c r="J411" s="18" t="s">
        <v>25</v>
      </c>
      <c r="K411" s="19" t="s">
        <v>26</v>
      </c>
      <c r="L411" s="19" t="s">
        <v>35</v>
      </c>
      <c r="M411" s="20">
        <v>2</v>
      </c>
      <c r="N411" s="21">
        <v>69999</v>
      </c>
      <c r="O411" s="22">
        <v>8</v>
      </c>
      <c r="P411" s="23">
        <v>128798.16</v>
      </c>
      <c r="Q411" s="22">
        <v>4.8</v>
      </c>
      <c r="R411" s="22">
        <v>20</v>
      </c>
      <c r="S411" s="23">
        <f>(Table13[[#This Row],[Unit Price]]*Table13[[#This Row],[No.of Units]])*18%</f>
        <v>25199.64</v>
      </c>
      <c r="T411" s="22" t="s">
        <v>1507</v>
      </c>
    </row>
    <row r="412" spans="2:20" x14ac:dyDescent="0.3">
      <c r="B412" s="5" t="s">
        <v>413</v>
      </c>
      <c r="C412" s="1">
        <v>3907505</v>
      </c>
      <c r="D412" s="1">
        <v>21</v>
      </c>
      <c r="E412" s="1" t="s">
        <v>12</v>
      </c>
      <c r="F412" s="16">
        <v>45756</v>
      </c>
      <c r="G412" s="1" t="s">
        <v>1470</v>
      </c>
      <c r="H412" s="1" t="s">
        <v>1482</v>
      </c>
      <c r="I412" s="17" t="s">
        <v>1503</v>
      </c>
      <c r="J412" s="18" t="s">
        <v>28</v>
      </c>
      <c r="K412" s="19" t="s">
        <v>26</v>
      </c>
      <c r="L412" s="19" t="s">
        <v>35</v>
      </c>
      <c r="M412" s="20">
        <v>6</v>
      </c>
      <c r="N412" s="21">
        <v>42999</v>
      </c>
      <c r="O412" s="22">
        <v>15</v>
      </c>
      <c r="P412" s="23">
        <v>219294.9</v>
      </c>
      <c r="Q412" s="22">
        <v>4.5999999999999996</v>
      </c>
      <c r="R412" s="22">
        <v>20</v>
      </c>
      <c r="S412" s="23">
        <f>(Table13[[#This Row],[Unit Price]]*Table13[[#This Row],[No.of Units]])*18%</f>
        <v>46438.92</v>
      </c>
      <c r="T412" s="22" t="s">
        <v>1508</v>
      </c>
    </row>
    <row r="413" spans="2:20" x14ac:dyDescent="0.3">
      <c r="B413" s="5" t="s">
        <v>413</v>
      </c>
      <c r="C413" s="1">
        <v>3907505</v>
      </c>
      <c r="D413" s="1">
        <v>76</v>
      </c>
      <c r="E413" s="1" t="s">
        <v>20</v>
      </c>
      <c r="F413" s="16">
        <v>45756</v>
      </c>
      <c r="G413" s="1" t="s">
        <v>1470</v>
      </c>
      <c r="H413" s="1" t="s">
        <v>1482</v>
      </c>
      <c r="I413" s="17" t="s">
        <v>1502</v>
      </c>
      <c r="J413" s="18" t="s">
        <v>13</v>
      </c>
      <c r="K413" s="19" t="s">
        <v>14</v>
      </c>
      <c r="L413" s="19" t="s">
        <v>42</v>
      </c>
      <c r="M413" s="20">
        <v>3</v>
      </c>
      <c r="N413" s="21">
        <v>99999</v>
      </c>
      <c r="O413" s="22">
        <v>10</v>
      </c>
      <c r="P413" s="23">
        <v>269997.3</v>
      </c>
      <c r="Q413" s="22">
        <v>4.7</v>
      </c>
      <c r="R413" s="22">
        <v>20</v>
      </c>
      <c r="S413" s="23">
        <f>(Table13[[#This Row],[Unit Price]]*Table13[[#This Row],[No.of Units]])*18%</f>
        <v>53999.46</v>
      </c>
      <c r="T413" s="22" t="s">
        <v>1508</v>
      </c>
    </row>
    <row r="414" spans="2:20" x14ac:dyDescent="0.3">
      <c r="B414" s="5" t="s">
        <v>414</v>
      </c>
      <c r="C414" s="1">
        <v>2722190</v>
      </c>
      <c r="D414" s="1">
        <v>31</v>
      </c>
      <c r="E414" s="1" t="s">
        <v>12</v>
      </c>
      <c r="F414" s="16">
        <v>45756</v>
      </c>
      <c r="G414" s="1" t="s">
        <v>1470</v>
      </c>
      <c r="H414" s="1" t="s">
        <v>1472</v>
      </c>
      <c r="I414" s="17" t="s">
        <v>1503</v>
      </c>
      <c r="J414" s="18" t="s">
        <v>17</v>
      </c>
      <c r="K414" s="19" t="s">
        <v>18</v>
      </c>
      <c r="L414" s="19" t="s">
        <v>42</v>
      </c>
      <c r="M414" s="20">
        <v>45</v>
      </c>
      <c r="N414" s="21">
        <v>4999</v>
      </c>
      <c r="O414" s="22">
        <v>18</v>
      </c>
      <c r="P414" s="23">
        <v>184463.1</v>
      </c>
      <c r="Q414" s="22">
        <v>4.4000000000000004</v>
      </c>
      <c r="R414" s="22">
        <v>20</v>
      </c>
      <c r="S414" s="23">
        <f>(Table13[[#This Row],[Unit Price]]*Table13[[#This Row],[No.of Units]])*18%</f>
        <v>40491.9</v>
      </c>
      <c r="T414" s="22" t="s">
        <v>1508</v>
      </c>
    </row>
    <row r="415" spans="2:20" x14ac:dyDescent="0.3">
      <c r="B415" s="5" t="s">
        <v>415</v>
      </c>
      <c r="C415" s="1">
        <v>418007</v>
      </c>
      <c r="D415" s="1">
        <v>27</v>
      </c>
      <c r="E415" s="1" t="s">
        <v>12</v>
      </c>
      <c r="F415" s="16">
        <v>45756</v>
      </c>
      <c r="G415" s="1" t="s">
        <v>1470</v>
      </c>
      <c r="H415" s="1" t="s">
        <v>1482</v>
      </c>
      <c r="I415" s="17" t="s">
        <v>1504</v>
      </c>
      <c r="J415" s="18" t="s">
        <v>21</v>
      </c>
      <c r="K415" s="19" t="s">
        <v>18</v>
      </c>
      <c r="L415" s="19" t="s">
        <v>42</v>
      </c>
      <c r="M415" s="20">
        <v>6</v>
      </c>
      <c r="N415" s="21">
        <v>24900</v>
      </c>
      <c r="O415" s="22">
        <v>5</v>
      </c>
      <c r="P415" s="23">
        <v>141930</v>
      </c>
      <c r="Q415" s="22">
        <v>4.8</v>
      </c>
      <c r="R415" s="22">
        <v>20</v>
      </c>
      <c r="S415" s="23">
        <f>(Table13[[#This Row],[Unit Price]]*Table13[[#This Row],[No.of Units]])*18%</f>
        <v>26892</v>
      </c>
      <c r="T415" s="22" t="s">
        <v>1508</v>
      </c>
    </row>
    <row r="416" spans="2:20" x14ac:dyDescent="0.3">
      <c r="B416" s="5" t="s">
        <v>416</v>
      </c>
      <c r="C416" s="1">
        <v>5462211</v>
      </c>
      <c r="D416" s="1">
        <v>19</v>
      </c>
      <c r="E416" s="1" t="s">
        <v>34</v>
      </c>
      <c r="F416" s="16">
        <v>45756</v>
      </c>
      <c r="G416" s="1" t="s">
        <v>1475</v>
      </c>
      <c r="H416" s="1" t="s">
        <v>1483</v>
      </c>
      <c r="I416" s="17" t="s">
        <v>1505</v>
      </c>
      <c r="J416" s="18" t="s">
        <v>23</v>
      </c>
      <c r="K416" s="19" t="s">
        <v>14</v>
      </c>
      <c r="L416" s="19" t="s">
        <v>42</v>
      </c>
      <c r="M416" s="20">
        <v>6</v>
      </c>
      <c r="N416" s="21">
        <v>84999</v>
      </c>
      <c r="O416" s="22">
        <v>12</v>
      </c>
      <c r="P416" s="23">
        <v>448794.72</v>
      </c>
      <c r="Q416" s="22">
        <v>4.5</v>
      </c>
      <c r="R416" s="22">
        <v>20</v>
      </c>
      <c r="S416" s="23">
        <f>(Table13[[#This Row],[Unit Price]]*Table13[[#This Row],[No.of Units]])*18%</f>
        <v>91798.92</v>
      </c>
      <c r="T416" s="22" t="s">
        <v>1508</v>
      </c>
    </row>
    <row r="417" spans="2:20" x14ac:dyDescent="0.3">
      <c r="B417" s="5" t="s">
        <v>417</v>
      </c>
      <c r="C417" s="1">
        <v>2928531</v>
      </c>
      <c r="D417" s="1">
        <v>43</v>
      </c>
      <c r="E417" s="1" t="s">
        <v>12</v>
      </c>
      <c r="F417" s="16">
        <v>45756</v>
      </c>
      <c r="G417" s="1" t="s">
        <v>1470</v>
      </c>
      <c r="H417" s="1" t="s">
        <v>1472</v>
      </c>
      <c r="I417" s="17" t="s">
        <v>1504</v>
      </c>
      <c r="J417" s="18" t="s">
        <v>25</v>
      </c>
      <c r="K417" s="19" t="s">
        <v>26</v>
      </c>
      <c r="L417" s="19" t="s">
        <v>42</v>
      </c>
      <c r="M417" s="20">
        <v>2</v>
      </c>
      <c r="N417" s="21">
        <v>69999</v>
      </c>
      <c r="O417" s="22">
        <v>8</v>
      </c>
      <c r="P417" s="23">
        <v>128798.16</v>
      </c>
      <c r="Q417" s="22">
        <v>4.8</v>
      </c>
      <c r="R417" s="22">
        <v>20</v>
      </c>
      <c r="S417" s="23">
        <f>(Table13[[#This Row],[Unit Price]]*Table13[[#This Row],[No.of Units]])*18%</f>
        <v>25199.64</v>
      </c>
      <c r="T417" s="22" t="s">
        <v>1507</v>
      </c>
    </row>
    <row r="418" spans="2:20" x14ac:dyDescent="0.3">
      <c r="B418" s="5" t="s">
        <v>418</v>
      </c>
      <c r="C418" s="1">
        <v>7292810</v>
      </c>
      <c r="D418" s="1">
        <v>36</v>
      </c>
      <c r="E418" s="1" t="s">
        <v>12</v>
      </c>
      <c r="F418" s="16">
        <v>45756</v>
      </c>
      <c r="G418" s="1" t="s">
        <v>1470</v>
      </c>
      <c r="H418" s="1" t="s">
        <v>1482</v>
      </c>
      <c r="I418" s="17" t="s">
        <v>1503</v>
      </c>
      <c r="J418" s="18" t="s">
        <v>28</v>
      </c>
      <c r="K418" s="19" t="s">
        <v>26</v>
      </c>
      <c r="L418" s="19" t="s">
        <v>42</v>
      </c>
      <c r="M418" s="20">
        <v>6</v>
      </c>
      <c r="N418" s="21">
        <v>42999</v>
      </c>
      <c r="O418" s="22">
        <v>15</v>
      </c>
      <c r="P418" s="23">
        <v>219294.9</v>
      </c>
      <c r="Q418" s="22">
        <v>4.5999999999999996</v>
      </c>
      <c r="R418" s="22">
        <v>20</v>
      </c>
      <c r="S418" s="23">
        <f>(Table13[[#This Row],[Unit Price]]*Table13[[#This Row],[No.of Units]])*18%</f>
        <v>46438.92</v>
      </c>
      <c r="T418" s="22" t="s">
        <v>1507</v>
      </c>
    </row>
    <row r="419" spans="2:20" x14ac:dyDescent="0.3">
      <c r="B419" s="5" t="s">
        <v>419</v>
      </c>
      <c r="C419" s="1">
        <v>9326035</v>
      </c>
      <c r="D419" s="1">
        <v>42</v>
      </c>
      <c r="E419" s="1" t="s">
        <v>12</v>
      </c>
      <c r="F419" s="16">
        <v>45756</v>
      </c>
      <c r="G419" s="1" t="s">
        <v>1475</v>
      </c>
      <c r="H419" s="1" t="s">
        <v>1483</v>
      </c>
      <c r="I419" s="17" t="s">
        <v>1502</v>
      </c>
      <c r="J419" s="18" t="s">
        <v>13</v>
      </c>
      <c r="K419" s="19" t="s">
        <v>14</v>
      </c>
      <c r="L419" s="19" t="s">
        <v>49</v>
      </c>
      <c r="M419" s="20">
        <v>4</v>
      </c>
      <c r="N419" s="21">
        <v>99999</v>
      </c>
      <c r="O419" s="22">
        <v>10</v>
      </c>
      <c r="P419" s="23">
        <v>359996.4</v>
      </c>
      <c r="Q419" s="22">
        <v>4.7</v>
      </c>
      <c r="R419" s="22">
        <v>20</v>
      </c>
      <c r="S419" s="23">
        <f>(Table13[[#This Row],[Unit Price]]*Table13[[#This Row],[No.of Units]])*18%</f>
        <v>71999.28</v>
      </c>
      <c r="T419" s="22" t="s">
        <v>1508</v>
      </c>
    </row>
    <row r="420" spans="2:20" x14ac:dyDescent="0.3">
      <c r="B420" s="5" t="s">
        <v>420</v>
      </c>
      <c r="C420" s="1">
        <v>6812698</v>
      </c>
      <c r="D420" s="1">
        <v>32</v>
      </c>
      <c r="E420" s="1" t="s">
        <v>12</v>
      </c>
      <c r="F420" s="16">
        <v>45756</v>
      </c>
      <c r="G420" s="1" t="s">
        <v>1470</v>
      </c>
      <c r="H420" s="1" t="s">
        <v>1471</v>
      </c>
      <c r="I420" s="17" t="s">
        <v>1503</v>
      </c>
      <c r="J420" s="18" t="s">
        <v>17</v>
      </c>
      <c r="K420" s="19" t="s">
        <v>18</v>
      </c>
      <c r="L420" s="19" t="s">
        <v>49</v>
      </c>
      <c r="M420" s="20">
        <v>37</v>
      </c>
      <c r="N420" s="21">
        <v>4999</v>
      </c>
      <c r="O420" s="22">
        <v>18</v>
      </c>
      <c r="P420" s="23">
        <v>151669.66</v>
      </c>
      <c r="Q420" s="22">
        <v>4.4000000000000004</v>
      </c>
      <c r="R420" s="22">
        <v>20</v>
      </c>
      <c r="S420" s="23">
        <f>(Table13[[#This Row],[Unit Price]]*Table13[[#This Row],[No.of Units]])*18%</f>
        <v>33293.339999999997</v>
      </c>
      <c r="T420" s="22" t="s">
        <v>1508</v>
      </c>
    </row>
    <row r="421" spans="2:20" x14ac:dyDescent="0.3">
      <c r="B421" s="5" t="s">
        <v>421</v>
      </c>
      <c r="C421" s="1">
        <v>7886687</v>
      </c>
      <c r="D421" s="1">
        <v>36</v>
      </c>
      <c r="E421" s="1" t="s">
        <v>12</v>
      </c>
      <c r="F421" s="16">
        <v>45756</v>
      </c>
      <c r="G421" s="1" t="s">
        <v>1470</v>
      </c>
      <c r="H421" s="1" t="s">
        <v>1483</v>
      </c>
      <c r="I421" s="17" t="s">
        <v>1504</v>
      </c>
      <c r="J421" s="18" t="s">
        <v>21</v>
      </c>
      <c r="K421" s="19" t="s">
        <v>18</v>
      </c>
      <c r="L421" s="19" t="s">
        <v>49</v>
      </c>
      <c r="M421" s="20">
        <v>8</v>
      </c>
      <c r="N421" s="21">
        <v>24900</v>
      </c>
      <c r="O421" s="22">
        <v>5</v>
      </c>
      <c r="P421" s="23">
        <v>189240</v>
      </c>
      <c r="Q421" s="22">
        <v>4.8</v>
      </c>
      <c r="R421" s="22">
        <v>20</v>
      </c>
      <c r="S421" s="23">
        <f>(Table13[[#This Row],[Unit Price]]*Table13[[#This Row],[No.of Units]])*18%</f>
        <v>35856</v>
      </c>
      <c r="T421" s="22" t="s">
        <v>1508</v>
      </c>
    </row>
    <row r="422" spans="2:20" x14ac:dyDescent="0.3">
      <c r="B422" s="5" t="s">
        <v>421</v>
      </c>
      <c r="C422" s="1">
        <v>7886687</v>
      </c>
      <c r="D422" s="1">
        <v>31</v>
      </c>
      <c r="E422" s="1" t="s">
        <v>12</v>
      </c>
      <c r="F422" s="16">
        <v>45756</v>
      </c>
      <c r="G422" s="1" t="s">
        <v>1470</v>
      </c>
      <c r="H422" s="1" t="s">
        <v>1472</v>
      </c>
      <c r="I422" s="17" t="s">
        <v>1505</v>
      </c>
      <c r="J422" s="18" t="s">
        <v>23</v>
      </c>
      <c r="K422" s="19" t="s">
        <v>14</v>
      </c>
      <c r="L422" s="19" t="s">
        <v>49</v>
      </c>
      <c r="M422" s="20">
        <v>5</v>
      </c>
      <c r="N422" s="21">
        <v>84999</v>
      </c>
      <c r="O422" s="22">
        <v>12</v>
      </c>
      <c r="P422" s="23">
        <v>373995.6</v>
      </c>
      <c r="Q422" s="22">
        <v>4.5</v>
      </c>
      <c r="R422" s="22">
        <v>20</v>
      </c>
      <c r="S422" s="23">
        <f>(Table13[[#This Row],[Unit Price]]*Table13[[#This Row],[No.of Units]])*18%</f>
        <v>76499.099999999991</v>
      </c>
      <c r="T422" s="22" t="s">
        <v>1507</v>
      </c>
    </row>
    <row r="423" spans="2:20" x14ac:dyDescent="0.3">
      <c r="B423" s="5" t="s">
        <v>421</v>
      </c>
      <c r="C423" s="1">
        <v>7886687</v>
      </c>
      <c r="D423" s="1">
        <v>26</v>
      </c>
      <c r="E423" s="1" t="s">
        <v>12</v>
      </c>
      <c r="F423" s="16">
        <v>45756</v>
      </c>
      <c r="G423" s="1" t="s">
        <v>1470</v>
      </c>
      <c r="H423" s="1" t="s">
        <v>1483</v>
      </c>
      <c r="I423" s="17" t="s">
        <v>1504</v>
      </c>
      <c r="J423" s="18" t="s">
        <v>25</v>
      </c>
      <c r="K423" s="19" t="s">
        <v>26</v>
      </c>
      <c r="L423" s="19" t="s">
        <v>49</v>
      </c>
      <c r="M423" s="20">
        <v>2</v>
      </c>
      <c r="N423" s="21">
        <v>69999</v>
      </c>
      <c r="O423" s="22">
        <v>8</v>
      </c>
      <c r="P423" s="23">
        <v>128798.16</v>
      </c>
      <c r="Q423" s="22">
        <v>4.8</v>
      </c>
      <c r="R423" s="22">
        <v>20</v>
      </c>
      <c r="S423" s="23">
        <f>(Table13[[#This Row],[Unit Price]]*Table13[[#This Row],[No.of Units]])*18%</f>
        <v>25199.64</v>
      </c>
      <c r="T423" s="22" t="s">
        <v>1508</v>
      </c>
    </row>
    <row r="424" spans="2:20" x14ac:dyDescent="0.3">
      <c r="B424" s="5" t="s">
        <v>422</v>
      </c>
      <c r="C424" s="1">
        <v>3456962</v>
      </c>
      <c r="D424" s="1">
        <v>22</v>
      </c>
      <c r="E424" s="1" t="s">
        <v>12</v>
      </c>
      <c r="F424" s="16">
        <v>45756</v>
      </c>
      <c r="G424" s="1" t="s">
        <v>1470</v>
      </c>
      <c r="H424" s="1" t="s">
        <v>1480</v>
      </c>
      <c r="I424" s="17" t="s">
        <v>1503</v>
      </c>
      <c r="J424" s="18" t="s">
        <v>28</v>
      </c>
      <c r="K424" s="19" t="s">
        <v>26</v>
      </c>
      <c r="L424" s="19" t="s">
        <v>49</v>
      </c>
      <c r="M424" s="20">
        <v>8</v>
      </c>
      <c r="N424" s="21">
        <v>42999</v>
      </c>
      <c r="O424" s="22">
        <v>15</v>
      </c>
      <c r="P424" s="23">
        <v>292393.2</v>
      </c>
      <c r="Q424" s="22">
        <v>4.5999999999999996</v>
      </c>
      <c r="R424" s="22">
        <v>20</v>
      </c>
      <c r="S424" s="23">
        <f>(Table13[[#This Row],[Unit Price]]*Table13[[#This Row],[No.of Units]])*18%</f>
        <v>61918.559999999998</v>
      </c>
      <c r="T424" s="22" t="s">
        <v>1508</v>
      </c>
    </row>
    <row r="425" spans="2:20" x14ac:dyDescent="0.3">
      <c r="B425" s="5" t="s">
        <v>423</v>
      </c>
      <c r="C425" s="1">
        <v>411709</v>
      </c>
      <c r="D425" s="1">
        <v>34</v>
      </c>
      <c r="E425" s="1" t="s">
        <v>12</v>
      </c>
      <c r="F425" s="16">
        <v>45763</v>
      </c>
      <c r="G425" s="1" t="s">
        <v>1470</v>
      </c>
      <c r="H425" s="1" t="s">
        <v>1482</v>
      </c>
      <c r="I425" s="17" t="s">
        <v>1502</v>
      </c>
      <c r="J425" s="18" t="s">
        <v>13</v>
      </c>
      <c r="K425" s="19" t="s">
        <v>14</v>
      </c>
      <c r="L425" s="19" t="s">
        <v>15</v>
      </c>
      <c r="M425" s="20">
        <v>3</v>
      </c>
      <c r="N425" s="21">
        <v>99999</v>
      </c>
      <c r="O425" s="22">
        <v>10</v>
      </c>
      <c r="P425" s="23">
        <v>269997.3</v>
      </c>
      <c r="Q425" s="22">
        <v>4.7</v>
      </c>
      <c r="R425" s="22">
        <v>20</v>
      </c>
      <c r="S425" s="23">
        <f>(Table13[[#This Row],[Unit Price]]*Table13[[#This Row],[No.of Units]])*18%</f>
        <v>53999.46</v>
      </c>
      <c r="T425" s="22" t="s">
        <v>1508</v>
      </c>
    </row>
    <row r="426" spans="2:20" x14ac:dyDescent="0.3">
      <c r="B426" s="5" t="s">
        <v>424</v>
      </c>
      <c r="C426" s="1">
        <v>1344787</v>
      </c>
      <c r="D426" s="1">
        <v>51</v>
      </c>
      <c r="E426" s="1" t="s">
        <v>20</v>
      </c>
      <c r="F426" s="16">
        <v>45763</v>
      </c>
      <c r="G426" s="1" t="s">
        <v>1470</v>
      </c>
      <c r="H426" s="1" t="s">
        <v>1471</v>
      </c>
      <c r="I426" s="17" t="s">
        <v>1503</v>
      </c>
      <c r="J426" s="18" t="s">
        <v>17</v>
      </c>
      <c r="K426" s="19" t="s">
        <v>18</v>
      </c>
      <c r="L426" s="19" t="s">
        <v>15</v>
      </c>
      <c r="M426" s="20">
        <v>48</v>
      </c>
      <c r="N426" s="21">
        <v>4999</v>
      </c>
      <c r="O426" s="22">
        <v>18</v>
      </c>
      <c r="P426" s="23">
        <v>196760.64</v>
      </c>
      <c r="Q426" s="22">
        <v>4.4000000000000004</v>
      </c>
      <c r="R426" s="22">
        <v>20</v>
      </c>
      <c r="S426" s="23">
        <f>(Table13[[#This Row],[Unit Price]]*Table13[[#This Row],[No.of Units]])*18%</f>
        <v>43191.360000000001</v>
      </c>
      <c r="T426" s="22" t="s">
        <v>1508</v>
      </c>
    </row>
    <row r="427" spans="2:20" x14ac:dyDescent="0.3">
      <c r="B427" s="5" t="s">
        <v>425</v>
      </c>
      <c r="C427" s="1">
        <v>2659259</v>
      </c>
      <c r="D427" s="1">
        <v>58</v>
      </c>
      <c r="E427" s="1" t="s">
        <v>20</v>
      </c>
      <c r="F427" s="16">
        <v>45763</v>
      </c>
      <c r="G427" s="1" t="s">
        <v>1470</v>
      </c>
      <c r="H427" s="1" t="s">
        <v>1481</v>
      </c>
      <c r="I427" s="17" t="s">
        <v>1504</v>
      </c>
      <c r="J427" s="18" t="s">
        <v>21</v>
      </c>
      <c r="K427" s="19" t="s">
        <v>18</v>
      </c>
      <c r="L427" s="19" t="s">
        <v>15</v>
      </c>
      <c r="M427" s="20">
        <v>5</v>
      </c>
      <c r="N427" s="21">
        <v>24900</v>
      </c>
      <c r="O427" s="22">
        <v>5</v>
      </c>
      <c r="P427" s="23">
        <v>118275</v>
      </c>
      <c r="Q427" s="22">
        <v>4.8</v>
      </c>
      <c r="R427" s="22">
        <v>20</v>
      </c>
      <c r="S427" s="23">
        <f>(Table13[[#This Row],[Unit Price]]*Table13[[#This Row],[No.of Units]])*18%</f>
        <v>22410</v>
      </c>
      <c r="T427" s="22" t="s">
        <v>1507</v>
      </c>
    </row>
    <row r="428" spans="2:20" x14ac:dyDescent="0.3">
      <c r="B428" s="5" t="s">
        <v>425</v>
      </c>
      <c r="C428" s="1">
        <v>2659259</v>
      </c>
      <c r="D428" s="1">
        <v>21</v>
      </c>
      <c r="E428" s="1" t="s">
        <v>12</v>
      </c>
      <c r="F428" s="16">
        <v>45763</v>
      </c>
      <c r="G428" s="1" t="s">
        <v>1470</v>
      </c>
      <c r="H428" s="1" t="s">
        <v>1482</v>
      </c>
      <c r="I428" s="17" t="s">
        <v>1505</v>
      </c>
      <c r="J428" s="18" t="s">
        <v>23</v>
      </c>
      <c r="K428" s="19" t="s">
        <v>14</v>
      </c>
      <c r="L428" s="19" t="s">
        <v>15</v>
      </c>
      <c r="M428" s="20">
        <v>2</v>
      </c>
      <c r="N428" s="21">
        <v>84999</v>
      </c>
      <c r="O428" s="22">
        <v>12</v>
      </c>
      <c r="P428" s="23">
        <v>149598.24</v>
      </c>
      <c r="Q428" s="22">
        <v>4.5</v>
      </c>
      <c r="R428" s="22">
        <v>20</v>
      </c>
      <c r="S428" s="23">
        <f>(Table13[[#This Row],[Unit Price]]*Table13[[#This Row],[No.of Units]])*18%</f>
        <v>30599.64</v>
      </c>
      <c r="T428" s="22" t="s">
        <v>1508</v>
      </c>
    </row>
    <row r="429" spans="2:20" x14ac:dyDescent="0.3">
      <c r="B429" s="5" t="s">
        <v>426</v>
      </c>
      <c r="C429" s="1">
        <v>305106</v>
      </c>
      <c r="D429" s="1">
        <v>43</v>
      </c>
      <c r="E429" s="1" t="s">
        <v>12</v>
      </c>
      <c r="F429" s="16">
        <v>45763</v>
      </c>
      <c r="G429" s="1" t="s">
        <v>1470</v>
      </c>
      <c r="H429" s="1" t="s">
        <v>1482</v>
      </c>
      <c r="I429" s="17" t="s">
        <v>1504</v>
      </c>
      <c r="J429" s="18" t="s">
        <v>25</v>
      </c>
      <c r="K429" s="19" t="s">
        <v>26</v>
      </c>
      <c r="L429" s="19" t="s">
        <v>15</v>
      </c>
      <c r="M429" s="20">
        <v>3</v>
      </c>
      <c r="N429" s="21">
        <v>69999</v>
      </c>
      <c r="O429" s="22">
        <v>8</v>
      </c>
      <c r="P429" s="23">
        <v>193197.24</v>
      </c>
      <c r="Q429" s="22">
        <v>4.8</v>
      </c>
      <c r="R429" s="22">
        <v>20</v>
      </c>
      <c r="S429" s="23">
        <f>(Table13[[#This Row],[Unit Price]]*Table13[[#This Row],[No.of Units]])*18%</f>
        <v>37799.46</v>
      </c>
      <c r="T429" s="22" t="s">
        <v>1507</v>
      </c>
    </row>
    <row r="430" spans="2:20" x14ac:dyDescent="0.3">
      <c r="B430" s="5" t="s">
        <v>427</v>
      </c>
      <c r="C430" s="1">
        <v>5678500</v>
      </c>
      <c r="D430" s="1">
        <v>42</v>
      </c>
      <c r="E430" s="1" t="s">
        <v>12</v>
      </c>
      <c r="F430" s="16">
        <v>45763</v>
      </c>
      <c r="G430" s="1" t="s">
        <v>1470</v>
      </c>
      <c r="H430" s="1" t="s">
        <v>1483</v>
      </c>
      <c r="I430" s="17" t="s">
        <v>1503</v>
      </c>
      <c r="J430" s="18" t="s">
        <v>28</v>
      </c>
      <c r="K430" s="19" t="s">
        <v>26</v>
      </c>
      <c r="L430" s="19" t="s">
        <v>15</v>
      </c>
      <c r="M430" s="20">
        <v>8</v>
      </c>
      <c r="N430" s="21">
        <v>42999</v>
      </c>
      <c r="O430" s="22">
        <v>15</v>
      </c>
      <c r="P430" s="23">
        <v>292393.2</v>
      </c>
      <c r="Q430" s="22">
        <v>4.5999999999999996</v>
      </c>
      <c r="R430" s="22">
        <v>20</v>
      </c>
      <c r="S430" s="23">
        <f>(Table13[[#This Row],[Unit Price]]*Table13[[#This Row],[No.of Units]])*18%</f>
        <v>61918.559999999998</v>
      </c>
      <c r="T430" s="22" t="s">
        <v>1507</v>
      </c>
    </row>
    <row r="431" spans="2:20" x14ac:dyDescent="0.3">
      <c r="B431" s="5" t="s">
        <v>428</v>
      </c>
      <c r="C431" s="1">
        <v>3697381</v>
      </c>
      <c r="D431" s="1">
        <v>43</v>
      </c>
      <c r="E431" s="1" t="s">
        <v>12</v>
      </c>
      <c r="F431" s="16">
        <v>45763</v>
      </c>
      <c r="G431" s="1" t="s">
        <v>1475</v>
      </c>
      <c r="H431" s="1" t="s">
        <v>1482</v>
      </c>
      <c r="I431" s="17" t="s">
        <v>1502</v>
      </c>
      <c r="J431" s="18" t="s">
        <v>13</v>
      </c>
      <c r="K431" s="19" t="s">
        <v>14</v>
      </c>
      <c r="L431" s="19" t="s">
        <v>29</v>
      </c>
      <c r="M431" s="20">
        <v>5</v>
      </c>
      <c r="N431" s="21">
        <v>99999</v>
      </c>
      <c r="O431" s="22">
        <v>10</v>
      </c>
      <c r="P431" s="23">
        <v>449995.5</v>
      </c>
      <c r="Q431" s="22">
        <v>4.7</v>
      </c>
      <c r="R431" s="22">
        <v>20</v>
      </c>
      <c r="S431" s="23">
        <f>(Table13[[#This Row],[Unit Price]]*Table13[[#This Row],[No.of Units]])*18%</f>
        <v>89999.099999999991</v>
      </c>
      <c r="T431" s="22" t="s">
        <v>1507</v>
      </c>
    </row>
    <row r="432" spans="2:20" x14ac:dyDescent="0.3">
      <c r="B432" s="5" t="s">
        <v>429</v>
      </c>
      <c r="C432" s="1">
        <v>8129717</v>
      </c>
      <c r="D432" s="1">
        <v>48</v>
      </c>
      <c r="E432" s="1" t="s">
        <v>12</v>
      </c>
      <c r="F432" s="16">
        <v>45763</v>
      </c>
      <c r="G432" s="1" t="s">
        <v>1470</v>
      </c>
      <c r="H432" s="1" t="s">
        <v>1472</v>
      </c>
      <c r="I432" s="17" t="s">
        <v>1503</v>
      </c>
      <c r="J432" s="18" t="s">
        <v>17</v>
      </c>
      <c r="K432" s="19" t="s">
        <v>18</v>
      </c>
      <c r="L432" s="19" t="s">
        <v>29</v>
      </c>
      <c r="M432" s="20">
        <v>33</v>
      </c>
      <c r="N432" s="21">
        <v>4999</v>
      </c>
      <c r="O432" s="22">
        <v>18</v>
      </c>
      <c r="P432" s="23">
        <v>135272.94</v>
      </c>
      <c r="Q432" s="22">
        <v>4.4000000000000004</v>
      </c>
      <c r="R432" s="22">
        <v>20</v>
      </c>
      <c r="S432" s="23">
        <f>(Table13[[#This Row],[Unit Price]]*Table13[[#This Row],[No.of Units]])*18%</f>
        <v>29694.059999999998</v>
      </c>
      <c r="T432" s="22" t="s">
        <v>1508</v>
      </c>
    </row>
    <row r="433" spans="2:20" x14ac:dyDescent="0.3">
      <c r="B433" s="5" t="s">
        <v>430</v>
      </c>
      <c r="C433" s="1">
        <v>3833087</v>
      </c>
      <c r="D433" s="1">
        <v>60</v>
      </c>
      <c r="E433" s="1" t="s">
        <v>20</v>
      </c>
      <c r="F433" s="16">
        <v>45763</v>
      </c>
      <c r="G433" s="1" t="s">
        <v>1470</v>
      </c>
      <c r="H433" s="1" t="s">
        <v>1471</v>
      </c>
      <c r="I433" s="17" t="s">
        <v>1504</v>
      </c>
      <c r="J433" s="18" t="s">
        <v>21</v>
      </c>
      <c r="K433" s="19" t="s">
        <v>18</v>
      </c>
      <c r="L433" s="19" t="s">
        <v>29</v>
      </c>
      <c r="M433" s="20">
        <v>12</v>
      </c>
      <c r="N433" s="21">
        <v>24900</v>
      </c>
      <c r="O433" s="22">
        <v>5</v>
      </c>
      <c r="P433" s="23">
        <v>283860</v>
      </c>
      <c r="Q433" s="22">
        <v>4.8</v>
      </c>
      <c r="R433" s="22">
        <v>20</v>
      </c>
      <c r="S433" s="23">
        <f>(Table13[[#This Row],[Unit Price]]*Table13[[#This Row],[No.of Units]])*18%</f>
        <v>53784</v>
      </c>
      <c r="T433" s="22" t="s">
        <v>1508</v>
      </c>
    </row>
    <row r="434" spans="2:20" x14ac:dyDescent="0.3">
      <c r="B434" s="5" t="s">
        <v>431</v>
      </c>
      <c r="C434" s="1">
        <v>1274138</v>
      </c>
      <c r="D434" s="1">
        <v>74</v>
      </c>
      <c r="E434" s="1" t="s">
        <v>20</v>
      </c>
      <c r="F434" s="16">
        <v>45763</v>
      </c>
      <c r="G434" s="1" t="s">
        <v>1470</v>
      </c>
      <c r="H434" s="1" t="s">
        <v>1482</v>
      </c>
      <c r="I434" s="17" t="s">
        <v>1505</v>
      </c>
      <c r="J434" s="18" t="s">
        <v>23</v>
      </c>
      <c r="K434" s="19" t="s">
        <v>14</v>
      </c>
      <c r="L434" s="19" t="s">
        <v>29</v>
      </c>
      <c r="M434" s="20">
        <v>2</v>
      </c>
      <c r="N434" s="21">
        <v>84999</v>
      </c>
      <c r="O434" s="22">
        <v>12</v>
      </c>
      <c r="P434" s="23">
        <v>149598.24</v>
      </c>
      <c r="Q434" s="22">
        <v>4.5</v>
      </c>
      <c r="R434" s="22">
        <v>20</v>
      </c>
      <c r="S434" s="23">
        <f>(Table13[[#This Row],[Unit Price]]*Table13[[#This Row],[No.of Units]])*18%</f>
        <v>30599.64</v>
      </c>
      <c r="T434" s="22" t="s">
        <v>1508</v>
      </c>
    </row>
    <row r="435" spans="2:20" x14ac:dyDescent="0.3">
      <c r="B435" s="5" t="s">
        <v>432</v>
      </c>
      <c r="C435" s="1">
        <v>9198525</v>
      </c>
      <c r="D435" s="1">
        <v>26</v>
      </c>
      <c r="E435" s="1" t="s">
        <v>12</v>
      </c>
      <c r="F435" s="16">
        <v>45763</v>
      </c>
      <c r="G435" s="1" t="s">
        <v>1470</v>
      </c>
      <c r="H435" s="1" t="s">
        <v>1472</v>
      </c>
      <c r="I435" s="17" t="s">
        <v>1504</v>
      </c>
      <c r="J435" s="18" t="s">
        <v>25</v>
      </c>
      <c r="K435" s="19" t="s">
        <v>26</v>
      </c>
      <c r="L435" s="19" t="s">
        <v>29</v>
      </c>
      <c r="M435" s="20">
        <v>6</v>
      </c>
      <c r="N435" s="21">
        <v>69999</v>
      </c>
      <c r="O435" s="22">
        <v>8</v>
      </c>
      <c r="P435" s="23">
        <v>386394.48</v>
      </c>
      <c r="Q435" s="22">
        <v>4.8</v>
      </c>
      <c r="R435" s="22">
        <v>20</v>
      </c>
      <c r="S435" s="23">
        <f>(Table13[[#This Row],[Unit Price]]*Table13[[#This Row],[No.of Units]])*18%</f>
        <v>75598.92</v>
      </c>
      <c r="T435" s="22" t="s">
        <v>1508</v>
      </c>
    </row>
    <row r="436" spans="2:20" x14ac:dyDescent="0.3">
      <c r="B436" s="5" t="s">
        <v>433</v>
      </c>
      <c r="C436" s="1">
        <v>7457952</v>
      </c>
      <c r="D436" s="1">
        <v>39</v>
      </c>
      <c r="E436" s="1" t="s">
        <v>12</v>
      </c>
      <c r="F436" s="16">
        <v>45763</v>
      </c>
      <c r="G436" s="1" t="s">
        <v>1470</v>
      </c>
      <c r="H436" s="1" t="s">
        <v>1471</v>
      </c>
      <c r="I436" s="17" t="s">
        <v>1503</v>
      </c>
      <c r="J436" s="18" t="s">
        <v>28</v>
      </c>
      <c r="K436" s="19" t="s">
        <v>26</v>
      </c>
      <c r="L436" s="19" t="s">
        <v>29</v>
      </c>
      <c r="M436" s="20">
        <v>6</v>
      </c>
      <c r="N436" s="21">
        <v>42999</v>
      </c>
      <c r="O436" s="22">
        <v>15</v>
      </c>
      <c r="P436" s="23">
        <v>219294.9</v>
      </c>
      <c r="Q436" s="22">
        <v>4.5999999999999996</v>
      </c>
      <c r="R436" s="22">
        <v>20</v>
      </c>
      <c r="S436" s="23">
        <f>(Table13[[#This Row],[Unit Price]]*Table13[[#This Row],[No.of Units]])*18%</f>
        <v>46438.92</v>
      </c>
      <c r="T436" s="22" t="s">
        <v>1508</v>
      </c>
    </row>
    <row r="437" spans="2:20" x14ac:dyDescent="0.3">
      <c r="B437" s="5" t="s">
        <v>434</v>
      </c>
      <c r="C437" s="1">
        <v>7699990</v>
      </c>
      <c r="D437" s="1">
        <v>41</v>
      </c>
      <c r="E437" s="1" t="s">
        <v>12</v>
      </c>
      <c r="F437" s="16">
        <v>45763</v>
      </c>
      <c r="G437" s="1" t="s">
        <v>1470</v>
      </c>
      <c r="H437" s="1" t="s">
        <v>1471</v>
      </c>
      <c r="I437" s="17" t="s">
        <v>1502</v>
      </c>
      <c r="J437" s="18" t="s">
        <v>13</v>
      </c>
      <c r="K437" s="19" t="s">
        <v>14</v>
      </c>
      <c r="L437" s="19" t="s">
        <v>35</v>
      </c>
      <c r="M437" s="20">
        <v>3</v>
      </c>
      <c r="N437" s="21">
        <v>99999</v>
      </c>
      <c r="O437" s="22">
        <v>10</v>
      </c>
      <c r="P437" s="23">
        <v>269997.3</v>
      </c>
      <c r="Q437" s="22">
        <v>4.7</v>
      </c>
      <c r="R437" s="22">
        <v>20</v>
      </c>
      <c r="S437" s="23">
        <f>(Table13[[#This Row],[Unit Price]]*Table13[[#This Row],[No.of Units]])*18%</f>
        <v>53999.46</v>
      </c>
      <c r="T437" s="22" t="s">
        <v>1508</v>
      </c>
    </row>
    <row r="438" spans="2:20" x14ac:dyDescent="0.3">
      <c r="B438" s="5" t="s">
        <v>435</v>
      </c>
      <c r="C438" s="1">
        <v>6424721</v>
      </c>
      <c r="D438" s="1">
        <v>77</v>
      </c>
      <c r="E438" s="1" t="s">
        <v>20</v>
      </c>
      <c r="F438" s="16">
        <v>45763</v>
      </c>
      <c r="G438" s="1" t="s">
        <v>1470</v>
      </c>
      <c r="H438" s="1" t="s">
        <v>1482</v>
      </c>
      <c r="I438" s="17" t="s">
        <v>1503</v>
      </c>
      <c r="J438" s="18" t="s">
        <v>17</v>
      </c>
      <c r="K438" s="19" t="s">
        <v>18</v>
      </c>
      <c r="L438" s="19" t="s">
        <v>35</v>
      </c>
      <c r="M438" s="20">
        <v>60</v>
      </c>
      <c r="N438" s="21">
        <v>4999</v>
      </c>
      <c r="O438" s="22">
        <v>18</v>
      </c>
      <c r="P438" s="23">
        <v>245950.8</v>
      </c>
      <c r="Q438" s="22">
        <v>4.4000000000000004</v>
      </c>
      <c r="R438" s="22">
        <v>20</v>
      </c>
      <c r="S438" s="23">
        <f>(Table13[[#This Row],[Unit Price]]*Table13[[#This Row],[No.of Units]])*18%</f>
        <v>53989.2</v>
      </c>
      <c r="T438" s="22" t="s">
        <v>1508</v>
      </c>
    </row>
    <row r="439" spans="2:20" x14ac:dyDescent="0.3">
      <c r="B439" s="5" t="s">
        <v>436</v>
      </c>
      <c r="C439" s="1">
        <v>2944289</v>
      </c>
      <c r="D439" s="1">
        <v>19</v>
      </c>
      <c r="E439" s="1" t="s">
        <v>34</v>
      </c>
      <c r="F439" s="16">
        <v>45763</v>
      </c>
      <c r="G439" s="1" t="s">
        <v>1470</v>
      </c>
      <c r="H439" s="1" t="s">
        <v>1472</v>
      </c>
      <c r="I439" s="17" t="s">
        <v>1504</v>
      </c>
      <c r="J439" s="18" t="s">
        <v>21</v>
      </c>
      <c r="K439" s="19" t="s">
        <v>18</v>
      </c>
      <c r="L439" s="19" t="s">
        <v>35</v>
      </c>
      <c r="M439" s="20">
        <v>9</v>
      </c>
      <c r="N439" s="21">
        <v>24900</v>
      </c>
      <c r="O439" s="22">
        <v>5</v>
      </c>
      <c r="P439" s="23">
        <v>212895</v>
      </c>
      <c r="Q439" s="22">
        <v>4.8</v>
      </c>
      <c r="R439" s="22">
        <v>20</v>
      </c>
      <c r="S439" s="23">
        <f>(Table13[[#This Row],[Unit Price]]*Table13[[#This Row],[No.of Units]])*18%</f>
        <v>40338</v>
      </c>
      <c r="T439" s="22" t="s">
        <v>1508</v>
      </c>
    </row>
    <row r="440" spans="2:20" x14ac:dyDescent="0.3">
      <c r="B440" s="5" t="s">
        <v>437</v>
      </c>
      <c r="C440" s="1">
        <v>2792923</v>
      </c>
      <c r="D440" s="1">
        <v>24</v>
      </c>
      <c r="E440" s="1" t="s">
        <v>12</v>
      </c>
      <c r="F440" s="16">
        <v>45763</v>
      </c>
      <c r="G440" s="1" t="s">
        <v>1470</v>
      </c>
      <c r="H440" s="1" t="s">
        <v>1482</v>
      </c>
      <c r="I440" s="17" t="s">
        <v>1505</v>
      </c>
      <c r="J440" s="18" t="s">
        <v>23</v>
      </c>
      <c r="K440" s="19" t="s">
        <v>14</v>
      </c>
      <c r="L440" s="19" t="s">
        <v>35</v>
      </c>
      <c r="M440" s="20">
        <v>6</v>
      </c>
      <c r="N440" s="21">
        <v>84999</v>
      </c>
      <c r="O440" s="22">
        <v>12</v>
      </c>
      <c r="P440" s="23">
        <v>448794.72</v>
      </c>
      <c r="Q440" s="22">
        <v>4.5</v>
      </c>
      <c r="R440" s="22">
        <v>20</v>
      </c>
      <c r="S440" s="23">
        <f>(Table13[[#This Row],[Unit Price]]*Table13[[#This Row],[No.of Units]])*18%</f>
        <v>91798.92</v>
      </c>
      <c r="T440" s="22" t="s">
        <v>1508</v>
      </c>
    </row>
    <row r="441" spans="2:20" x14ac:dyDescent="0.3">
      <c r="B441" s="5" t="s">
        <v>438</v>
      </c>
      <c r="C441" s="1">
        <v>3320475</v>
      </c>
      <c r="D441" s="1">
        <v>39</v>
      </c>
      <c r="E441" s="1" t="s">
        <v>12</v>
      </c>
      <c r="F441" s="16">
        <v>45763</v>
      </c>
      <c r="G441" s="1" t="s">
        <v>1470</v>
      </c>
      <c r="H441" s="1" t="s">
        <v>1471</v>
      </c>
      <c r="I441" s="17" t="s">
        <v>1504</v>
      </c>
      <c r="J441" s="18" t="s">
        <v>25</v>
      </c>
      <c r="K441" s="19" t="s">
        <v>26</v>
      </c>
      <c r="L441" s="19" t="s">
        <v>35</v>
      </c>
      <c r="M441" s="20">
        <v>3</v>
      </c>
      <c r="N441" s="21">
        <v>69999</v>
      </c>
      <c r="O441" s="22">
        <v>8</v>
      </c>
      <c r="P441" s="23">
        <v>193197.24</v>
      </c>
      <c r="Q441" s="22">
        <v>4.8</v>
      </c>
      <c r="R441" s="22">
        <v>20</v>
      </c>
      <c r="S441" s="23">
        <f>(Table13[[#This Row],[Unit Price]]*Table13[[#This Row],[No.of Units]])*18%</f>
        <v>37799.46</v>
      </c>
      <c r="T441" s="22" t="s">
        <v>1508</v>
      </c>
    </row>
    <row r="442" spans="2:20" x14ac:dyDescent="0.3">
      <c r="B442" s="5" t="s">
        <v>439</v>
      </c>
      <c r="C442" s="1">
        <v>8953982</v>
      </c>
      <c r="D442" s="1">
        <v>31</v>
      </c>
      <c r="E442" s="1" t="s">
        <v>12</v>
      </c>
      <c r="F442" s="16">
        <v>45763</v>
      </c>
      <c r="G442" s="1" t="s">
        <v>1470</v>
      </c>
      <c r="H442" s="1" t="s">
        <v>1483</v>
      </c>
      <c r="I442" s="17" t="s">
        <v>1503</v>
      </c>
      <c r="J442" s="18" t="s">
        <v>28</v>
      </c>
      <c r="K442" s="19" t="s">
        <v>26</v>
      </c>
      <c r="L442" s="19" t="s">
        <v>35</v>
      </c>
      <c r="M442" s="20">
        <v>8</v>
      </c>
      <c r="N442" s="21">
        <v>42999</v>
      </c>
      <c r="O442" s="22">
        <v>15</v>
      </c>
      <c r="P442" s="23">
        <v>292393.2</v>
      </c>
      <c r="Q442" s="22">
        <v>4.5999999999999996</v>
      </c>
      <c r="R442" s="22">
        <v>20</v>
      </c>
      <c r="S442" s="23">
        <f>(Table13[[#This Row],[Unit Price]]*Table13[[#This Row],[No.of Units]])*18%</f>
        <v>61918.559999999998</v>
      </c>
      <c r="T442" s="22" t="s">
        <v>1508</v>
      </c>
    </row>
    <row r="443" spans="2:20" x14ac:dyDescent="0.3">
      <c r="B443" s="5" t="s">
        <v>440</v>
      </c>
      <c r="C443" s="1">
        <v>6114234</v>
      </c>
      <c r="D443" s="1">
        <v>61</v>
      </c>
      <c r="E443" s="1" t="s">
        <v>20</v>
      </c>
      <c r="F443" s="16">
        <v>45763</v>
      </c>
      <c r="G443" s="1" t="s">
        <v>1470</v>
      </c>
      <c r="H443" s="1" t="s">
        <v>1482</v>
      </c>
      <c r="I443" s="17" t="s">
        <v>1502</v>
      </c>
      <c r="J443" s="18" t="s">
        <v>13</v>
      </c>
      <c r="K443" s="19" t="s">
        <v>14</v>
      </c>
      <c r="L443" s="19" t="s">
        <v>42</v>
      </c>
      <c r="M443" s="20">
        <v>3</v>
      </c>
      <c r="N443" s="21">
        <v>99999</v>
      </c>
      <c r="O443" s="22">
        <v>10</v>
      </c>
      <c r="P443" s="23">
        <v>269997.3</v>
      </c>
      <c r="Q443" s="22">
        <v>4.7</v>
      </c>
      <c r="R443" s="22">
        <v>20</v>
      </c>
      <c r="S443" s="23">
        <f>(Table13[[#This Row],[Unit Price]]*Table13[[#This Row],[No.of Units]])*18%</f>
        <v>53999.46</v>
      </c>
      <c r="T443" s="22" t="s">
        <v>1507</v>
      </c>
    </row>
    <row r="444" spans="2:20" x14ac:dyDescent="0.3">
      <c r="B444" s="5" t="s">
        <v>441</v>
      </c>
      <c r="C444" s="1">
        <v>5161481</v>
      </c>
      <c r="D444" s="1">
        <v>57</v>
      </c>
      <c r="E444" s="1" t="s">
        <v>20</v>
      </c>
      <c r="F444" s="16">
        <v>45763</v>
      </c>
      <c r="G444" s="1" t="s">
        <v>1470</v>
      </c>
      <c r="H444" s="1" t="s">
        <v>1471</v>
      </c>
      <c r="I444" s="17" t="s">
        <v>1503</v>
      </c>
      <c r="J444" s="18" t="s">
        <v>17</v>
      </c>
      <c r="K444" s="19" t="s">
        <v>18</v>
      </c>
      <c r="L444" s="19" t="s">
        <v>42</v>
      </c>
      <c r="M444" s="20">
        <v>49</v>
      </c>
      <c r="N444" s="21">
        <v>4999</v>
      </c>
      <c r="O444" s="22">
        <v>18</v>
      </c>
      <c r="P444" s="23">
        <v>200859.82</v>
      </c>
      <c r="Q444" s="22">
        <v>4.4000000000000004</v>
      </c>
      <c r="R444" s="22">
        <v>20</v>
      </c>
      <c r="S444" s="23">
        <f>(Table13[[#This Row],[Unit Price]]*Table13[[#This Row],[No.of Units]])*18%</f>
        <v>44091.18</v>
      </c>
      <c r="T444" s="22" t="s">
        <v>1507</v>
      </c>
    </row>
    <row r="445" spans="2:20" x14ac:dyDescent="0.3">
      <c r="B445" s="5" t="s">
        <v>442</v>
      </c>
      <c r="C445" s="1">
        <v>3592356</v>
      </c>
      <c r="D445" s="1">
        <v>18</v>
      </c>
      <c r="E445" s="1" t="s">
        <v>34</v>
      </c>
      <c r="F445" s="16">
        <v>45763</v>
      </c>
      <c r="G445" s="1" t="s">
        <v>1470</v>
      </c>
      <c r="H445" s="1" t="s">
        <v>1472</v>
      </c>
      <c r="I445" s="17" t="s">
        <v>1504</v>
      </c>
      <c r="J445" s="18" t="s">
        <v>21</v>
      </c>
      <c r="K445" s="19" t="s">
        <v>18</v>
      </c>
      <c r="L445" s="19" t="s">
        <v>42</v>
      </c>
      <c r="M445" s="20">
        <v>14</v>
      </c>
      <c r="N445" s="21">
        <v>24900</v>
      </c>
      <c r="O445" s="22">
        <v>5</v>
      </c>
      <c r="P445" s="23">
        <v>331170</v>
      </c>
      <c r="Q445" s="22">
        <v>4.8</v>
      </c>
      <c r="R445" s="22">
        <v>20</v>
      </c>
      <c r="S445" s="23">
        <f>(Table13[[#This Row],[Unit Price]]*Table13[[#This Row],[No.of Units]])*18%</f>
        <v>62748</v>
      </c>
      <c r="T445" s="22" t="s">
        <v>1508</v>
      </c>
    </row>
    <row r="446" spans="2:20" x14ac:dyDescent="0.3">
      <c r="B446" s="5" t="s">
        <v>443</v>
      </c>
      <c r="C446" s="1">
        <v>2156012</v>
      </c>
      <c r="D446" s="1">
        <v>37</v>
      </c>
      <c r="E446" s="1" t="s">
        <v>12</v>
      </c>
      <c r="F446" s="16">
        <v>45763</v>
      </c>
      <c r="G446" s="1" t="s">
        <v>1470</v>
      </c>
      <c r="H446" s="1" t="s">
        <v>1483</v>
      </c>
      <c r="I446" s="17" t="s">
        <v>1505</v>
      </c>
      <c r="J446" s="18" t="s">
        <v>23</v>
      </c>
      <c r="K446" s="19" t="s">
        <v>14</v>
      </c>
      <c r="L446" s="19" t="s">
        <v>42</v>
      </c>
      <c r="M446" s="20">
        <v>2</v>
      </c>
      <c r="N446" s="21">
        <v>84999</v>
      </c>
      <c r="O446" s="22">
        <v>12</v>
      </c>
      <c r="P446" s="23">
        <v>149598.24</v>
      </c>
      <c r="Q446" s="22">
        <v>4.5</v>
      </c>
      <c r="R446" s="22">
        <v>20</v>
      </c>
      <c r="S446" s="23">
        <f>(Table13[[#This Row],[Unit Price]]*Table13[[#This Row],[No.of Units]])*18%</f>
        <v>30599.64</v>
      </c>
      <c r="T446" s="22" t="s">
        <v>1507</v>
      </c>
    </row>
    <row r="447" spans="2:20" x14ac:dyDescent="0.3">
      <c r="B447" s="5" t="s">
        <v>444</v>
      </c>
      <c r="C447" s="1">
        <v>7763289</v>
      </c>
      <c r="D447" s="1">
        <v>19</v>
      </c>
      <c r="E447" s="1" t="s">
        <v>34</v>
      </c>
      <c r="F447" s="16">
        <v>45763</v>
      </c>
      <c r="G447" s="1" t="s">
        <v>1470</v>
      </c>
      <c r="H447" s="1" t="s">
        <v>1482</v>
      </c>
      <c r="I447" s="17" t="s">
        <v>1504</v>
      </c>
      <c r="J447" s="18" t="s">
        <v>25</v>
      </c>
      <c r="K447" s="19" t="s">
        <v>26</v>
      </c>
      <c r="L447" s="19" t="s">
        <v>42</v>
      </c>
      <c r="M447" s="20">
        <v>3</v>
      </c>
      <c r="N447" s="21">
        <v>69999</v>
      </c>
      <c r="O447" s="22">
        <v>8</v>
      </c>
      <c r="P447" s="23">
        <v>193197.24</v>
      </c>
      <c r="Q447" s="22">
        <v>4.8</v>
      </c>
      <c r="R447" s="22">
        <v>20</v>
      </c>
      <c r="S447" s="23">
        <f>(Table13[[#This Row],[Unit Price]]*Table13[[#This Row],[No.of Units]])*18%</f>
        <v>37799.46</v>
      </c>
      <c r="T447" s="22" t="s">
        <v>1508</v>
      </c>
    </row>
    <row r="448" spans="2:20" x14ac:dyDescent="0.3">
      <c r="B448" s="5" t="s">
        <v>445</v>
      </c>
      <c r="C448" s="1">
        <v>4103369</v>
      </c>
      <c r="D448" s="1">
        <v>38</v>
      </c>
      <c r="E448" s="1" t="s">
        <v>12</v>
      </c>
      <c r="F448" s="16">
        <v>45763</v>
      </c>
      <c r="G448" s="1" t="s">
        <v>1470</v>
      </c>
      <c r="H448" s="1" t="s">
        <v>1471</v>
      </c>
      <c r="I448" s="17" t="s">
        <v>1503</v>
      </c>
      <c r="J448" s="18" t="s">
        <v>28</v>
      </c>
      <c r="K448" s="19" t="s">
        <v>26</v>
      </c>
      <c r="L448" s="19" t="s">
        <v>42</v>
      </c>
      <c r="M448" s="20">
        <v>10</v>
      </c>
      <c r="N448" s="21">
        <v>42999</v>
      </c>
      <c r="O448" s="22">
        <v>15</v>
      </c>
      <c r="P448" s="23">
        <v>365491.5</v>
      </c>
      <c r="Q448" s="22">
        <v>4.5999999999999996</v>
      </c>
      <c r="R448" s="22">
        <v>20</v>
      </c>
      <c r="S448" s="23">
        <f>(Table13[[#This Row],[Unit Price]]*Table13[[#This Row],[No.of Units]])*18%</f>
        <v>77398.2</v>
      </c>
      <c r="T448" s="22" t="s">
        <v>1508</v>
      </c>
    </row>
    <row r="449" spans="2:20" x14ac:dyDescent="0.3">
      <c r="B449" s="5" t="s">
        <v>446</v>
      </c>
      <c r="C449" s="1">
        <v>443362</v>
      </c>
      <c r="D449" s="1">
        <v>26</v>
      </c>
      <c r="E449" s="1" t="s">
        <v>12</v>
      </c>
      <c r="F449" s="16">
        <v>45763</v>
      </c>
      <c r="G449" s="1" t="s">
        <v>1473</v>
      </c>
      <c r="H449" s="1" t="s">
        <v>1481</v>
      </c>
      <c r="I449" s="17" t="s">
        <v>1502</v>
      </c>
      <c r="J449" s="18" t="s">
        <v>13</v>
      </c>
      <c r="K449" s="19" t="s">
        <v>14</v>
      </c>
      <c r="L449" s="19" t="s">
        <v>49</v>
      </c>
      <c r="M449" s="20">
        <v>6</v>
      </c>
      <c r="N449" s="21">
        <v>99999</v>
      </c>
      <c r="O449" s="22">
        <v>10</v>
      </c>
      <c r="P449" s="23">
        <v>539994.6</v>
      </c>
      <c r="Q449" s="22">
        <v>4.7</v>
      </c>
      <c r="R449" s="22">
        <v>20</v>
      </c>
      <c r="S449" s="23">
        <f>(Table13[[#This Row],[Unit Price]]*Table13[[#This Row],[No.of Units]])*18%</f>
        <v>107998.92</v>
      </c>
      <c r="T449" s="22" t="s">
        <v>1508</v>
      </c>
    </row>
    <row r="450" spans="2:20" x14ac:dyDescent="0.3">
      <c r="B450" s="5" t="s">
        <v>447</v>
      </c>
      <c r="C450" s="1">
        <v>6267284</v>
      </c>
      <c r="D450" s="1">
        <v>41</v>
      </c>
      <c r="E450" s="1" t="s">
        <v>12</v>
      </c>
      <c r="F450" s="16">
        <v>45763</v>
      </c>
      <c r="G450" s="1" t="s">
        <v>1470</v>
      </c>
      <c r="H450" s="1" t="s">
        <v>1471</v>
      </c>
      <c r="I450" s="17" t="s">
        <v>1503</v>
      </c>
      <c r="J450" s="18" t="s">
        <v>17</v>
      </c>
      <c r="K450" s="19" t="s">
        <v>18</v>
      </c>
      <c r="L450" s="19" t="s">
        <v>49</v>
      </c>
      <c r="M450" s="20">
        <v>57</v>
      </c>
      <c r="N450" s="21">
        <v>4999</v>
      </c>
      <c r="O450" s="22">
        <v>18</v>
      </c>
      <c r="P450" s="23">
        <v>233653.26</v>
      </c>
      <c r="Q450" s="22">
        <v>4.4000000000000004</v>
      </c>
      <c r="R450" s="22">
        <v>20</v>
      </c>
      <c r="S450" s="23">
        <f>(Table13[[#This Row],[Unit Price]]*Table13[[#This Row],[No.of Units]])*18%</f>
        <v>51289.74</v>
      </c>
      <c r="T450" s="22" t="s">
        <v>1508</v>
      </c>
    </row>
    <row r="451" spans="2:20" x14ac:dyDescent="0.3">
      <c r="B451" s="5" t="s">
        <v>448</v>
      </c>
      <c r="C451" s="1">
        <v>4684341</v>
      </c>
      <c r="D451" s="1">
        <v>54</v>
      </c>
      <c r="E451" s="1" t="s">
        <v>20</v>
      </c>
      <c r="F451" s="16">
        <v>45763</v>
      </c>
      <c r="G451" s="1" t="s">
        <v>1470</v>
      </c>
      <c r="H451" s="1" t="s">
        <v>1471</v>
      </c>
      <c r="I451" s="17" t="s">
        <v>1504</v>
      </c>
      <c r="J451" s="18" t="s">
        <v>21</v>
      </c>
      <c r="K451" s="19" t="s">
        <v>18</v>
      </c>
      <c r="L451" s="19" t="s">
        <v>49</v>
      </c>
      <c r="M451" s="20">
        <v>12</v>
      </c>
      <c r="N451" s="21">
        <v>24900</v>
      </c>
      <c r="O451" s="22">
        <v>5</v>
      </c>
      <c r="P451" s="23">
        <v>283860</v>
      </c>
      <c r="Q451" s="22">
        <v>4.8</v>
      </c>
      <c r="R451" s="22">
        <v>20</v>
      </c>
      <c r="S451" s="23">
        <f>(Table13[[#This Row],[Unit Price]]*Table13[[#This Row],[No.of Units]])*18%</f>
        <v>53784</v>
      </c>
      <c r="T451" s="22" t="s">
        <v>1508</v>
      </c>
    </row>
    <row r="452" spans="2:20" x14ac:dyDescent="0.3">
      <c r="B452" s="5" t="s">
        <v>449</v>
      </c>
      <c r="C452" s="1">
        <v>6359794</v>
      </c>
      <c r="D452" s="1">
        <v>25</v>
      </c>
      <c r="E452" s="1" t="s">
        <v>12</v>
      </c>
      <c r="F452" s="16">
        <v>45763</v>
      </c>
      <c r="G452" s="1" t="s">
        <v>1470</v>
      </c>
      <c r="H452" s="1" t="s">
        <v>1472</v>
      </c>
      <c r="I452" s="17" t="s">
        <v>1505</v>
      </c>
      <c r="J452" s="18" t="s">
        <v>23</v>
      </c>
      <c r="K452" s="19" t="s">
        <v>14</v>
      </c>
      <c r="L452" s="19" t="s">
        <v>49</v>
      </c>
      <c r="M452" s="20">
        <v>5</v>
      </c>
      <c r="N452" s="21">
        <v>84999</v>
      </c>
      <c r="O452" s="22">
        <v>12</v>
      </c>
      <c r="P452" s="23">
        <v>373995.6</v>
      </c>
      <c r="Q452" s="22">
        <v>4.5</v>
      </c>
      <c r="R452" s="22">
        <v>20</v>
      </c>
      <c r="S452" s="23">
        <f>(Table13[[#This Row],[Unit Price]]*Table13[[#This Row],[No.of Units]])*18%</f>
        <v>76499.099999999991</v>
      </c>
      <c r="T452" s="22" t="s">
        <v>1507</v>
      </c>
    </row>
    <row r="453" spans="2:20" x14ac:dyDescent="0.3">
      <c r="B453" s="5" t="s">
        <v>450</v>
      </c>
      <c r="C453" s="1">
        <v>585668</v>
      </c>
      <c r="D453" s="1">
        <v>46</v>
      </c>
      <c r="E453" s="1" t="s">
        <v>12</v>
      </c>
      <c r="F453" s="16">
        <v>45763</v>
      </c>
      <c r="G453" s="1" t="s">
        <v>1470</v>
      </c>
      <c r="H453" s="1" t="s">
        <v>1483</v>
      </c>
      <c r="I453" s="17" t="s">
        <v>1504</v>
      </c>
      <c r="J453" s="18" t="s">
        <v>25</v>
      </c>
      <c r="K453" s="19" t="s">
        <v>26</v>
      </c>
      <c r="L453" s="19" t="s">
        <v>49</v>
      </c>
      <c r="M453" s="20">
        <v>5</v>
      </c>
      <c r="N453" s="21">
        <v>69999</v>
      </c>
      <c r="O453" s="22">
        <v>8</v>
      </c>
      <c r="P453" s="23">
        <v>321995.40000000002</v>
      </c>
      <c r="Q453" s="22">
        <v>4.8</v>
      </c>
      <c r="R453" s="22">
        <v>20</v>
      </c>
      <c r="S453" s="23">
        <f>(Table13[[#This Row],[Unit Price]]*Table13[[#This Row],[No.of Units]])*18%</f>
        <v>62999.1</v>
      </c>
      <c r="T453" s="22" t="s">
        <v>1507</v>
      </c>
    </row>
    <row r="454" spans="2:20" x14ac:dyDescent="0.3">
      <c r="B454" s="5" t="s">
        <v>451</v>
      </c>
      <c r="C454" s="1">
        <v>5140252</v>
      </c>
      <c r="D454" s="1">
        <v>34</v>
      </c>
      <c r="E454" s="1" t="s">
        <v>12</v>
      </c>
      <c r="F454" s="16">
        <v>45763</v>
      </c>
      <c r="G454" s="1" t="s">
        <v>1474</v>
      </c>
      <c r="H454" s="1" t="s">
        <v>1471</v>
      </c>
      <c r="I454" s="17" t="s">
        <v>1503</v>
      </c>
      <c r="J454" s="18" t="s">
        <v>28</v>
      </c>
      <c r="K454" s="19" t="s">
        <v>26</v>
      </c>
      <c r="L454" s="19" t="s">
        <v>49</v>
      </c>
      <c r="M454" s="20">
        <v>11</v>
      </c>
      <c r="N454" s="21">
        <v>42999</v>
      </c>
      <c r="O454" s="22">
        <v>15</v>
      </c>
      <c r="P454" s="23">
        <v>402040.65</v>
      </c>
      <c r="Q454" s="22">
        <v>4.5999999999999996</v>
      </c>
      <c r="R454" s="22">
        <v>20</v>
      </c>
      <c r="S454" s="23">
        <f>(Table13[[#This Row],[Unit Price]]*Table13[[#This Row],[No.of Units]])*18%</f>
        <v>85138.02</v>
      </c>
      <c r="T454" s="22" t="s">
        <v>1507</v>
      </c>
    </row>
    <row r="455" spans="2:20" x14ac:dyDescent="0.3">
      <c r="B455" s="5" t="s">
        <v>452</v>
      </c>
      <c r="C455" s="1">
        <v>5694760</v>
      </c>
      <c r="D455" s="1">
        <v>27</v>
      </c>
      <c r="E455" s="1" t="s">
        <v>12</v>
      </c>
      <c r="F455" s="16">
        <v>45770</v>
      </c>
      <c r="G455" s="1" t="s">
        <v>1470</v>
      </c>
      <c r="H455" s="1" t="s">
        <v>1472</v>
      </c>
      <c r="I455" s="17" t="s">
        <v>1502</v>
      </c>
      <c r="J455" s="18" t="s">
        <v>13</v>
      </c>
      <c r="K455" s="19" t="s">
        <v>14</v>
      </c>
      <c r="L455" s="19" t="s">
        <v>15</v>
      </c>
      <c r="M455" s="20">
        <v>4</v>
      </c>
      <c r="N455" s="21">
        <v>99999</v>
      </c>
      <c r="O455" s="22">
        <v>10</v>
      </c>
      <c r="P455" s="23">
        <v>359996.4</v>
      </c>
      <c r="Q455" s="22">
        <v>4.7</v>
      </c>
      <c r="R455" s="22">
        <v>20</v>
      </c>
      <c r="S455" s="23">
        <f>(Table13[[#This Row],[Unit Price]]*Table13[[#This Row],[No.of Units]])*18%</f>
        <v>71999.28</v>
      </c>
      <c r="T455" s="22" t="s">
        <v>1508</v>
      </c>
    </row>
    <row r="456" spans="2:20" x14ac:dyDescent="0.3">
      <c r="B456" s="5" t="s">
        <v>453</v>
      </c>
      <c r="C456" s="1">
        <v>823948</v>
      </c>
      <c r="D456" s="1">
        <v>40</v>
      </c>
      <c r="E456" s="1" t="s">
        <v>12</v>
      </c>
      <c r="F456" s="16">
        <v>45770</v>
      </c>
      <c r="G456" s="1" t="s">
        <v>1470</v>
      </c>
      <c r="H456" s="1" t="s">
        <v>1471</v>
      </c>
      <c r="I456" s="17" t="s">
        <v>1503</v>
      </c>
      <c r="J456" s="18" t="s">
        <v>17</v>
      </c>
      <c r="K456" s="19" t="s">
        <v>18</v>
      </c>
      <c r="L456" s="19" t="s">
        <v>15</v>
      </c>
      <c r="M456" s="20">
        <v>46</v>
      </c>
      <c r="N456" s="21">
        <v>4999</v>
      </c>
      <c r="O456" s="22">
        <v>18</v>
      </c>
      <c r="P456" s="23">
        <v>188562.28</v>
      </c>
      <c r="Q456" s="22">
        <v>4.4000000000000004</v>
      </c>
      <c r="R456" s="22">
        <v>20</v>
      </c>
      <c r="S456" s="23">
        <f>(Table13[[#This Row],[Unit Price]]*Table13[[#This Row],[No.of Units]])*18%</f>
        <v>41391.72</v>
      </c>
      <c r="T456" s="22" t="s">
        <v>1507</v>
      </c>
    </row>
    <row r="457" spans="2:20" x14ac:dyDescent="0.3">
      <c r="B457" s="5" t="s">
        <v>454</v>
      </c>
      <c r="C457" s="1">
        <v>8869312</v>
      </c>
      <c r="D457" s="1">
        <v>18</v>
      </c>
      <c r="E457" s="1" t="s">
        <v>34</v>
      </c>
      <c r="F457" s="16">
        <v>45770</v>
      </c>
      <c r="G457" s="1" t="s">
        <v>1470</v>
      </c>
      <c r="H457" s="1" t="s">
        <v>1482</v>
      </c>
      <c r="I457" s="17" t="s">
        <v>1504</v>
      </c>
      <c r="J457" s="18" t="s">
        <v>21</v>
      </c>
      <c r="K457" s="19" t="s">
        <v>18</v>
      </c>
      <c r="L457" s="19" t="s">
        <v>15</v>
      </c>
      <c r="M457" s="20">
        <v>12</v>
      </c>
      <c r="N457" s="21">
        <v>24900</v>
      </c>
      <c r="O457" s="22">
        <v>5</v>
      </c>
      <c r="P457" s="23">
        <v>283860</v>
      </c>
      <c r="Q457" s="22">
        <v>4.8</v>
      </c>
      <c r="R457" s="22">
        <v>20</v>
      </c>
      <c r="S457" s="23">
        <f>(Table13[[#This Row],[Unit Price]]*Table13[[#This Row],[No.of Units]])*18%</f>
        <v>53784</v>
      </c>
      <c r="T457" s="22" t="s">
        <v>1507</v>
      </c>
    </row>
    <row r="458" spans="2:20" x14ac:dyDescent="0.3">
      <c r="B458" s="5" t="s">
        <v>455</v>
      </c>
      <c r="C458" s="1">
        <v>395605</v>
      </c>
      <c r="D458" s="1">
        <v>29</v>
      </c>
      <c r="E458" s="1" t="s">
        <v>12</v>
      </c>
      <c r="F458" s="16">
        <v>45770</v>
      </c>
      <c r="G458" s="1" t="s">
        <v>1470</v>
      </c>
      <c r="H458" s="1" t="s">
        <v>1472</v>
      </c>
      <c r="I458" s="17" t="s">
        <v>1505</v>
      </c>
      <c r="J458" s="18" t="s">
        <v>23</v>
      </c>
      <c r="K458" s="19" t="s">
        <v>14</v>
      </c>
      <c r="L458" s="19" t="s">
        <v>15</v>
      </c>
      <c r="M458" s="20">
        <v>2</v>
      </c>
      <c r="N458" s="21">
        <v>84999</v>
      </c>
      <c r="O458" s="22">
        <v>12</v>
      </c>
      <c r="P458" s="23">
        <v>149598.24</v>
      </c>
      <c r="Q458" s="22">
        <v>4.5</v>
      </c>
      <c r="R458" s="22">
        <v>20</v>
      </c>
      <c r="S458" s="23">
        <f>(Table13[[#This Row],[Unit Price]]*Table13[[#This Row],[No.of Units]])*18%</f>
        <v>30599.64</v>
      </c>
      <c r="T458" s="22" t="s">
        <v>1508</v>
      </c>
    </row>
    <row r="459" spans="2:20" x14ac:dyDescent="0.3">
      <c r="B459" s="5" t="s">
        <v>456</v>
      </c>
      <c r="C459" s="1">
        <v>6399089</v>
      </c>
      <c r="D459" s="1">
        <v>25</v>
      </c>
      <c r="E459" s="1" t="s">
        <v>12</v>
      </c>
      <c r="F459" s="16">
        <v>45770</v>
      </c>
      <c r="G459" s="1" t="s">
        <v>1470</v>
      </c>
      <c r="H459" s="1" t="s">
        <v>1482</v>
      </c>
      <c r="I459" s="17" t="s">
        <v>1504</v>
      </c>
      <c r="J459" s="18" t="s">
        <v>25</v>
      </c>
      <c r="K459" s="19" t="s">
        <v>26</v>
      </c>
      <c r="L459" s="19" t="s">
        <v>15</v>
      </c>
      <c r="M459" s="20">
        <v>3</v>
      </c>
      <c r="N459" s="21">
        <v>69999</v>
      </c>
      <c r="O459" s="22">
        <v>8</v>
      </c>
      <c r="P459" s="23">
        <v>193197.24</v>
      </c>
      <c r="Q459" s="22">
        <v>4.8</v>
      </c>
      <c r="R459" s="22">
        <v>20</v>
      </c>
      <c r="S459" s="23">
        <f>(Table13[[#This Row],[Unit Price]]*Table13[[#This Row],[No.of Units]])*18%</f>
        <v>37799.46</v>
      </c>
      <c r="T459" s="22" t="s">
        <v>1508</v>
      </c>
    </row>
    <row r="460" spans="2:20" x14ac:dyDescent="0.3">
      <c r="B460" s="5" t="s">
        <v>457</v>
      </c>
      <c r="C460" s="1">
        <v>3884074</v>
      </c>
      <c r="D460" s="1">
        <v>73</v>
      </c>
      <c r="E460" s="1" t="s">
        <v>20</v>
      </c>
      <c r="F460" s="16">
        <v>45770</v>
      </c>
      <c r="G460" s="1" t="s">
        <v>1470</v>
      </c>
      <c r="H460" s="1" t="s">
        <v>1472</v>
      </c>
      <c r="I460" s="17" t="s">
        <v>1503</v>
      </c>
      <c r="J460" s="18" t="s">
        <v>28</v>
      </c>
      <c r="K460" s="19" t="s">
        <v>26</v>
      </c>
      <c r="L460" s="19" t="s">
        <v>15</v>
      </c>
      <c r="M460" s="20">
        <v>7</v>
      </c>
      <c r="N460" s="21">
        <v>42999</v>
      </c>
      <c r="O460" s="22">
        <v>15</v>
      </c>
      <c r="P460" s="23">
        <v>255844.05</v>
      </c>
      <c r="Q460" s="22">
        <v>4.5999999999999996</v>
      </c>
      <c r="R460" s="22">
        <v>20</v>
      </c>
      <c r="S460" s="23">
        <f>(Table13[[#This Row],[Unit Price]]*Table13[[#This Row],[No.of Units]])*18%</f>
        <v>54178.74</v>
      </c>
      <c r="T460" s="22" t="s">
        <v>1508</v>
      </c>
    </row>
    <row r="461" spans="2:20" x14ac:dyDescent="0.3">
      <c r="B461" s="5" t="s">
        <v>458</v>
      </c>
      <c r="C461" s="1">
        <v>7035656</v>
      </c>
      <c r="D461" s="1">
        <v>18</v>
      </c>
      <c r="E461" s="1" t="s">
        <v>34</v>
      </c>
      <c r="F461" s="16">
        <v>45770</v>
      </c>
      <c r="G461" s="1" t="s">
        <v>1470</v>
      </c>
      <c r="H461" s="1" t="s">
        <v>1472</v>
      </c>
      <c r="I461" s="17" t="s">
        <v>1502</v>
      </c>
      <c r="J461" s="18" t="s">
        <v>13</v>
      </c>
      <c r="K461" s="19" t="s">
        <v>14</v>
      </c>
      <c r="L461" s="19" t="s">
        <v>29</v>
      </c>
      <c r="M461" s="20">
        <v>3</v>
      </c>
      <c r="N461" s="21">
        <v>99999</v>
      </c>
      <c r="O461" s="22">
        <v>10</v>
      </c>
      <c r="P461" s="23">
        <v>269997.3</v>
      </c>
      <c r="Q461" s="22">
        <v>4.7</v>
      </c>
      <c r="R461" s="22">
        <v>20</v>
      </c>
      <c r="S461" s="23">
        <f>(Table13[[#This Row],[Unit Price]]*Table13[[#This Row],[No.of Units]])*18%</f>
        <v>53999.46</v>
      </c>
      <c r="T461" s="22" t="s">
        <v>1508</v>
      </c>
    </row>
    <row r="462" spans="2:20" x14ac:dyDescent="0.3">
      <c r="B462" s="5" t="s">
        <v>459</v>
      </c>
      <c r="C462" s="1">
        <v>1229439</v>
      </c>
      <c r="D462" s="1">
        <v>33</v>
      </c>
      <c r="E462" s="1" t="s">
        <v>12</v>
      </c>
      <c r="F462" s="16">
        <v>45770</v>
      </c>
      <c r="G462" s="1" t="s">
        <v>1470</v>
      </c>
      <c r="H462" s="1" t="s">
        <v>1480</v>
      </c>
      <c r="I462" s="17" t="s">
        <v>1503</v>
      </c>
      <c r="J462" s="18" t="s">
        <v>17</v>
      </c>
      <c r="K462" s="19" t="s">
        <v>18</v>
      </c>
      <c r="L462" s="19" t="s">
        <v>29</v>
      </c>
      <c r="M462" s="20">
        <v>47</v>
      </c>
      <c r="N462" s="21">
        <v>4999</v>
      </c>
      <c r="O462" s="22">
        <v>18</v>
      </c>
      <c r="P462" s="23">
        <v>192661.46</v>
      </c>
      <c r="Q462" s="22">
        <v>4.4000000000000004</v>
      </c>
      <c r="R462" s="22">
        <v>20</v>
      </c>
      <c r="S462" s="23">
        <f>(Table13[[#This Row],[Unit Price]]*Table13[[#This Row],[No.of Units]])*18%</f>
        <v>42291.54</v>
      </c>
      <c r="T462" s="22" t="s">
        <v>1507</v>
      </c>
    </row>
    <row r="463" spans="2:20" x14ac:dyDescent="0.3">
      <c r="B463" s="5" t="s">
        <v>460</v>
      </c>
      <c r="C463" s="1">
        <v>4947593</v>
      </c>
      <c r="D463" s="1">
        <v>29</v>
      </c>
      <c r="E463" s="1" t="s">
        <v>12</v>
      </c>
      <c r="F463" s="16">
        <v>45770</v>
      </c>
      <c r="G463" s="1" t="s">
        <v>1470</v>
      </c>
      <c r="H463" s="1" t="s">
        <v>1471</v>
      </c>
      <c r="I463" s="17" t="s">
        <v>1504</v>
      </c>
      <c r="J463" s="18" t="s">
        <v>21</v>
      </c>
      <c r="K463" s="19" t="s">
        <v>18</v>
      </c>
      <c r="L463" s="19" t="s">
        <v>29</v>
      </c>
      <c r="M463" s="20">
        <v>8</v>
      </c>
      <c r="N463" s="21">
        <v>24900</v>
      </c>
      <c r="O463" s="22">
        <v>5</v>
      </c>
      <c r="P463" s="23">
        <v>189240</v>
      </c>
      <c r="Q463" s="22">
        <v>4.8</v>
      </c>
      <c r="R463" s="22">
        <v>20</v>
      </c>
      <c r="S463" s="23">
        <f>(Table13[[#This Row],[Unit Price]]*Table13[[#This Row],[No.of Units]])*18%</f>
        <v>35856</v>
      </c>
      <c r="T463" s="22" t="s">
        <v>1508</v>
      </c>
    </row>
    <row r="464" spans="2:20" x14ac:dyDescent="0.3">
      <c r="B464" s="5" t="s">
        <v>461</v>
      </c>
      <c r="C464" s="1">
        <v>4491188</v>
      </c>
      <c r="D464" s="1">
        <v>63</v>
      </c>
      <c r="E464" s="1" t="s">
        <v>20</v>
      </c>
      <c r="F464" s="16">
        <v>45770</v>
      </c>
      <c r="G464" s="1" t="s">
        <v>1470</v>
      </c>
      <c r="H464" s="1" t="s">
        <v>1471</v>
      </c>
      <c r="I464" s="17" t="s">
        <v>1505</v>
      </c>
      <c r="J464" s="18" t="s">
        <v>23</v>
      </c>
      <c r="K464" s="19" t="s">
        <v>14</v>
      </c>
      <c r="L464" s="19" t="s">
        <v>29</v>
      </c>
      <c r="M464" s="20">
        <v>3</v>
      </c>
      <c r="N464" s="21">
        <v>84999</v>
      </c>
      <c r="O464" s="22">
        <v>12</v>
      </c>
      <c r="P464" s="23">
        <v>224397.36</v>
      </c>
      <c r="Q464" s="22">
        <v>4.5</v>
      </c>
      <c r="R464" s="22">
        <v>20</v>
      </c>
      <c r="S464" s="23">
        <f>(Table13[[#This Row],[Unit Price]]*Table13[[#This Row],[No.of Units]])*18%</f>
        <v>45899.46</v>
      </c>
      <c r="T464" s="22" t="s">
        <v>1507</v>
      </c>
    </row>
    <row r="465" spans="2:20" x14ac:dyDescent="0.3">
      <c r="B465" s="5" t="s">
        <v>461</v>
      </c>
      <c r="C465" s="1">
        <v>4491188</v>
      </c>
      <c r="D465" s="1">
        <v>64</v>
      </c>
      <c r="E465" s="1" t="s">
        <v>20</v>
      </c>
      <c r="F465" s="16">
        <v>45770</v>
      </c>
      <c r="G465" s="1" t="s">
        <v>1474</v>
      </c>
      <c r="H465" s="1" t="s">
        <v>1482</v>
      </c>
      <c r="I465" s="17" t="s">
        <v>1504</v>
      </c>
      <c r="J465" s="18" t="s">
        <v>25</v>
      </c>
      <c r="K465" s="19" t="s">
        <v>26</v>
      </c>
      <c r="L465" s="19" t="s">
        <v>29</v>
      </c>
      <c r="M465" s="20">
        <v>5</v>
      </c>
      <c r="N465" s="21">
        <v>69999</v>
      </c>
      <c r="O465" s="22">
        <v>8</v>
      </c>
      <c r="P465" s="23">
        <v>321995.40000000002</v>
      </c>
      <c r="Q465" s="22">
        <v>4.8</v>
      </c>
      <c r="R465" s="22">
        <v>20</v>
      </c>
      <c r="S465" s="23">
        <f>(Table13[[#This Row],[Unit Price]]*Table13[[#This Row],[No.of Units]])*18%</f>
        <v>62999.1</v>
      </c>
      <c r="T465" s="22" t="s">
        <v>1507</v>
      </c>
    </row>
    <row r="466" spans="2:20" x14ac:dyDescent="0.3">
      <c r="B466" s="5" t="s">
        <v>462</v>
      </c>
      <c r="C466" s="1">
        <v>1775998</v>
      </c>
      <c r="D466" s="1">
        <v>35</v>
      </c>
      <c r="E466" s="1" t="s">
        <v>12</v>
      </c>
      <c r="F466" s="16">
        <v>45770</v>
      </c>
      <c r="G466" s="1" t="s">
        <v>1470</v>
      </c>
      <c r="H466" s="1" t="s">
        <v>1471</v>
      </c>
      <c r="I466" s="17" t="s">
        <v>1503</v>
      </c>
      <c r="J466" s="18" t="s">
        <v>28</v>
      </c>
      <c r="K466" s="19" t="s">
        <v>26</v>
      </c>
      <c r="L466" s="19" t="s">
        <v>29</v>
      </c>
      <c r="M466" s="20">
        <v>9</v>
      </c>
      <c r="N466" s="21">
        <v>42999</v>
      </c>
      <c r="O466" s="22">
        <v>15</v>
      </c>
      <c r="P466" s="23">
        <v>328942.34999999998</v>
      </c>
      <c r="Q466" s="22">
        <v>4.5999999999999996</v>
      </c>
      <c r="R466" s="22">
        <v>20</v>
      </c>
      <c r="S466" s="23">
        <f>(Table13[[#This Row],[Unit Price]]*Table13[[#This Row],[No.of Units]])*18%</f>
        <v>69658.38</v>
      </c>
      <c r="T466" s="22" t="s">
        <v>1507</v>
      </c>
    </row>
    <row r="467" spans="2:20" x14ac:dyDescent="0.3">
      <c r="B467" s="5" t="s">
        <v>463</v>
      </c>
      <c r="C467" s="1">
        <v>8876998</v>
      </c>
      <c r="D467" s="1">
        <v>23</v>
      </c>
      <c r="E467" s="1" t="s">
        <v>12</v>
      </c>
      <c r="F467" s="16">
        <v>45770</v>
      </c>
      <c r="G467" s="1" t="s">
        <v>1470</v>
      </c>
      <c r="H467" s="1" t="s">
        <v>1472</v>
      </c>
      <c r="I467" s="17" t="s">
        <v>1502</v>
      </c>
      <c r="J467" s="18" t="s">
        <v>13</v>
      </c>
      <c r="K467" s="19" t="s">
        <v>14</v>
      </c>
      <c r="L467" s="19" t="s">
        <v>35</v>
      </c>
      <c r="M467" s="20">
        <v>6</v>
      </c>
      <c r="N467" s="21">
        <v>99999</v>
      </c>
      <c r="O467" s="22">
        <v>10</v>
      </c>
      <c r="P467" s="23">
        <v>539994.6</v>
      </c>
      <c r="Q467" s="22">
        <v>4.7</v>
      </c>
      <c r="R467" s="22">
        <v>20</v>
      </c>
      <c r="S467" s="23">
        <f>(Table13[[#This Row],[Unit Price]]*Table13[[#This Row],[No.of Units]])*18%</f>
        <v>107998.92</v>
      </c>
      <c r="T467" s="22" t="s">
        <v>1507</v>
      </c>
    </row>
    <row r="468" spans="2:20" x14ac:dyDescent="0.3">
      <c r="B468" s="5" t="s">
        <v>464</v>
      </c>
      <c r="C468" s="1">
        <v>216823</v>
      </c>
      <c r="D468" s="1">
        <v>33</v>
      </c>
      <c r="E468" s="1" t="s">
        <v>12</v>
      </c>
      <c r="F468" s="16">
        <v>45770</v>
      </c>
      <c r="G468" s="1" t="s">
        <v>1470</v>
      </c>
      <c r="H468" s="1" t="s">
        <v>1471</v>
      </c>
      <c r="I468" s="17" t="s">
        <v>1503</v>
      </c>
      <c r="J468" s="18" t="s">
        <v>17</v>
      </c>
      <c r="K468" s="19" t="s">
        <v>18</v>
      </c>
      <c r="L468" s="19" t="s">
        <v>35</v>
      </c>
      <c r="M468" s="20">
        <v>38</v>
      </c>
      <c r="N468" s="21">
        <v>4999</v>
      </c>
      <c r="O468" s="22">
        <v>18</v>
      </c>
      <c r="P468" s="23">
        <v>155768.84</v>
      </c>
      <c r="Q468" s="22">
        <v>4.4000000000000004</v>
      </c>
      <c r="R468" s="22">
        <v>20</v>
      </c>
      <c r="S468" s="23">
        <f>(Table13[[#This Row],[Unit Price]]*Table13[[#This Row],[No.of Units]])*18%</f>
        <v>34193.159999999996</v>
      </c>
      <c r="T468" s="22" t="s">
        <v>1508</v>
      </c>
    </row>
    <row r="469" spans="2:20" x14ac:dyDescent="0.3">
      <c r="B469" s="5" t="s">
        <v>465</v>
      </c>
      <c r="C469" s="1">
        <v>1863792</v>
      </c>
      <c r="D469" s="1">
        <v>49</v>
      </c>
      <c r="E469" s="1" t="s">
        <v>12</v>
      </c>
      <c r="F469" s="16">
        <v>45770</v>
      </c>
      <c r="G469" s="1" t="s">
        <v>1470</v>
      </c>
      <c r="H469" s="1" t="s">
        <v>1481</v>
      </c>
      <c r="I469" s="17" t="s">
        <v>1504</v>
      </c>
      <c r="J469" s="18" t="s">
        <v>21</v>
      </c>
      <c r="K469" s="19" t="s">
        <v>18</v>
      </c>
      <c r="L469" s="19" t="s">
        <v>35</v>
      </c>
      <c r="M469" s="20">
        <v>10</v>
      </c>
      <c r="N469" s="21">
        <v>24900</v>
      </c>
      <c r="O469" s="22">
        <v>5</v>
      </c>
      <c r="P469" s="23">
        <v>236550</v>
      </c>
      <c r="Q469" s="22">
        <v>4.8</v>
      </c>
      <c r="R469" s="22">
        <v>20</v>
      </c>
      <c r="S469" s="23">
        <f>(Table13[[#This Row],[Unit Price]]*Table13[[#This Row],[No.of Units]])*18%</f>
        <v>44820</v>
      </c>
      <c r="T469" s="22" t="s">
        <v>1507</v>
      </c>
    </row>
    <row r="470" spans="2:20" x14ac:dyDescent="0.3">
      <c r="B470" s="5" t="s">
        <v>466</v>
      </c>
      <c r="C470" s="1">
        <v>1002340</v>
      </c>
      <c r="D470" s="1">
        <v>52</v>
      </c>
      <c r="E470" s="1" t="s">
        <v>20</v>
      </c>
      <c r="F470" s="16">
        <v>45770</v>
      </c>
      <c r="G470" s="1" t="s">
        <v>1470</v>
      </c>
      <c r="H470" s="1" t="s">
        <v>1472</v>
      </c>
      <c r="I470" s="17" t="s">
        <v>1505</v>
      </c>
      <c r="J470" s="18" t="s">
        <v>23</v>
      </c>
      <c r="K470" s="19" t="s">
        <v>14</v>
      </c>
      <c r="L470" s="19" t="s">
        <v>35</v>
      </c>
      <c r="M470" s="20">
        <v>4</v>
      </c>
      <c r="N470" s="21">
        <v>84999</v>
      </c>
      <c r="O470" s="22">
        <v>12</v>
      </c>
      <c r="P470" s="23">
        <v>299196.48</v>
      </c>
      <c r="Q470" s="22">
        <v>4.5</v>
      </c>
      <c r="R470" s="22">
        <v>20</v>
      </c>
      <c r="S470" s="23">
        <f>(Table13[[#This Row],[Unit Price]]*Table13[[#This Row],[No.of Units]])*18%</f>
        <v>61199.28</v>
      </c>
      <c r="T470" s="22" t="s">
        <v>1508</v>
      </c>
    </row>
    <row r="471" spans="2:20" x14ac:dyDescent="0.3">
      <c r="B471" s="5" t="s">
        <v>467</v>
      </c>
      <c r="C471" s="1">
        <v>2216196</v>
      </c>
      <c r="D471" s="1">
        <v>29</v>
      </c>
      <c r="E471" s="1" t="s">
        <v>12</v>
      </c>
      <c r="F471" s="16">
        <v>45770</v>
      </c>
      <c r="G471" s="1" t="s">
        <v>1470</v>
      </c>
      <c r="H471" s="1" t="s">
        <v>1483</v>
      </c>
      <c r="I471" s="17" t="s">
        <v>1504</v>
      </c>
      <c r="J471" s="18" t="s">
        <v>25</v>
      </c>
      <c r="K471" s="19" t="s">
        <v>26</v>
      </c>
      <c r="L471" s="19" t="s">
        <v>35</v>
      </c>
      <c r="M471" s="20">
        <v>6</v>
      </c>
      <c r="N471" s="21">
        <v>69999</v>
      </c>
      <c r="O471" s="22">
        <v>8</v>
      </c>
      <c r="P471" s="23">
        <v>386394.48</v>
      </c>
      <c r="Q471" s="22">
        <v>4.8</v>
      </c>
      <c r="R471" s="22">
        <v>20</v>
      </c>
      <c r="S471" s="23">
        <f>(Table13[[#This Row],[Unit Price]]*Table13[[#This Row],[No.of Units]])*18%</f>
        <v>75598.92</v>
      </c>
      <c r="T471" s="22" t="s">
        <v>1508</v>
      </c>
    </row>
    <row r="472" spans="2:20" x14ac:dyDescent="0.3">
      <c r="B472" s="5" t="s">
        <v>468</v>
      </c>
      <c r="C472" s="1">
        <v>4300165</v>
      </c>
      <c r="D472" s="1">
        <v>38</v>
      </c>
      <c r="E472" s="1" t="s">
        <v>12</v>
      </c>
      <c r="F472" s="16">
        <v>45770</v>
      </c>
      <c r="G472" s="1" t="s">
        <v>1470</v>
      </c>
      <c r="H472" s="1" t="s">
        <v>1480</v>
      </c>
      <c r="I472" s="17" t="s">
        <v>1503</v>
      </c>
      <c r="J472" s="18" t="s">
        <v>28</v>
      </c>
      <c r="K472" s="19" t="s">
        <v>26</v>
      </c>
      <c r="L472" s="19" t="s">
        <v>35</v>
      </c>
      <c r="M472" s="20">
        <v>7</v>
      </c>
      <c r="N472" s="21">
        <v>42999</v>
      </c>
      <c r="O472" s="22">
        <v>15</v>
      </c>
      <c r="P472" s="23">
        <v>255844.05</v>
      </c>
      <c r="Q472" s="22">
        <v>4.5999999999999996</v>
      </c>
      <c r="R472" s="22">
        <v>20</v>
      </c>
      <c r="S472" s="23">
        <f>(Table13[[#This Row],[Unit Price]]*Table13[[#This Row],[No.of Units]])*18%</f>
        <v>54178.74</v>
      </c>
      <c r="T472" s="22" t="s">
        <v>1508</v>
      </c>
    </row>
    <row r="473" spans="2:20" x14ac:dyDescent="0.3">
      <c r="B473" s="5" t="s">
        <v>469</v>
      </c>
      <c r="C473" s="1">
        <v>8400190</v>
      </c>
      <c r="D473" s="1">
        <v>18</v>
      </c>
      <c r="E473" s="1" t="s">
        <v>34</v>
      </c>
      <c r="F473" s="16">
        <v>45770</v>
      </c>
      <c r="G473" s="1" t="s">
        <v>1470</v>
      </c>
      <c r="H473" s="1" t="s">
        <v>1480</v>
      </c>
      <c r="I473" s="17" t="s">
        <v>1502</v>
      </c>
      <c r="J473" s="18" t="s">
        <v>13</v>
      </c>
      <c r="K473" s="19" t="s">
        <v>14</v>
      </c>
      <c r="L473" s="19" t="s">
        <v>42</v>
      </c>
      <c r="M473" s="20">
        <v>5</v>
      </c>
      <c r="N473" s="21">
        <v>99999</v>
      </c>
      <c r="O473" s="22">
        <v>10</v>
      </c>
      <c r="P473" s="23">
        <v>449995.5</v>
      </c>
      <c r="Q473" s="22">
        <v>4.7</v>
      </c>
      <c r="R473" s="22">
        <v>20</v>
      </c>
      <c r="S473" s="23">
        <f>(Table13[[#This Row],[Unit Price]]*Table13[[#This Row],[No.of Units]])*18%</f>
        <v>89999.099999999991</v>
      </c>
      <c r="T473" s="22" t="s">
        <v>1508</v>
      </c>
    </row>
    <row r="474" spans="2:20" x14ac:dyDescent="0.3">
      <c r="B474" s="5" t="s">
        <v>470</v>
      </c>
      <c r="C474" s="1">
        <v>9113248</v>
      </c>
      <c r="D474" s="1">
        <v>18</v>
      </c>
      <c r="E474" s="1" t="s">
        <v>34</v>
      </c>
      <c r="F474" s="16">
        <v>45770</v>
      </c>
      <c r="G474" s="1" t="s">
        <v>1470</v>
      </c>
      <c r="H474" s="1" t="s">
        <v>1472</v>
      </c>
      <c r="I474" s="17" t="s">
        <v>1503</v>
      </c>
      <c r="J474" s="18" t="s">
        <v>17</v>
      </c>
      <c r="K474" s="19" t="s">
        <v>18</v>
      </c>
      <c r="L474" s="19" t="s">
        <v>42</v>
      </c>
      <c r="M474" s="20">
        <v>54</v>
      </c>
      <c r="N474" s="21">
        <v>4999</v>
      </c>
      <c r="O474" s="22">
        <v>18</v>
      </c>
      <c r="P474" s="23">
        <v>221355.72</v>
      </c>
      <c r="Q474" s="22">
        <v>4.4000000000000004</v>
      </c>
      <c r="R474" s="22">
        <v>20</v>
      </c>
      <c r="S474" s="23">
        <f>(Table13[[#This Row],[Unit Price]]*Table13[[#This Row],[No.of Units]])*18%</f>
        <v>48590.28</v>
      </c>
      <c r="T474" s="22" t="s">
        <v>1508</v>
      </c>
    </row>
    <row r="475" spans="2:20" x14ac:dyDescent="0.3">
      <c r="B475" s="5" t="s">
        <v>471</v>
      </c>
      <c r="C475" s="1">
        <v>5520338</v>
      </c>
      <c r="D475" s="1">
        <v>33</v>
      </c>
      <c r="E475" s="1" t="s">
        <v>12</v>
      </c>
      <c r="F475" s="16">
        <v>45770</v>
      </c>
      <c r="G475" s="1" t="s">
        <v>1470</v>
      </c>
      <c r="H475" s="1" t="s">
        <v>1480</v>
      </c>
      <c r="I475" s="17" t="s">
        <v>1504</v>
      </c>
      <c r="J475" s="18" t="s">
        <v>21</v>
      </c>
      <c r="K475" s="19" t="s">
        <v>18</v>
      </c>
      <c r="L475" s="19" t="s">
        <v>42</v>
      </c>
      <c r="M475" s="20">
        <v>8</v>
      </c>
      <c r="N475" s="21">
        <v>24900</v>
      </c>
      <c r="O475" s="22">
        <v>5</v>
      </c>
      <c r="P475" s="23">
        <v>189240</v>
      </c>
      <c r="Q475" s="22">
        <v>4.8</v>
      </c>
      <c r="R475" s="22">
        <v>20</v>
      </c>
      <c r="S475" s="23">
        <f>(Table13[[#This Row],[Unit Price]]*Table13[[#This Row],[No.of Units]])*18%</f>
        <v>35856</v>
      </c>
      <c r="T475" s="22" t="s">
        <v>1507</v>
      </c>
    </row>
    <row r="476" spans="2:20" x14ac:dyDescent="0.3">
      <c r="B476" s="5" t="s">
        <v>472</v>
      </c>
      <c r="C476" s="1">
        <v>5510344</v>
      </c>
      <c r="D476" s="1">
        <v>59</v>
      </c>
      <c r="E476" s="1" t="s">
        <v>20</v>
      </c>
      <c r="F476" s="16">
        <v>45770</v>
      </c>
      <c r="G476" s="1" t="s">
        <v>1470</v>
      </c>
      <c r="H476" s="1" t="s">
        <v>1472</v>
      </c>
      <c r="I476" s="17" t="s">
        <v>1505</v>
      </c>
      <c r="J476" s="18" t="s">
        <v>23</v>
      </c>
      <c r="K476" s="19" t="s">
        <v>14</v>
      </c>
      <c r="L476" s="19" t="s">
        <v>42</v>
      </c>
      <c r="M476" s="20">
        <v>3</v>
      </c>
      <c r="N476" s="21">
        <v>84999</v>
      </c>
      <c r="O476" s="22">
        <v>12</v>
      </c>
      <c r="P476" s="23">
        <v>224397.36</v>
      </c>
      <c r="Q476" s="22">
        <v>4.5</v>
      </c>
      <c r="R476" s="22">
        <v>20</v>
      </c>
      <c r="S476" s="23">
        <f>(Table13[[#This Row],[Unit Price]]*Table13[[#This Row],[No.of Units]])*18%</f>
        <v>45899.46</v>
      </c>
      <c r="T476" s="22" t="s">
        <v>1508</v>
      </c>
    </row>
    <row r="477" spans="2:20" x14ac:dyDescent="0.3">
      <c r="B477" s="5" t="s">
        <v>473</v>
      </c>
      <c r="C477" s="1">
        <v>648743</v>
      </c>
      <c r="D477" s="1">
        <v>57</v>
      </c>
      <c r="E477" s="1" t="s">
        <v>20</v>
      </c>
      <c r="F477" s="16">
        <v>45770</v>
      </c>
      <c r="G477" s="1" t="s">
        <v>1470</v>
      </c>
      <c r="H477" s="1" t="s">
        <v>1471</v>
      </c>
      <c r="I477" s="17" t="s">
        <v>1504</v>
      </c>
      <c r="J477" s="18" t="s">
        <v>25</v>
      </c>
      <c r="K477" s="19" t="s">
        <v>26</v>
      </c>
      <c r="L477" s="19" t="s">
        <v>42</v>
      </c>
      <c r="M477" s="20">
        <v>2</v>
      </c>
      <c r="N477" s="21">
        <v>69999</v>
      </c>
      <c r="O477" s="22">
        <v>8</v>
      </c>
      <c r="P477" s="23">
        <v>128798.16</v>
      </c>
      <c r="Q477" s="22">
        <v>4.8</v>
      </c>
      <c r="R477" s="22">
        <v>20</v>
      </c>
      <c r="S477" s="23">
        <f>(Table13[[#This Row],[Unit Price]]*Table13[[#This Row],[No.of Units]])*18%</f>
        <v>25199.64</v>
      </c>
      <c r="T477" s="22" t="s">
        <v>1507</v>
      </c>
    </row>
    <row r="478" spans="2:20" x14ac:dyDescent="0.3">
      <c r="B478" s="5" t="s">
        <v>474</v>
      </c>
      <c r="C478" s="1">
        <v>4525940</v>
      </c>
      <c r="D478" s="1">
        <v>62</v>
      </c>
      <c r="E478" s="1" t="s">
        <v>20</v>
      </c>
      <c r="F478" s="16">
        <v>45770</v>
      </c>
      <c r="G478" s="1" t="s">
        <v>1470</v>
      </c>
      <c r="H478" s="1" t="s">
        <v>1483</v>
      </c>
      <c r="I478" s="17" t="s">
        <v>1503</v>
      </c>
      <c r="J478" s="18" t="s">
        <v>28</v>
      </c>
      <c r="K478" s="19" t="s">
        <v>26</v>
      </c>
      <c r="L478" s="19" t="s">
        <v>42</v>
      </c>
      <c r="M478" s="20">
        <v>6</v>
      </c>
      <c r="N478" s="21">
        <v>42999</v>
      </c>
      <c r="O478" s="22">
        <v>15</v>
      </c>
      <c r="P478" s="23">
        <v>219294.9</v>
      </c>
      <c r="Q478" s="22">
        <v>4.5999999999999996</v>
      </c>
      <c r="R478" s="22">
        <v>20</v>
      </c>
      <c r="S478" s="23">
        <f>(Table13[[#This Row],[Unit Price]]*Table13[[#This Row],[No.of Units]])*18%</f>
        <v>46438.92</v>
      </c>
      <c r="T478" s="22" t="s">
        <v>1508</v>
      </c>
    </row>
    <row r="479" spans="2:20" x14ac:dyDescent="0.3">
      <c r="B479" s="5" t="s">
        <v>474</v>
      </c>
      <c r="C479" s="1">
        <v>4525940</v>
      </c>
      <c r="D479" s="1">
        <v>36</v>
      </c>
      <c r="E479" s="1" t="s">
        <v>12</v>
      </c>
      <c r="F479" s="16">
        <v>45770</v>
      </c>
      <c r="G479" s="1" t="s">
        <v>1470</v>
      </c>
      <c r="H479" s="1" t="s">
        <v>1481</v>
      </c>
      <c r="I479" s="17" t="s">
        <v>1502</v>
      </c>
      <c r="J479" s="18" t="s">
        <v>13</v>
      </c>
      <c r="K479" s="19" t="s">
        <v>14</v>
      </c>
      <c r="L479" s="19" t="s">
        <v>49</v>
      </c>
      <c r="M479" s="20">
        <v>5</v>
      </c>
      <c r="N479" s="21">
        <v>99999</v>
      </c>
      <c r="O479" s="22">
        <v>10</v>
      </c>
      <c r="P479" s="23">
        <v>449995.5</v>
      </c>
      <c r="Q479" s="22">
        <v>4.7</v>
      </c>
      <c r="R479" s="22">
        <v>20</v>
      </c>
      <c r="S479" s="23">
        <f>(Table13[[#This Row],[Unit Price]]*Table13[[#This Row],[No.of Units]])*18%</f>
        <v>89999.099999999991</v>
      </c>
      <c r="T479" s="22" t="s">
        <v>1507</v>
      </c>
    </row>
    <row r="480" spans="2:20" x14ac:dyDescent="0.3">
      <c r="B480" s="5" t="s">
        <v>475</v>
      </c>
      <c r="C480" s="1">
        <v>5487299</v>
      </c>
      <c r="D480" s="1">
        <v>30</v>
      </c>
      <c r="E480" s="1" t="s">
        <v>12</v>
      </c>
      <c r="F480" s="16">
        <v>45770</v>
      </c>
      <c r="G480" s="1" t="s">
        <v>1470</v>
      </c>
      <c r="H480" s="1" t="s">
        <v>1481</v>
      </c>
      <c r="I480" s="17" t="s">
        <v>1503</v>
      </c>
      <c r="J480" s="18" t="s">
        <v>17</v>
      </c>
      <c r="K480" s="19" t="s">
        <v>18</v>
      </c>
      <c r="L480" s="19" t="s">
        <v>49</v>
      </c>
      <c r="M480" s="20">
        <v>50</v>
      </c>
      <c r="N480" s="21">
        <v>4999</v>
      </c>
      <c r="O480" s="22">
        <v>18</v>
      </c>
      <c r="P480" s="23">
        <v>204959</v>
      </c>
      <c r="Q480" s="22">
        <v>4.4000000000000004</v>
      </c>
      <c r="R480" s="22">
        <v>20</v>
      </c>
      <c r="S480" s="23">
        <f>(Table13[[#This Row],[Unit Price]]*Table13[[#This Row],[No.of Units]])*18%</f>
        <v>44991</v>
      </c>
      <c r="T480" s="22" t="s">
        <v>1508</v>
      </c>
    </row>
    <row r="481" spans="2:20" x14ac:dyDescent="0.3">
      <c r="B481" s="5" t="s">
        <v>476</v>
      </c>
      <c r="C481" s="1">
        <v>3760677</v>
      </c>
      <c r="D481" s="1">
        <v>40</v>
      </c>
      <c r="E481" s="1" t="s">
        <v>12</v>
      </c>
      <c r="F481" s="16">
        <v>45770</v>
      </c>
      <c r="G481" s="1" t="s">
        <v>1470</v>
      </c>
      <c r="H481" s="1" t="s">
        <v>1472</v>
      </c>
      <c r="I481" s="17" t="s">
        <v>1504</v>
      </c>
      <c r="J481" s="18" t="s">
        <v>21</v>
      </c>
      <c r="K481" s="19" t="s">
        <v>18</v>
      </c>
      <c r="L481" s="19" t="s">
        <v>49</v>
      </c>
      <c r="M481" s="20">
        <v>11</v>
      </c>
      <c r="N481" s="21">
        <v>24900</v>
      </c>
      <c r="O481" s="22">
        <v>5</v>
      </c>
      <c r="P481" s="23">
        <v>260205</v>
      </c>
      <c r="Q481" s="22">
        <v>4.8</v>
      </c>
      <c r="R481" s="22">
        <v>20</v>
      </c>
      <c r="S481" s="23">
        <f>(Table13[[#This Row],[Unit Price]]*Table13[[#This Row],[No.of Units]])*18%</f>
        <v>49302</v>
      </c>
      <c r="T481" s="22" t="s">
        <v>1508</v>
      </c>
    </row>
    <row r="482" spans="2:20" x14ac:dyDescent="0.3">
      <c r="B482" s="5" t="s">
        <v>477</v>
      </c>
      <c r="C482" s="1">
        <v>3086922</v>
      </c>
      <c r="D482" s="1">
        <v>23</v>
      </c>
      <c r="E482" s="1" t="s">
        <v>12</v>
      </c>
      <c r="F482" s="16">
        <v>45770</v>
      </c>
      <c r="G482" s="1" t="s">
        <v>1474</v>
      </c>
      <c r="H482" s="1" t="s">
        <v>1471</v>
      </c>
      <c r="I482" s="17" t="s">
        <v>1505</v>
      </c>
      <c r="J482" s="18" t="s">
        <v>23</v>
      </c>
      <c r="K482" s="19" t="s">
        <v>14</v>
      </c>
      <c r="L482" s="19" t="s">
        <v>49</v>
      </c>
      <c r="M482" s="20">
        <v>3</v>
      </c>
      <c r="N482" s="21">
        <v>84999</v>
      </c>
      <c r="O482" s="22">
        <v>12</v>
      </c>
      <c r="P482" s="23">
        <v>224397.36</v>
      </c>
      <c r="Q482" s="22">
        <v>4.5</v>
      </c>
      <c r="R482" s="22">
        <v>20</v>
      </c>
      <c r="S482" s="23">
        <f>(Table13[[#This Row],[Unit Price]]*Table13[[#This Row],[No.of Units]])*18%</f>
        <v>45899.46</v>
      </c>
      <c r="T482" s="22" t="s">
        <v>1508</v>
      </c>
    </row>
    <row r="483" spans="2:20" x14ac:dyDescent="0.3">
      <c r="B483" s="5" t="s">
        <v>478</v>
      </c>
      <c r="C483" s="1">
        <v>4283216</v>
      </c>
      <c r="D483" s="1">
        <v>39</v>
      </c>
      <c r="E483" s="1" t="s">
        <v>12</v>
      </c>
      <c r="F483" s="16">
        <v>45770</v>
      </c>
      <c r="G483" s="1" t="s">
        <v>1470</v>
      </c>
      <c r="H483" s="1" t="s">
        <v>1471</v>
      </c>
      <c r="I483" s="17" t="s">
        <v>1504</v>
      </c>
      <c r="J483" s="18" t="s">
        <v>25</v>
      </c>
      <c r="K483" s="19" t="s">
        <v>26</v>
      </c>
      <c r="L483" s="19" t="s">
        <v>49</v>
      </c>
      <c r="M483" s="20">
        <v>5</v>
      </c>
      <c r="N483" s="21">
        <v>69999</v>
      </c>
      <c r="O483" s="22">
        <v>8</v>
      </c>
      <c r="P483" s="23">
        <v>321995.40000000002</v>
      </c>
      <c r="Q483" s="22">
        <v>4.8</v>
      </c>
      <c r="R483" s="22">
        <v>20</v>
      </c>
      <c r="S483" s="23">
        <f>(Table13[[#This Row],[Unit Price]]*Table13[[#This Row],[No.of Units]])*18%</f>
        <v>62999.1</v>
      </c>
      <c r="T483" s="22" t="s">
        <v>1508</v>
      </c>
    </row>
    <row r="484" spans="2:20" x14ac:dyDescent="0.3">
      <c r="B484" s="5" t="s">
        <v>478</v>
      </c>
      <c r="C484" s="1">
        <v>4283216</v>
      </c>
      <c r="D484" s="1">
        <v>53</v>
      </c>
      <c r="E484" s="1" t="s">
        <v>20</v>
      </c>
      <c r="F484" s="16">
        <v>45770</v>
      </c>
      <c r="G484" s="1" t="s">
        <v>1470</v>
      </c>
      <c r="H484" s="1" t="s">
        <v>1472</v>
      </c>
      <c r="I484" s="17" t="s">
        <v>1503</v>
      </c>
      <c r="J484" s="18" t="s">
        <v>28</v>
      </c>
      <c r="K484" s="19" t="s">
        <v>26</v>
      </c>
      <c r="L484" s="19" t="s">
        <v>49</v>
      </c>
      <c r="M484" s="20">
        <v>7</v>
      </c>
      <c r="N484" s="21">
        <v>42999</v>
      </c>
      <c r="O484" s="22">
        <v>15</v>
      </c>
      <c r="P484" s="23">
        <v>255844.05</v>
      </c>
      <c r="Q484" s="22">
        <v>4.5999999999999996</v>
      </c>
      <c r="R484" s="22">
        <v>20</v>
      </c>
      <c r="S484" s="23">
        <f>(Table13[[#This Row],[Unit Price]]*Table13[[#This Row],[No.of Units]])*18%</f>
        <v>54178.74</v>
      </c>
      <c r="T484" s="22" t="s">
        <v>1508</v>
      </c>
    </row>
    <row r="485" spans="2:20" x14ac:dyDescent="0.3">
      <c r="B485" s="5" t="s">
        <v>479</v>
      </c>
      <c r="C485" s="1">
        <v>263159</v>
      </c>
      <c r="D485" s="1">
        <v>47</v>
      </c>
      <c r="E485" s="1" t="s">
        <v>12</v>
      </c>
      <c r="F485" s="16">
        <v>45777</v>
      </c>
      <c r="G485" s="1" t="s">
        <v>1475</v>
      </c>
      <c r="H485" s="1" t="s">
        <v>1482</v>
      </c>
      <c r="I485" s="17" t="s">
        <v>1502</v>
      </c>
      <c r="J485" s="18" t="s">
        <v>13</v>
      </c>
      <c r="K485" s="19" t="s">
        <v>14</v>
      </c>
      <c r="L485" s="19" t="s">
        <v>15</v>
      </c>
      <c r="M485" s="20">
        <v>5</v>
      </c>
      <c r="N485" s="21">
        <v>99999</v>
      </c>
      <c r="O485" s="22">
        <v>10</v>
      </c>
      <c r="P485" s="23">
        <v>449995.5</v>
      </c>
      <c r="Q485" s="22">
        <v>4.7</v>
      </c>
      <c r="R485" s="22">
        <v>20</v>
      </c>
      <c r="S485" s="23">
        <f>(Table13[[#This Row],[Unit Price]]*Table13[[#This Row],[No.of Units]])*18%</f>
        <v>89999.099999999991</v>
      </c>
      <c r="T485" s="22" t="s">
        <v>1507</v>
      </c>
    </row>
    <row r="486" spans="2:20" x14ac:dyDescent="0.3">
      <c r="B486" s="5" t="s">
        <v>480</v>
      </c>
      <c r="C486" s="1">
        <v>2735063</v>
      </c>
      <c r="D486" s="1">
        <v>32</v>
      </c>
      <c r="E486" s="1" t="s">
        <v>12</v>
      </c>
      <c r="F486" s="16">
        <v>45777</v>
      </c>
      <c r="G486" s="1" t="s">
        <v>1470</v>
      </c>
      <c r="H486" s="1" t="s">
        <v>1471</v>
      </c>
      <c r="I486" s="17" t="s">
        <v>1503</v>
      </c>
      <c r="J486" s="18" t="s">
        <v>17</v>
      </c>
      <c r="K486" s="19" t="s">
        <v>18</v>
      </c>
      <c r="L486" s="19" t="s">
        <v>15</v>
      </c>
      <c r="M486" s="20">
        <v>52</v>
      </c>
      <c r="N486" s="21">
        <v>4999</v>
      </c>
      <c r="O486" s="22">
        <v>18</v>
      </c>
      <c r="P486" s="23">
        <v>213157.36</v>
      </c>
      <c r="Q486" s="22">
        <v>4.4000000000000004</v>
      </c>
      <c r="R486" s="22">
        <v>20</v>
      </c>
      <c r="S486" s="23">
        <f>(Table13[[#This Row],[Unit Price]]*Table13[[#This Row],[No.of Units]])*18%</f>
        <v>46790.64</v>
      </c>
      <c r="T486" s="22" t="s">
        <v>1508</v>
      </c>
    </row>
    <row r="487" spans="2:20" x14ac:dyDescent="0.3">
      <c r="B487" s="5" t="s">
        <v>481</v>
      </c>
      <c r="C487" s="1">
        <v>1908556</v>
      </c>
      <c r="D487" s="1">
        <v>31</v>
      </c>
      <c r="E487" s="1" t="s">
        <v>12</v>
      </c>
      <c r="F487" s="16">
        <v>45777</v>
      </c>
      <c r="G487" s="1" t="s">
        <v>1470</v>
      </c>
      <c r="H487" s="1" t="s">
        <v>1471</v>
      </c>
      <c r="I487" s="17" t="s">
        <v>1504</v>
      </c>
      <c r="J487" s="18" t="s">
        <v>21</v>
      </c>
      <c r="K487" s="19" t="s">
        <v>18</v>
      </c>
      <c r="L487" s="19" t="s">
        <v>15</v>
      </c>
      <c r="M487" s="20">
        <v>11</v>
      </c>
      <c r="N487" s="21">
        <v>24900</v>
      </c>
      <c r="O487" s="22">
        <v>5</v>
      </c>
      <c r="P487" s="23">
        <v>260205</v>
      </c>
      <c r="Q487" s="22">
        <v>4.8</v>
      </c>
      <c r="R487" s="22">
        <v>20</v>
      </c>
      <c r="S487" s="23">
        <f>(Table13[[#This Row],[Unit Price]]*Table13[[#This Row],[No.of Units]])*18%</f>
        <v>49302</v>
      </c>
      <c r="T487" s="22" t="s">
        <v>1507</v>
      </c>
    </row>
    <row r="488" spans="2:20" x14ac:dyDescent="0.3">
      <c r="B488" s="5" t="s">
        <v>482</v>
      </c>
      <c r="C488" s="1">
        <v>263726</v>
      </c>
      <c r="D488" s="1">
        <v>57</v>
      </c>
      <c r="E488" s="1" t="s">
        <v>20</v>
      </c>
      <c r="F488" s="16">
        <v>45777</v>
      </c>
      <c r="G488" s="1" t="s">
        <v>1470</v>
      </c>
      <c r="H488" s="1" t="s">
        <v>1482</v>
      </c>
      <c r="I488" s="17" t="s">
        <v>1505</v>
      </c>
      <c r="J488" s="18" t="s">
        <v>23</v>
      </c>
      <c r="K488" s="19" t="s">
        <v>14</v>
      </c>
      <c r="L488" s="19" t="s">
        <v>15</v>
      </c>
      <c r="M488" s="20">
        <v>6</v>
      </c>
      <c r="N488" s="21">
        <v>84999</v>
      </c>
      <c r="O488" s="22">
        <v>12</v>
      </c>
      <c r="P488" s="23">
        <v>448794.72</v>
      </c>
      <c r="Q488" s="22">
        <v>4.5</v>
      </c>
      <c r="R488" s="22">
        <v>20</v>
      </c>
      <c r="S488" s="23">
        <f>(Table13[[#This Row],[Unit Price]]*Table13[[#This Row],[No.of Units]])*18%</f>
        <v>91798.92</v>
      </c>
      <c r="T488" s="22" t="s">
        <v>1507</v>
      </c>
    </row>
    <row r="489" spans="2:20" x14ac:dyDescent="0.3">
      <c r="B489" s="5" t="s">
        <v>483</v>
      </c>
      <c r="C489" s="1">
        <v>828016</v>
      </c>
      <c r="D489" s="1">
        <v>34</v>
      </c>
      <c r="E489" s="1" t="s">
        <v>12</v>
      </c>
      <c r="F489" s="16">
        <v>45777</v>
      </c>
      <c r="G489" s="1" t="s">
        <v>1470</v>
      </c>
      <c r="H489" s="1" t="s">
        <v>1482</v>
      </c>
      <c r="I489" s="17" t="s">
        <v>1504</v>
      </c>
      <c r="J489" s="18" t="s">
        <v>25</v>
      </c>
      <c r="K489" s="19" t="s">
        <v>26</v>
      </c>
      <c r="L489" s="19" t="s">
        <v>15</v>
      </c>
      <c r="M489" s="20">
        <v>3</v>
      </c>
      <c r="N489" s="21">
        <v>69999</v>
      </c>
      <c r="O489" s="22">
        <v>8</v>
      </c>
      <c r="P489" s="23">
        <v>193197.24</v>
      </c>
      <c r="Q489" s="22">
        <v>4.8</v>
      </c>
      <c r="R489" s="22">
        <v>20</v>
      </c>
      <c r="S489" s="23">
        <f>(Table13[[#This Row],[Unit Price]]*Table13[[#This Row],[No.of Units]])*18%</f>
        <v>37799.46</v>
      </c>
      <c r="T489" s="22" t="s">
        <v>1507</v>
      </c>
    </row>
    <row r="490" spans="2:20" x14ac:dyDescent="0.3">
      <c r="B490" s="5" t="s">
        <v>484</v>
      </c>
      <c r="C490" s="1">
        <v>3510246</v>
      </c>
      <c r="D490" s="1">
        <v>18</v>
      </c>
      <c r="E490" s="1" t="s">
        <v>34</v>
      </c>
      <c r="F490" s="16">
        <v>45777</v>
      </c>
      <c r="G490" s="1" t="s">
        <v>1470</v>
      </c>
      <c r="H490" s="1" t="s">
        <v>1471</v>
      </c>
      <c r="I490" s="17" t="s">
        <v>1503</v>
      </c>
      <c r="J490" s="18" t="s">
        <v>28</v>
      </c>
      <c r="K490" s="19" t="s">
        <v>26</v>
      </c>
      <c r="L490" s="19" t="s">
        <v>15</v>
      </c>
      <c r="M490" s="20">
        <v>11</v>
      </c>
      <c r="N490" s="21">
        <v>42999</v>
      </c>
      <c r="O490" s="22">
        <v>15</v>
      </c>
      <c r="P490" s="23">
        <v>402040.65</v>
      </c>
      <c r="Q490" s="22">
        <v>4.5999999999999996</v>
      </c>
      <c r="R490" s="22">
        <v>20</v>
      </c>
      <c r="S490" s="23">
        <f>(Table13[[#This Row],[Unit Price]]*Table13[[#This Row],[No.of Units]])*18%</f>
        <v>85138.02</v>
      </c>
      <c r="T490" s="22" t="s">
        <v>1508</v>
      </c>
    </row>
    <row r="491" spans="2:20" x14ac:dyDescent="0.3">
      <c r="B491" s="5" t="s">
        <v>485</v>
      </c>
      <c r="C491" s="1">
        <v>1562996</v>
      </c>
      <c r="D491" s="1">
        <v>23</v>
      </c>
      <c r="E491" s="1" t="s">
        <v>12</v>
      </c>
      <c r="F491" s="16">
        <v>45777</v>
      </c>
      <c r="G491" s="1" t="s">
        <v>1470</v>
      </c>
      <c r="H491" s="1" t="s">
        <v>1482</v>
      </c>
      <c r="I491" s="17" t="s">
        <v>1502</v>
      </c>
      <c r="J491" s="18" t="s">
        <v>13</v>
      </c>
      <c r="K491" s="19" t="s">
        <v>14</v>
      </c>
      <c r="L491" s="19" t="s">
        <v>29</v>
      </c>
      <c r="M491" s="20">
        <v>4</v>
      </c>
      <c r="N491" s="21">
        <v>99999</v>
      </c>
      <c r="O491" s="22">
        <v>10</v>
      </c>
      <c r="P491" s="23">
        <v>359996.4</v>
      </c>
      <c r="Q491" s="22">
        <v>4.7</v>
      </c>
      <c r="R491" s="22">
        <v>20</v>
      </c>
      <c r="S491" s="23">
        <f>(Table13[[#This Row],[Unit Price]]*Table13[[#This Row],[No.of Units]])*18%</f>
        <v>71999.28</v>
      </c>
      <c r="T491" s="22" t="s">
        <v>1508</v>
      </c>
    </row>
    <row r="492" spans="2:20" x14ac:dyDescent="0.3">
      <c r="B492" s="5" t="s">
        <v>485</v>
      </c>
      <c r="C492" s="1">
        <v>1562996</v>
      </c>
      <c r="D492" s="1">
        <v>69</v>
      </c>
      <c r="E492" s="1" t="s">
        <v>20</v>
      </c>
      <c r="F492" s="16">
        <v>45777</v>
      </c>
      <c r="G492" s="1" t="s">
        <v>1470</v>
      </c>
      <c r="H492" s="1" t="s">
        <v>1483</v>
      </c>
      <c r="I492" s="17" t="s">
        <v>1503</v>
      </c>
      <c r="J492" s="18" t="s">
        <v>17</v>
      </c>
      <c r="K492" s="19" t="s">
        <v>18</v>
      </c>
      <c r="L492" s="19" t="s">
        <v>29</v>
      </c>
      <c r="M492" s="20">
        <v>33</v>
      </c>
      <c r="N492" s="21">
        <v>4999</v>
      </c>
      <c r="O492" s="22">
        <v>18</v>
      </c>
      <c r="P492" s="23">
        <v>135272.94</v>
      </c>
      <c r="Q492" s="22">
        <v>4.4000000000000004</v>
      </c>
      <c r="R492" s="22">
        <v>20</v>
      </c>
      <c r="S492" s="23">
        <f>(Table13[[#This Row],[Unit Price]]*Table13[[#This Row],[No.of Units]])*18%</f>
        <v>29694.059999999998</v>
      </c>
      <c r="T492" s="22" t="s">
        <v>1508</v>
      </c>
    </row>
    <row r="493" spans="2:20" x14ac:dyDescent="0.3">
      <c r="B493" s="5" t="s">
        <v>486</v>
      </c>
      <c r="C493" s="1">
        <v>1412370</v>
      </c>
      <c r="D493" s="1">
        <v>32</v>
      </c>
      <c r="E493" s="1" t="s">
        <v>12</v>
      </c>
      <c r="F493" s="16">
        <v>45777</v>
      </c>
      <c r="G493" s="1" t="s">
        <v>1470</v>
      </c>
      <c r="H493" s="1" t="s">
        <v>1471</v>
      </c>
      <c r="I493" s="17" t="s">
        <v>1504</v>
      </c>
      <c r="J493" s="18" t="s">
        <v>21</v>
      </c>
      <c r="K493" s="19" t="s">
        <v>18</v>
      </c>
      <c r="L493" s="19" t="s">
        <v>29</v>
      </c>
      <c r="M493" s="20">
        <v>7</v>
      </c>
      <c r="N493" s="21">
        <v>24900</v>
      </c>
      <c r="O493" s="22">
        <v>5</v>
      </c>
      <c r="P493" s="23">
        <v>165585</v>
      </c>
      <c r="Q493" s="22">
        <v>4.8</v>
      </c>
      <c r="R493" s="22">
        <v>20</v>
      </c>
      <c r="S493" s="23">
        <f>(Table13[[#This Row],[Unit Price]]*Table13[[#This Row],[No.of Units]])*18%</f>
        <v>31374</v>
      </c>
      <c r="T493" s="22" t="s">
        <v>1508</v>
      </c>
    </row>
    <row r="494" spans="2:20" x14ac:dyDescent="0.3">
      <c r="B494" s="5" t="s">
        <v>487</v>
      </c>
      <c r="C494" s="1">
        <v>195090</v>
      </c>
      <c r="D494" s="1">
        <v>31</v>
      </c>
      <c r="E494" s="1" t="s">
        <v>12</v>
      </c>
      <c r="F494" s="16">
        <v>45777</v>
      </c>
      <c r="G494" s="1" t="s">
        <v>1475</v>
      </c>
      <c r="H494" s="1" t="s">
        <v>1472</v>
      </c>
      <c r="I494" s="17" t="s">
        <v>1505</v>
      </c>
      <c r="J494" s="18" t="s">
        <v>23</v>
      </c>
      <c r="K494" s="19" t="s">
        <v>14</v>
      </c>
      <c r="L494" s="19" t="s">
        <v>29</v>
      </c>
      <c r="M494" s="20">
        <v>3</v>
      </c>
      <c r="N494" s="21">
        <v>84999</v>
      </c>
      <c r="O494" s="22">
        <v>12</v>
      </c>
      <c r="P494" s="23">
        <v>224397.36</v>
      </c>
      <c r="Q494" s="22">
        <v>4.5</v>
      </c>
      <c r="R494" s="22">
        <v>20</v>
      </c>
      <c r="S494" s="23">
        <f>(Table13[[#This Row],[Unit Price]]*Table13[[#This Row],[No.of Units]])*18%</f>
        <v>45899.46</v>
      </c>
      <c r="T494" s="22" t="s">
        <v>1507</v>
      </c>
    </row>
    <row r="495" spans="2:20" x14ac:dyDescent="0.3">
      <c r="B495" s="5" t="s">
        <v>488</v>
      </c>
      <c r="C495" s="1">
        <v>4805720</v>
      </c>
      <c r="D495" s="1">
        <v>48</v>
      </c>
      <c r="E495" s="1" t="s">
        <v>12</v>
      </c>
      <c r="F495" s="16">
        <v>45777</v>
      </c>
      <c r="G495" s="1" t="s">
        <v>1474</v>
      </c>
      <c r="H495" s="1" t="s">
        <v>1472</v>
      </c>
      <c r="I495" s="17" t="s">
        <v>1504</v>
      </c>
      <c r="J495" s="18" t="s">
        <v>25</v>
      </c>
      <c r="K495" s="19" t="s">
        <v>26</v>
      </c>
      <c r="L495" s="19" t="s">
        <v>29</v>
      </c>
      <c r="M495" s="20">
        <v>6</v>
      </c>
      <c r="N495" s="21">
        <v>69999</v>
      </c>
      <c r="O495" s="22">
        <v>8</v>
      </c>
      <c r="P495" s="23">
        <v>386394.48</v>
      </c>
      <c r="Q495" s="22">
        <v>4.8</v>
      </c>
      <c r="R495" s="22">
        <v>20</v>
      </c>
      <c r="S495" s="23">
        <f>(Table13[[#This Row],[Unit Price]]*Table13[[#This Row],[No.of Units]])*18%</f>
        <v>75598.92</v>
      </c>
      <c r="T495" s="22" t="s">
        <v>1508</v>
      </c>
    </row>
    <row r="496" spans="2:20" x14ac:dyDescent="0.3">
      <c r="B496" s="5" t="s">
        <v>489</v>
      </c>
      <c r="C496" s="1">
        <v>1482595</v>
      </c>
      <c r="D496" s="1">
        <v>55</v>
      </c>
      <c r="E496" s="1" t="s">
        <v>20</v>
      </c>
      <c r="F496" s="16">
        <v>45777</v>
      </c>
      <c r="G496" s="1" t="s">
        <v>1470</v>
      </c>
      <c r="H496" s="1" t="s">
        <v>1481</v>
      </c>
      <c r="I496" s="17" t="s">
        <v>1503</v>
      </c>
      <c r="J496" s="18" t="s">
        <v>28</v>
      </c>
      <c r="K496" s="19" t="s">
        <v>26</v>
      </c>
      <c r="L496" s="19" t="s">
        <v>29</v>
      </c>
      <c r="M496" s="20">
        <v>7</v>
      </c>
      <c r="N496" s="21">
        <v>42999</v>
      </c>
      <c r="O496" s="22">
        <v>15</v>
      </c>
      <c r="P496" s="23">
        <v>255844.05</v>
      </c>
      <c r="Q496" s="22">
        <v>4.5999999999999996</v>
      </c>
      <c r="R496" s="22">
        <v>20</v>
      </c>
      <c r="S496" s="23">
        <f>(Table13[[#This Row],[Unit Price]]*Table13[[#This Row],[No.of Units]])*18%</f>
        <v>54178.74</v>
      </c>
      <c r="T496" s="22" t="s">
        <v>1508</v>
      </c>
    </row>
    <row r="497" spans="2:20" x14ac:dyDescent="0.3">
      <c r="B497" s="5" t="s">
        <v>490</v>
      </c>
      <c r="C497" s="1">
        <v>561569</v>
      </c>
      <c r="D497" s="1">
        <v>74</v>
      </c>
      <c r="E497" s="1" t="s">
        <v>20</v>
      </c>
      <c r="F497" s="16">
        <v>45777</v>
      </c>
      <c r="G497" s="1" t="s">
        <v>1470</v>
      </c>
      <c r="H497" s="1" t="s">
        <v>1471</v>
      </c>
      <c r="I497" s="17" t="s">
        <v>1502</v>
      </c>
      <c r="J497" s="18" t="s">
        <v>13</v>
      </c>
      <c r="K497" s="19" t="s">
        <v>14</v>
      </c>
      <c r="L497" s="19" t="s">
        <v>35</v>
      </c>
      <c r="M497" s="20">
        <v>6</v>
      </c>
      <c r="N497" s="21">
        <v>99999</v>
      </c>
      <c r="O497" s="22">
        <v>10</v>
      </c>
      <c r="P497" s="23">
        <v>539994.6</v>
      </c>
      <c r="Q497" s="22">
        <v>4.7</v>
      </c>
      <c r="R497" s="22">
        <v>20</v>
      </c>
      <c r="S497" s="23">
        <f>(Table13[[#This Row],[Unit Price]]*Table13[[#This Row],[No.of Units]])*18%</f>
        <v>107998.92</v>
      </c>
      <c r="T497" s="22" t="s">
        <v>1508</v>
      </c>
    </row>
    <row r="498" spans="2:20" x14ac:dyDescent="0.3">
      <c r="B498" s="5" t="s">
        <v>491</v>
      </c>
      <c r="C498" s="1">
        <v>9913700</v>
      </c>
      <c r="D498" s="1">
        <v>28</v>
      </c>
      <c r="E498" s="1" t="s">
        <v>12</v>
      </c>
      <c r="F498" s="16">
        <v>45777</v>
      </c>
      <c r="G498" s="1" t="s">
        <v>1470</v>
      </c>
      <c r="H498" s="1" t="s">
        <v>1472</v>
      </c>
      <c r="I498" s="17" t="s">
        <v>1503</v>
      </c>
      <c r="J498" s="18" t="s">
        <v>17</v>
      </c>
      <c r="K498" s="19" t="s">
        <v>18</v>
      </c>
      <c r="L498" s="19" t="s">
        <v>35</v>
      </c>
      <c r="M498" s="20">
        <v>41</v>
      </c>
      <c r="N498" s="21">
        <v>4999</v>
      </c>
      <c r="O498" s="22">
        <v>18</v>
      </c>
      <c r="P498" s="23">
        <v>168066.38</v>
      </c>
      <c r="Q498" s="22">
        <v>4.4000000000000004</v>
      </c>
      <c r="R498" s="22">
        <v>20</v>
      </c>
      <c r="S498" s="23">
        <f>(Table13[[#This Row],[Unit Price]]*Table13[[#This Row],[No.of Units]])*18%</f>
        <v>36892.619999999995</v>
      </c>
      <c r="T498" s="22" t="s">
        <v>1508</v>
      </c>
    </row>
    <row r="499" spans="2:20" x14ac:dyDescent="0.3">
      <c r="B499" s="5" t="s">
        <v>492</v>
      </c>
      <c r="C499" s="1">
        <v>6038553</v>
      </c>
      <c r="D499" s="1">
        <v>21</v>
      </c>
      <c r="E499" s="1" t="s">
        <v>12</v>
      </c>
      <c r="F499" s="16">
        <v>45777</v>
      </c>
      <c r="G499" s="1" t="s">
        <v>1470</v>
      </c>
      <c r="H499" s="1" t="s">
        <v>1483</v>
      </c>
      <c r="I499" s="17" t="s">
        <v>1504</v>
      </c>
      <c r="J499" s="18" t="s">
        <v>21</v>
      </c>
      <c r="K499" s="19" t="s">
        <v>18</v>
      </c>
      <c r="L499" s="19" t="s">
        <v>35</v>
      </c>
      <c r="M499" s="20">
        <v>13</v>
      </c>
      <c r="N499" s="21">
        <v>24900</v>
      </c>
      <c r="O499" s="22">
        <v>5</v>
      </c>
      <c r="P499" s="23">
        <v>307515</v>
      </c>
      <c r="Q499" s="22">
        <v>4.8</v>
      </c>
      <c r="R499" s="22">
        <v>20</v>
      </c>
      <c r="S499" s="23">
        <f>(Table13[[#This Row],[Unit Price]]*Table13[[#This Row],[No.of Units]])*18%</f>
        <v>58266</v>
      </c>
      <c r="T499" s="22" t="s">
        <v>1508</v>
      </c>
    </row>
    <row r="500" spans="2:20" x14ac:dyDescent="0.3">
      <c r="B500" s="5" t="s">
        <v>493</v>
      </c>
      <c r="C500" s="1">
        <v>3491457</v>
      </c>
      <c r="D500" s="1">
        <v>32</v>
      </c>
      <c r="E500" s="1" t="s">
        <v>12</v>
      </c>
      <c r="F500" s="16">
        <v>45777</v>
      </c>
      <c r="G500" s="1" t="s">
        <v>1470</v>
      </c>
      <c r="H500" s="1" t="s">
        <v>1483</v>
      </c>
      <c r="I500" s="17" t="s">
        <v>1505</v>
      </c>
      <c r="J500" s="18" t="s">
        <v>23</v>
      </c>
      <c r="K500" s="19" t="s">
        <v>14</v>
      </c>
      <c r="L500" s="19" t="s">
        <v>35</v>
      </c>
      <c r="M500" s="20">
        <v>6</v>
      </c>
      <c r="N500" s="21">
        <v>84999</v>
      </c>
      <c r="O500" s="22">
        <v>12</v>
      </c>
      <c r="P500" s="23">
        <v>448794.72</v>
      </c>
      <c r="Q500" s="22">
        <v>4.5</v>
      </c>
      <c r="R500" s="22">
        <v>20</v>
      </c>
      <c r="S500" s="23">
        <f>(Table13[[#This Row],[Unit Price]]*Table13[[#This Row],[No.of Units]])*18%</f>
        <v>91798.92</v>
      </c>
      <c r="T500" s="22" t="s">
        <v>1508</v>
      </c>
    </row>
    <row r="501" spans="2:20" x14ac:dyDescent="0.3">
      <c r="B501" s="5" t="s">
        <v>494</v>
      </c>
      <c r="C501" s="1">
        <v>9395757</v>
      </c>
      <c r="D501" s="1">
        <v>47</v>
      </c>
      <c r="E501" s="1" t="s">
        <v>12</v>
      </c>
      <c r="F501" s="16">
        <v>45777</v>
      </c>
      <c r="G501" s="1" t="s">
        <v>1470</v>
      </c>
      <c r="H501" s="1" t="s">
        <v>1471</v>
      </c>
      <c r="I501" s="17" t="s">
        <v>1504</v>
      </c>
      <c r="J501" s="18" t="s">
        <v>25</v>
      </c>
      <c r="K501" s="19" t="s">
        <v>26</v>
      </c>
      <c r="L501" s="19" t="s">
        <v>35</v>
      </c>
      <c r="M501" s="20">
        <v>3</v>
      </c>
      <c r="N501" s="21">
        <v>69999</v>
      </c>
      <c r="O501" s="22">
        <v>8</v>
      </c>
      <c r="P501" s="23">
        <v>193197.24</v>
      </c>
      <c r="Q501" s="22">
        <v>4.8</v>
      </c>
      <c r="R501" s="22">
        <v>20</v>
      </c>
      <c r="S501" s="23">
        <f>(Table13[[#This Row],[Unit Price]]*Table13[[#This Row],[No.of Units]])*18%</f>
        <v>37799.46</v>
      </c>
      <c r="T501" s="22" t="s">
        <v>1508</v>
      </c>
    </row>
    <row r="502" spans="2:20" x14ac:dyDescent="0.3">
      <c r="B502" s="5" t="s">
        <v>495</v>
      </c>
      <c r="C502" s="1">
        <v>5763184</v>
      </c>
      <c r="D502" s="1">
        <v>30</v>
      </c>
      <c r="E502" s="1" t="s">
        <v>12</v>
      </c>
      <c r="F502" s="16">
        <v>45777</v>
      </c>
      <c r="G502" s="1" t="s">
        <v>1470</v>
      </c>
      <c r="H502" s="1" t="s">
        <v>1472</v>
      </c>
      <c r="I502" s="17" t="s">
        <v>1503</v>
      </c>
      <c r="J502" s="18" t="s">
        <v>28</v>
      </c>
      <c r="K502" s="19" t="s">
        <v>26</v>
      </c>
      <c r="L502" s="19" t="s">
        <v>35</v>
      </c>
      <c r="M502" s="20">
        <v>10</v>
      </c>
      <c r="N502" s="21">
        <v>42999</v>
      </c>
      <c r="O502" s="22">
        <v>15</v>
      </c>
      <c r="P502" s="23">
        <v>365491.5</v>
      </c>
      <c r="Q502" s="22">
        <v>4.5999999999999996</v>
      </c>
      <c r="R502" s="22">
        <v>20</v>
      </c>
      <c r="S502" s="23">
        <f>(Table13[[#This Row],[Unit Price]]*Table13[[#This Row],[No.of Units]])*18%</f>
        <v>77398.2</v>
      </c>
      <c r="T502" s="22" t="s">
        <v>1508</v>
      </c>
    </row>
    <row r="503" spans="2:20" x14ac:dyDescent="0.3">
      <c r="B503" s="5" t="s">
        <v>496</v>
      </c>
      <c r="C503" s="1">
        <v>3307096</v>
      </c>
      <c r="D503" s="1">
        <v>38</v>
      </c>
      <c r="E503" s="1" t="s">
        <v>12</v>
      </c>
      <c r="F503" s="16">
        <v>45777</v>
      </c>
      <c r="G503" s="1" t="s">
        <v>1470</v>
      </c>
      <c r="H503" s="1" t="s">
        <v>1471</v>
      </c>
      <c r="I503" s="17" t="s">
        <v>1502</v>
      </c>
      <c r="J503" s="18" t="s">
        <v>13</v>
      </c>
      <c r="K503" s="19" t="s">
        <v>14</v>
      </c>
      <c r="L503" s="19" t="s">
        <v>42</v>
      </c>
      <c r="M503" s="20">
        <v>4</v>
      </c>
      <c r="N503" s="21">
        <v>99999</v>
      </c>
      <c r="O503" s="22">
        <v>10</v>
      </c>
      <c r="P503" s="23">
        <v>359996.4</v>
      </c>
      <c r="Q503" s="22">
        <v>4.7</v>
      </c>
      <c r="R503" s="22">
        <v>20</v>
      </c>
      <c r="S503" s="23">
        <f>(Table13[[#This Row],[Unit Price]]*Table13[[#This Row],[No.of Units]])*18%</f>
        <v>71999.28</v>
      </c>
      <c r="T503" s="22" t="s">
        <v>1507</v>
      </c>
    </row>
    <row r="504" spans="2:20" x14ac:dyDescent="0.3">
      <c r="B504" s="5" t="s">
        <v>497</v>
      </c>
      <c r="C504" s="1">
        <v>1646848</v>
      </c>
      <c r="D504" s="1">
        <v>56</v>
      </c>
      <c r="E504" s="1" t="s">
        <v>20</v>
      </c>
      <c r="F504" s="16">
        <v>45777</v>
      </c>
      <c r="G504" s="1" t="s">
        <v>1470</v>
      </c>
      <c r="H504" s="1" t="s">
        <v>1482</v>
      </c>
      <c r="I504" s="17" t="s">
        <v>1503</v>
      </c>
      <c r="J504" s="18" t="s">
        <v>17</v>
      </c>
      <c r="K504" s="19" t="s">
        <v>18</v>
      </c>
      <c r="L504" s="19" t="s">
        <v>42</v>
      </c>
      <c r="M504" s="20">
        <v>47</v>
      </c>
      <c r="N504" s="21">
        <v>4999</v>
      </c>
      <c r="O504" s="22">
        <v>18</v>
      </c>
      <c r="P504" s="23">
        <v>192661.46</v>
      </c>
      <c r="Q504" s="22">
        <v>4.4000000000000004</v>
      </c>
      <c r="R504" s="22">
        <v>20</v>
      </c>
      <c r="S504" s="23">
        <f>(Table13[[#This Row],[Unit Price]]*Table13[[#This Row],[No.of Units]])*18%</f>
        <v>42291.54</v>
      </c>
      <c r="T504" s="22" t="s">
        <v>1507</v>
      </c>
    </row>
    <row r="505" spans="2:20" x14ac:dyDescent="0.3">
      <c r="B505" s="5" t="s">
        <v>498</v>
      </c>
      <c r="C505" s="1">
        <v>6918550</v>
      </c>
      <c r="D505" s="1">
        <v>35</v>
      </c>
      <c r="E505" s="1" t="s">
        <v>12</v>
      </c>
      <c r="F505" s="16">
        <v>45777</v>
      </c>
      <c r="G505" s="1" t="s">
        <v>1470</v>
      </c>
      <c r="H505" s="1" t="s">
        <v>1483</v>
      </c>
      <c r="I505" s="17" t="s">
        <v>1504</v>
      </c>
      <c r="J505" s="18" t="s">
        <v>21</v>
      </c>
      <c r="K505" s="19" t="s">
        <v>18</v>
      </c>
      <c r="L505" s="19" t="s">
        <v>42</v>
      </c>
      <c r="M505" s="20">
        <v>5</v>
      </c>
      <c r="N505" s="21">
        <v>24900</v>
      </c>
      <c r="O505" s="22">
        <v>5</v>
      </c>
      <c r="P505" s="23">
        <v>118275</v>
      </c>
      <c r="Q505" s="22">
        <v>4.8</v>
      </c>
      <c r="R505" s="22">
        <v>20</v>
      </c>
      <c r="S505" s="23">
        <f>(Table13[[#This Row],[Unit Price]]*Table13[[#This Row],[No.of Units]])*18%</f>
        <v>22410</v>
      </c>
      <c r="T505" s="22" t="s">
        <v>1508</v>
      </c>
    </row>
    <row r="506" spans="2:20" x14ac:dyDescent="0.3">
      <c r="B506" s="5" t="s">
        <v>499</v>
      </c>
      <c r="C506" s="1">
        <v>470788</v>
      </c>
      <c r="D506" s="1">
        <v>44</v>
      </c>
      <c r="E506" s="1" t="s">
        <v>12</v>
      </c>
      <c r="F506" s="16">
        <v>45777</v>
      </c>
      <c r="G506" s="1" t="s">
        <v>1470</v>
      </c>
      <c r="H506" s="1" t="s">
        <v>1482</v>
      </c>
      <c r="I506" s="17" t="s">
        <v>1505</v>
      </c>
      <c r="J506" s="18" t="s">
        <v>23</v>
      </c>
      <c r="K506" s="19" t="s">
        <v>14</v>
      </c>
      <c r="L506" s="19" t="s">
        <v>42</v>
      </c>
      <c r="M506" s="20">
        <v>5</v>
      </c>
      <c r="N506" s="21">
        <v>84999</v>
      </c>
      <c r="O506" s="22">
        <v>12</v>
      </c>
      <c r="P506" s="23">
        <v>373995.6</v>
      </c>
      <c r="Q506" s="22">
        <v>4.5</v>
      </c>
      <c r="R506" s="22">
        <v>20</v>
      </c>
      <c r="S506" s="23">
        <f>(Table13[[#This Row],[Unit Price]]*Table13[[#This Row],[No.of Units]])*18%</f>
        <v>76499.099999999991</v>
      </c>
      <c r="T506" s="22" t="s">
        <v>1507</v>
      </c>
    </row>
    <row r="507" spans="2:20" x14ac:dyDescent="0.3">
      <c r="B507" s="5" t="s">
        <v>500</v>
      </c>
      <c r="C507" s="1">
        <v>4125863</v>
      </c>
      <c r="D507" s="1">
        <v>31</v>
      </c>
      <c r="E507" s="1" t="s">
        <v>12</v>
      </c>
      <c r="F507" s="16">
        <v>45777</v>
      </c>
      <c r="G507" s="1" t="s">
        <v>1470</v>
      </c>
      <c r="H507" s="1" t="s">
        <v>1471</v>
      </c>
      <c r="I507" s="17" t="s">
        <v>1504</v>
      </c>
      <c r="J507" s="18" t="s">
        <v>25</v>
      </c>
      <c r="K507" s="19" t="s">
        <v>26</v>
      </c>
      <c r="L507" s="19" t="s">
        <v>42</v>
      </c>
      <c r="M507" s="20">
        <v>4</v>
      </c>
      <c r="N507" s="21">
        <v>69999</v>
      </c>
      <c r="O507" s="22">
        <v>8</v>
      </c>
      <c r="P507" s="23">
        <v>257596.32</v>
      </c>
      <c r="Q507" s="22">
        <v>4.8</v>
      </c>
      <c r="R507" s="22">
        <v>20</v>
      </c>
      <c r="S507" s="23">
        <f>(Table13[[#This Row],[Unit Price]]*Table13[[#This Row],[No.of Units]])*18%</f>
        <v>50399.28</v>
      </c>
      <c r="T507" s="22" t="s">
        <v>1508</v>
      </c>
    </row>
    <row r="508" spans="2:20" x14ac:dyDescent="0.3">
      <c r="B508" s="5" t="s">
        <v>501</v>
      </c>
      <c r="C508" s="1">
        <v>1619093</v>
      </c>
      <c r="D508" s="1">
        <v>44</v>
      </c>
      <c r="E508" s="1" t="s">
        <v>12</v>
      </c>
      <c r="F508" s="16">
        <v>45777</v>
      </c>
      <c r="G508" s="1" t="s">
        <v>1470</v>
      </c>
      <c r="H508" s="1" t="s">
        <v>1482</v>
      </c>
      <c r="I508" s="17" t="s">
        <v>1503</v>
      </c>
      <c r="J508" s="18" t="s">
        <v>28</v>
      </c>
      <c r="K508" s="19" t="s">
        <v>26</v>
      </c>
      <c r="L508" s="19" t="s">
        <v>42</v>
      </c>
      <c r="M508" s="20">
        <v>10</v>
      </c>
      <c r="N508" s="21">
        <v>42999</v>
      </c>
      <c r="O508" s="22">
        <v>15</v>
      </c>
      <c r="P508" s="23">
        <v>365491.5</v>
      </c>
      <c r="Q508" s="22">
        <v>4.5999999999999996</v>
      </c>
      <c r="R508" s="22">
        <v>20</v>
      </c>
      <c r="S508" s="23">
        <f>(Table13[[#This Row],[Unit Price]]*Table13[[#This Row],[No.of Units]])*18%</f>
        <v>77398.2</v>
      </c>
      <c r="T508" s="22" t="s">
        <v>1508</v>
      </c>
    </row>
    <row r="509" spans="2:20" x14ac:dyDescent="0.3">
      <c r="B509" s="5" t="s">
        <v>501</v>
      </c>
      <c r="C509" s="1">
        <v>1619093</v>
      </c>
      <c r="D509" s="1">
        <v>22</v>
      </c>
      <c r="E509" s="1" t="s">
        <v>12</v>
      </c>
      <c r="F509" s="16">
        <v>45777</v>
      </c>
      <c r="G509" s="1" t="s">
        <v>1470</v>
      </c>
      <c r="H509" s="1" t="s">
        <v>1482</v>
      </c>
      <c r="I509" s="17" t="s">
        <v>1502</v>
      </c>
      <c r="J509" s="18" t="s">
        <v>13</v>
      </c>
      <c r="K509" s="19" t="s">
        <v>14</v>
      </c>
      <c r="L509" s="19" t="s">
        <v>49</v>
      </c>
      <c r="M509" s="20">
        <v>6</v>
      </c>
      <c r="N509" s="21">
        <v>99999</v>
      </c>
      <c r="O509" s="22">
        <v>10</v>
      </c>
      <c r="P509" s="23">
        <v>539994.6</v>
      </c>
      <c r="Q509" s="22">
        <v>4.7</v>
      </c>
      <c r="R509" s="22">
        <v>20</v>
      </c>
      <c r="S509" s="23">
        <f>(Table13[[#This Row],[Unit Price]]*Table13[[#This Row],[No.of Units]])*18%</f>
        <v>107998.92</v>
      </c>
      <c r="T509" s="22" t="s">
        <v>1507</v>
      </c>
    </row>
    <row r="510" spans="2:20" x14ac:dyDescent="0.3">
      <c r="B510" s="5" t="s">
        <v>502</v>
      </c>
      <c r="C510" s="1">
        <v>3714219</v>
      </c>
      <c r="D510" s="1">
        <v>53</v>
      </c>
      <c r="E510" s="1" t="s">
        <v>20</v>
      </c>
      <c r="F510" s="16">
        <v>45777</v>
      </c>
      <c r="G510" s="1" t="s">
        <v>1475</v>
      </c>
      <c r="H510" s="1" t="s">
        <v>1471</v>
      </c>
      <c r="I510" s="17" t="s">
        <v>1503</v>
      </c>
      <c r="J510" s="18" t="s">
        <v>17</v>
      </c>
      <c r="K510" s="19" t="s">
        <v>18</v>
      </c>
      <c r="L510" s="19" t="s">
        <v>49</v>
      </c>
      <c r="M510" s="20">
        <v>50</v>
      </c>
      <c r="N510" s="21">
        <v>4999</v>
      </c>
      <c r="O510" s="22">
        <v>18</v>
      </c>
      <c r="P510" s="23">
        <v>204959</v>
      </c>
      <c r="Q510" s="22">
        <v>4.4000000000000004</v>
      </c>
      <c r="R510" s="22">
        <v>20</v>
      </c>
      <c r="S510" s="23">
        <f>(Table13[[#This Row],[Unit Price]]*Table13[[#This Row],[No.of Units]])*18%</f>
        <v>44991</v>
      </c>
      <c r="T510" s="22" t="s">
        <v>1508</v>
      </c>
    </row>
    <row r="511" spans="2:20" x14ac:dyDescent="0.3">
      <c r="B511" s="5" t="s">
        <v>503</v>
      </c>
      <c r="C511" s="1">
        <v>8275680</v>
      </c>
      <c r="D511" s="1">
        <v>47</v>
      </c>
      <c r="E511" s="1" t="s">
        <v>12</v>
      </c>
      <c r="F511" s="16">
        <v>45777</v>
      </c>
      <c r="G511" s="1" t="s">
        <v>1470</v>
      </c>
      <c r="H511" s="1" t="s">
        <v>1481</v>
      </c>
      <c r="I511" s="17" t="s">
        <v>1504</v>
      </c>
      <c r="J511" s="18" t="s">
        <v>21</v>
      </c>
      <c r="K511" s="19" t="s">
        <v>18</v>
      </c>
      <c r="L511" s="19" t="s">
        <v>49</v>
      </c>
      <c r="M511" s="20">
        <v>11</v>
      </c>
      <c r="N511" s="21">
        <v>24900</v>
      </c>
      <c r="O511" s="22">
        <v>5</v>
      </c>
      <c r="P511" s="23">
        <v>260205</v>
      </c>
      <c r="Q511" s="22">
        <v>4.8</v>
      </c>
      <c r="R511" s="22">
        <v>20</v>
      </c>
      <c r="S511" s="23">
        <f>(Table13[[#This Row],[Unit Price]]*Table13[[#This Row],[No.of Units]])*18%</f>
        <v>49302</v>
      </c>
      <c r="T511" s="22" t="s">
        <v>1507</v>
      </c>
    </row>
    <row r="512" spans="2:20" x14ac:dyDescent="0.3">
      <c r="B512" s="5" t="s">
        <v>504</v>
      </c>
      <c r="C512" s="1">
        <v>6032671</v>
      </c>
      <c r="D512" s="1">
        <v>34</v>
      </c>
      <c r="E512" s="1" t="s">
        <v>12</v>
      </c>
      <c r="F512" s="16">
        <v>45777</v>
      </c>
      <c r="G512" s="1" t="s">
        <v>1470</v>
      </c>
      <c r="H512" s="1" t="s">
        <v>1471</v>
      </c>
      <c r="I512" s="17" t="s">
        <v>1505</v>
      </c>
      <c r="J512" s="18" t="s">
        <v>23</v>
      </c>
      <c r="K512" s="19" t="s">
        <v>14</v>
      </c>
      <c r="L512" s="19" t="s">
        <v>49</v>
      </c>
      <c r="M512" s="20">
        <v>2</v>
      </c>
      <c r="N512" s="21">
        <v>84999</v>
      </c>
      <c r="O512" s="22">
        <v>12</v>
      </c>
      <c r="P512" s="23">
        <v>149598.24</v>
      </c>
      <c r="Q512" s="22">
        <v>4.5</v>
      </c>
      <c r="R512" s="22">
        <v>20</v>
      </c>
      <c r="S512" s="23">
        <f>(Table13[[#This Row],[Unit Price]]*Table13[[#This Row],[No.of Units]])*18%</f>
        <v>30599.64</v>
      </c>
      <c r="T512" s="22" t="s">
        <v>1507</v>
      </c>
    </row>
    <row r="513" spans="2:20" x14ac:dyDescent="0.3">
      <c r="B513" s="5" t="s">
        <v>505</v>
      </c>
      <c r="C513" s="1">
        <v>6130966</v>
      </c>
      <c r="D513" s="1">
        <v>18</v>
      </c>
      <c r="E513" s="1" t="s">
        <v>34</v>
      </c>
      <c r="F513" s="16">
        <v>45777</v>
      </c>
      <c r="G513" s="1" t="s">
        <v>1475</v>
      </c>
      <c r="H513" s="1" t="s">
        <v>1482</v>
      </c>
      <c r="I513" s="17" t="s">
        <v>1504</v>
      </c>
      <c r="J513" s="18" t="s">
        <v>25</v>
      </c>
      <c r="K513" s="19" t="s">
        <v>26</v>
      </c>
      <c r="L513" s="19" t="s">
        <v>49</v>
      </c>
      <c r="M513" s="20">
        <v>2</v>
      </c>
      <c r="N513" s="21">
        <v>69999</v>
      </c>
      <c r="O513" s="22">
        <v>8</v>
      </c>
      <c r="P513" s="23">
        <v>128798.16</v>
      </c>
      <c r="Q513" s="22">
        <v>4.8</v>
      </c>
      <c r="R513" s="22">
        <v>20</v>
      </c>
      <c r="S513" s="23">
        <f>(Table13[[#This Row],[Unit Price]]*Table13[[#This Row],[No.of Units]])*18%</f>
        <v>25199.64</v>
      </c>
      <c r="T513" s="22" t="s">
        <v>1508</v>
      </c>
    </row>
    <row r="514" spans="2:20" x14ac:dyDescent="0.3">
      <c r="B514" s="5" t="s">
        <v>506</v>
      </c>
      <c r="C514" s="1">
        <v>193925</v>
      </c>
      <c r="D514" s="1">
        <v>68</v>
      </c>
      <c r="E514" s="1" t="s">
        <v>20</v>
      </c>
      <c r="F514" s="16">
        <v>45777</v>
      </c>
      <c r="G514" s="1" t="s">
        <v>1470</v>
      </c>
      <c r="H514" s="1" t="s">
        <v>1471</v>
      </c>
      <c r="I514" s="17" t="s">
        <v>1503</v>
      </c>
      <c r="J514" s="18" t="s">
        <v>28</v>
      </c>
      <c r="K514" s="19" t="s">
        <v>26</v>
      </c>
      <c r="L514" s="19" t="s">
        <v>49</v>
      </c>
      <c r="M514" s="20">
        <v>6</v>
      </c>
      <c r="N514" s="21">
        <v>42999</v>
      </c>
      <c r="O514" s="22">
        <v>15</v>
      </c>
      <c r="P514" s="23">
        <v>219294.9</v>
      </c>
      <c r="Q514" s="22">
        <v>4.5999999999999996</v>
      </c>
      <c r="R514" s="22">
        <v>20</v>
      </c>
      <c r="S514" s="23">
        <f>(Table13[[#This Row],[Unit Price]]*Table13[[#This Row],[No.of Units]])*18%</f>
        <v>46438.92</v>
      </c>
      <c r="T514" s="22" t="s">
        <v>1508</v>
      </c>
    </row>
    <row r="515" spans="2:20" x14ac:dyDescent="0.3">
      <c r="B515" s="5" t="s">
        <v>507</v>
      </c>
      <c r="C515" s="1">
        <v>5373067</v>
      </c>
      <c r="D515" s="1">
        <v>61</v>
      </c>
      <c r="E515" s="1" t="s">
        <v>20</v>
      </c>
      <c r="F515" s="16">
        <v>45784</v>
      </c>
      <c r="G515" s="1" t="s">
        <v>1470</v>
      </c>
      <c r="H515" s="1" t="s">
        <v>1481</v>
      </c>
      <c r="I515" s="17" t="s">
        <v>1502</v>
      </c>
      <c r="J515" s="18" t="s">
        <v>13</v>
      </c>
      <c r="K515" s="19" t="s">
        <v>14</v>
      </c>
      <c r="L515" s="19" t="s">
        <v>15</v>
      </c>
      <c r="M515" s="20">
        <v>3</v>
      </c>
      <c r="N515" s="21">
        <v>99999</v>
      </c>
      <c r="O515" s="22">
        <v>10</v>
      </c>
      <c r="P515" s="23">
        <v>269997.3</v>
      </c>
      <c r="Q515" s="22">
        <v>4.7</v>
      </c>
      <c r="R515" s="22">
        <v>20</v>
      </c>
      <c r="S515" s="23">
        <f>(Table13[[#This Row],[Unit Price]]*Table13[[#This Row],[No.of Units]])*18%</f>
        <v>53999.46</v>
      </c>
      <c r="T515" s="22" t="s">
        <v>1507</v>
      </c>
    </row>
    <row r="516" spans="2:20" x14ac:dyDescent="0.3">
      <c r="B516" s="5" t="s">
        <v>508</v>
      </c>
      <c r="C516" s="1">
        <v>8119281</v>
      </c>
      <c r="D516" s="1">
        <v>34</v>
      </c>
      <c r="E516" s="1" t="s">
        <v>12</v>
      </c>
      <c r="F516" s="16">
        <v>45784</v>
      </c>
      <c r="G516" s="1" t="s">
        <v>1470</v>
      </c>
      <c r="H516" s="1" t="s">
        <v>1482</v>
      </c>
      <c r="I516" s="17" t="s">
        <v>1503</v>
      </c>
      <c r="J516" s="18" t="s">
        <v>17</v>
      </c>
      <c r="K516" s="19" t="s">
        <v>18</v>
      </c>
      <c r="L516" s="19" t="s">
        <v>15</v>
      </c>
      <c r="M516" s="20">
        <v>54</v>
      </c>
      <c r="N516" s="21">
        <v>4999</v>
      </c>
      <c r="O516" s="22">
        <v>18</v>
      </c>
      <c r="P516" s="23">
        <v>221355.72</v>
      </c>
      <c r="Q516" s="22">
        <v>4.4000000000000004</v>
      </c>
      <c r="R516" s="22">
        <v>20</v>
      </c>
      <c r="S516" s="23">
        <f>(Table13[[#This Row],[Unit Price]]*Table13[[#This Row],[No.of Units]])*18%</f>
        <v>48590.28</v>
      </c>
      <c r="T516" s="22" t="s">
        <v>1507</v>
      </c>
    </row>
    <row r="517" spans="2:20" x14ac:dyDescent="0.3">
      <c r="B517" s="5" t="s">
        <v>509</v>
      </c>
      <c r="C517" s="1">
        <v>1994630</v>
      </c>
      <c r="D517" s="1">
        <v>22</v>
      </c>
      <c r="E517" s="1" t="s">
        <v>12</v>
      </c>
      <c r="F517" s="16">
        <v>45784</v>
      </c>
      <c r="G517" s="1" t="s">
        <v>1470</v>
      </c>
      <c r="H517" s="1" t="s">
        <v>1481</v>
      </c>
      <c r="I517" s="17" t="s">
        <v>1504</v>
      </c>
      <c r="J517" s="18" t="s">
        <v>21</v>
      </c>
      <c r="K517" s="19" t="s">
        <v>18</v>
      </c>
      <c r="L517" s="19" t="s">
        <v>15</v>
      </c>
      <c r="M517" s="20">
        <v>9</v>
      </c>
      <c r="N517" s="21">
        <v>24900</v>
      </c>
      <c r="O517" s="22">
        <v>5</v>
      </c>
      <c r="P517" s="23">
        <v>212895</v>
      </c>
      <c r="Q517" s="22">
        <v>4.8</v>
      </c>
      <c r="R517" s="22">
        <v>20</v>
      </c>
      <c r="S517" s="23">
        <f>(Table13[[#This Row],[Unit Price]]*Table13[[#This Row],[No.of Units]])*18%</f>
        <v>40338</v>
      </c>
      <c r="T517" s="22" t="s">
        <v>1508</v>
      </c>
    </row>
    <row r="518" spans="2:20" x14ac:dyDescent="0.3">
      <c r="B518" s="5" t="s">
        <v>510</v>
      </c>
      <c r="C518" s="1">
        <v>4549965</v>
      </c>
      <c r="D518" s="1">
        <v>40</v>
      </c>
      <c r="E518" s="1" t="s">
        <v>12</v>
      </c>
      <c r="F518" s="16">
        <v>45784</v>
      </c>
      <c r="G518" s="1" t="s">
        <v>1470</v>
      </c>
      <c r="H518" s="1" t="s">
        <v>1483</v>
      </c>
      <c r="I518" s="17" t="s">
        <v>1505</v>
      </c>
      <c r="J518" s="18" t="s">
        <v>23</v>
      </c>
      <c r="K518" s="19" t="s">
        <v>14</v>
      </c>
      <c r="L518" s="19" t="s">
        <v>15</v>
      </c>
      <c r="M518" s="20">
        <v>4</v>
      </c>
      <c r="N518" s="21">
        <v>84999</v>
      </c>
      <c r="O518" s="22">
        <v>12</v>
      </c>
      <c r="P518" s="23">
        <v>299196.48</v>
      </c>
      <c r="Q518" s="22">
        <v>4.5</v>
      </c>
      <c r="R518" s="22">
        <v>20</v>
      </c>
      <c r="S518" s="23">
        <f>(Table13[[#This Row],[Unit Price]]*Table13[[#This Row],[No.of Units]])*18%</f>
        <v>61199.28</v>
      </c>
      <c r="T518" s="22" t="s">
        <v>1508</v>
      </c>
    </row>
    <row r="519" spans="2:20" x14ac:dyDescent="0.3">
      <c r="B519" s="5" t="s">
        <v>511</v>
      </c>
      <c r="C519" s="1">
        <v>8673</v>
      </c>
      <c r="D519" s="1">
        <v>39</v>
      </c>
      <c r="E519" s="1" t="s">
        <v>12</v>
      </c>
      <c r="F519" s="16">
        <v>45784</v>
      </c>
      <c r="G519" s="1" t="s">
        <v>1470</v>
      </c>
      <c r="H519" s="1" t="s">
        <v>1471</v>
      </c>
      <c r="I519" s="17" t="s">
        <v>1504</v>
      </c>
      <c r="J519" s="18" t="s">
        <v>25</v>
      </c>
      <c r="K519" s="19" t="s">
        <v>26</v>
      </c>
      <c r="L519" s="19" t="s">
        <v>15</v>
      </c>
      <c r="M519" s="20">
        <v>2</v>
      </c>
      <c r="N519" s="21">
        <v>69999</v>
      </c>
      <c r="O519" s="22">
        <v>8</v>
      </c>
      <c r="P519" s="23">
        <v>128798.16</v>
      </c>
      <c r="Q519" s="22">
        <v>4.8</v>
      </c>
      <c r="R519" s="22">
        <v>20</v>
      </c>
      <c r="S519" s="23">
        <f>(Table13[[#This Row],[Unit Price]]*Table13[[#This Row],[No.of Units]])*18%</f>
        <v>25199.64</v>
      </c>
      <c r="T519" s="22" t="s">
        <v>1508</v>
      </c>
    </row>
    <row r="520" spans="2:20" x14ac:dyDescent="0.3">
      <c r="B520" s="5" t="s">
        <v>512</v>
      </c>
      <c r="C520" s="1">
        <v>4166762</v>
      </c>
      <c r="D520" s="1">
        <v>59</v>
      </c>
      <c r="E520" s="1" t="s">
        <v>20</v>
      </c>
      <c r="F520" s="16">
        <v>45784</v>
      </c>
      <c r="G520" s="1" t="s">
        <v>1470</v>
      </c>
      <c r="H520" s="1" t="s">
        <v>1471</v>
      </c>
      <c r="I520" s="17" t="s">
        <v>1503</v>
      </c>
      <c r="J520" s="18" t="s">
        <v>28</v>
      </c>
      <c r="K520" s="19" t="s">
        <v>26</v>
      </c>
      <c r="L520" s="19" t="s">
        <v>15</v>
      </c>
      <c r="M520" s="20">
        <v>6</v>
      </c>
      <c r="N520" s="21">
        <v>42999</v>
      </c>
      <c r="O520" s="22">
        <v>15</v>
      </c>
      <c r="P520" s="23">
        <v>219294.9</v>
      </c>
      <c r="Q520" s="22">
        <v>4.5999999999999996</v>
      </c>
      <c r="R520" s="22">
        <v>20</v>
      </c>
      <c r="S520" s="23">
        <f>(Table13[[#This Row],[Unit Price]]*Table13[[#This Row],[No.of Units]])*18%</f>
        <v>46438.92</v>
      </c>
      <c r="T520" s="22" t="s">
        <v>1508</v>
      </c>
    </row>
    <row r="521" spans="2:20" x14ac:dyDescent="0.3">
      <c r="B521" s="5" t="s">
        <v>513</v>
      </c>
      <c r="C521" s="1">
        <v>8960622</v>
      </c>
      <c r="D521" s="1">
        <v>46</v>
      </c>
      <c r="E521" s="1" t="s">
        <v>12</v>
      </c>
      <c r="F521" s="16">
        <v>45784</v>
      </c>
      <c r="G521" s="1" t="s">
        <v>1470</v>
      </c>
      <c r="H521" s="1" t="s">
        <v>1472</v>
      </c>
      <c r="I521" s="17" t="s">
        <v>1502</v>
      </c>
      <c r="J521" s="18" t="s">
        <v>13</v>
      </c>
      <c r="K521" s="19" t="s">
        <v>14</v>
      </c>
      <c r="L521" s="19" t="s">
        <v>29</v>
      </c>
      <c r="M521" s="20">
        <v>3</v>
      </c>
      <c r="N521" s="21">
        <v>99999</v>
      </c>
      <c r="O521" s="22">
        <v>10</v>
      </c>
      <c r="P521" s="23">
        <v>269997.3</v>
      </c>
      <c r="Q521" s="22">
        <v>4.7</v>
      </c>
      <c r="R521" s="22">
        <v>20</v>
      </c>
      <c r="S521" s="23">
        <f>(Table13[[#This Row],[Unit Price]]*Table13[[#This Row],[No.of Units]])*18%</f>
        <v>53999.46</v>
      </c>
      <c r="T521" s="22" t="s">
        <v>1507</v>
      </c>
    </row>
    <row r="522" spans="2:20" x14ac:dyDescent="0.3">
      <c r="B522" s="5" t="s">
        <v>514</v>
      </c>
      <c r="C522" s="1">
        <v>634942</v>
      </c>
      <c r="D522" s="1">
        <v>66</v>
      </c>
      <c r="E522" s="1" t="s">
        <v>20</v>
      </c>
      <c r="F522" s="16">
        <v>45784</v>
      </c>
      <c r="G522" s="1" t="s">
        <v>1470</v>
      </c>
      <c r="H522" s="1" t="s">
        <v>1471</v>
      </c>
      <c r="I522" s="17" t="s">
        <v>1503</v>
      </c>
      <c r="J522" s="18" t="s">
        <v>17</v>
      </c>
      <c r="K522" s="19" t="s">
        <v>18</v>
      </c>
      <c r="L522" s="19" t="s">
        <v>29</v>
      </c>
      <c r="M522" s="20">
        <v>35</v>
      </c>
      <c r="N522" s="21">
        <v>4999</v>
      </c>
      <c r="O522" s="22">
        <v>18</v>
      </c>
      <c r="P522" s="23">
        <v>143471.29999999999</v>
      </c>
      <c r="Q522" s="22">
        <v>4.4000000000000004</v>
      </c>
      <c r="R522" s="22">
        <v>20</v>
      </c>
      <c r="S522" s="23">
        <f>(Table13[[#This Row],[Unit Price]]*Table13[[#This Row],[No.of Units]])*18%</f>
        <v>31493.699999999997</v>
      </c>
      <c r="T522" s="22" t="s">
        <v>1508</v>
      </c>
    </row>
    <row r="523" spans="2:20" x14ac:dyDescent="0.3">
      <c r="B523" s="5" t="s">
        <v>515</v>
      </c>
      <c r="C523" s="1">
        <v>5158965</v>
      </c>
      <c r="D523" s="1">
        <v>19</v>
      </c>
      <c r="E523" s="1" t="s">
        <v>34</v>
      </c>
      <c r="F523" s="16">
        <v>45784</v>
      </c>
      <c r="G523" s="1" t="s">
        <v>1470</v>
      </c>
      <c r="H523" s="1" t="s">
        <v>1482</v>
      </c>
      <c r="I523" s="17" t="s">
        <v>1504</v>
      </c>
      <c r="J523" s="18" t="s">
        <v>21</v>
      </c>
      <c r="K523" s="19" t="s">
        <v>18</v>
      </c>
      <c r="L523" s="19" t="s">
        <v>29</v>
      </c>
      <c r="M523" s="20">
        <v>13</v>
      </c>
      <c r="N523" s="21">
        <v>24900</v>
      </c>
      <c r="O523" s="22">
        <v>5</v>
      </c>
      <c r="P523" s="23">
        <v>307515</v>
      </c>
      <c r="Q523" s="22">
        <v>4.8</v>
      </c>
      <c r="R523" s="22">
        <v>20</v>
      </c>
      <c r="S523" s="23">
        <f>(Table13[[#This Row],[Unit Price]]*Table13[[#This Row],[No.of Units]])*18%</f>
        <v>58266</v>
      </c>
      <c r="T523" s="22" t="s">
        <v>1507</v>
      </c>
    </row>
    <row r="524" spans="2:20" x14ac:dyDescent="0.3">
      <c r="B524" s="5" t="s">
        <v>516</v>
      </c>
      <c r="C524" s="1">
        <v>5490746</v>
      </c>
      <c r="D524" s="1">
        <v>29</v>
      </c>
      <c r="E524" s="1" t="s">
        <v>12</v>
      </c>
      <c r="F524" s="16">
        <v>45784</v>
      </c>
      <c r="G524" s="1" t="s">
        <v>1470</v>
      </c>
      <c r="H524" s="1" t="s">
        <v>1481</v>
      </c>
      <c r="I524" s="17" t="s">
        <v>1505</v>
      </c>
      <c r="J524" s="18" t="s">
        <v>23</v>
      </c>
      <c r="K524" s="19" t="s">
        <v>14</v>
      </c>
      <c r="L524" s="19" t="s">
        <v>29</v>
      </c>
      <c r="M524" s="20">
        <v>5</v>
      </c>
      <c r="N524" s="21">
        <v>84999</v>
      </c>
      <c r="O524" s="22">
        <v>12</v>
      </c>
      <c r="P524" s="23">
        <v>373995.6</v>
      </c>
      <c r="Q524" s="22">
        <v>4.5</v>
      </c>
      <c r="R524" s="22">
        <v>20</v>
      </c>
      <c r="S524" s="23">
        <f>(Table13[[#This Row],[Unit Price]]*Table13[[#This Row],[No.of Units]])*18%</f>
        <v>76499.099999999991</v>
      </c>
      <c r="T524" s="22" t="s">
        <v>1507</v>
      </c>
    </row>
    <row r="525" spans="2:20" x14ac:dyDescent="0.3">
      <c r="B525" s="5" t="s">
        <v>517</v>
      </c>
      <c r="C525" s="1">
        <v>7528511</v>
      </c>
      <c r="D525" s="1">
        <v>45</v>
      </c>
      <c r="E525" s="1" t="s">
        <v>12</v>
      </c>
      <c r="F525" s="16">
        <v>45784</v>
      </c>
      <c r="G525" s="1" t="s">
        <v>1470</v>
      </c>
      <c r="H525" s="1" t="s">
        <v>1483</v>
      </c>
      <c r="I525" s="17" t="s">
        <v>1504</v>
      </c>
      <c r="J525" s="18" t="s">
        <v>25</v>
      </c>
      <c r="K525" s="19" t="s">
        <v>26</v>
      </c>
      <c r="L525" s="19" t="s">
        <v>29</v>
      </c>
      <c r="M525" s="20">
        <v>6</v>
      </c>
      <c r="N525" s="21">
        <v>69999</v>
      </c>
      <c r="O525" s="22">
        <v>8</v>
      </c>
      <c r="P525" s="23">
        <v>386394.48</v>
      </c>
      <c r="Q525" s="22">
        <v>4.8</v>
      </c>
      <c r="R525" s="22">
        <v>20</v>
      </c>
      <c r="S525" s="23">
        <f>(Table13[[#This Row],[Unit Price]]*Table13[[#This Row],[No.of Units]])*18%</f>
        <v>75598.92</v>
      </c>
      <c r="T525" s="22" t="s">
        <v>1508</v>
      </c>
    </row>
    <row r="526" spans="2:20" x14ac:dyDescent="0.3">
      <c r="B526" s="5" t="s">
        <v>518</v>
      </c>
      <c r="C526" s="1">
        <v>4047531</v>
      </c>
      <c r="D526" s="1">
        <v>25</v>
      </c>
      <c r="E526" s="1" t="s">
        <v>12</v>
      </c>
      <c r="F526" s="16">
        <v>45784</v>
      </c>
      <c r="G526" s="1" t="s">
        <v>1470</v>
      </c>
      <c r="H526" s="1" t="s">
        <v>1472</v>
      </c>
      <c r="I526" s="17" t="s">
        <v>1503</v>
      </c>
      <c r="J526" s="18" t="s">
        <v>28</v>
      </c>
      <c r="K526" s="19" t="s">
        <v>26</v>
      </c>
      <c r="L526" s="19" t="s">
        <v>29</v>
      </c>
      <c r="M526" s="20">
        <v>10</v>
      </c>
      <c r="N526" s="21">
        <v>42999</v>
      </c>
      <c r="O526" s="22">
        <v>15</v>
      </c>
      <c r="P526" s="23">
        <v>365491.5</v>
      </c>
      <c r="Q526" s="22">
        <v>4.5999999999999996</v>
      </c>
      <c r="R526" s="22">
        <v>20</v>
      </c>
      <c r="S526" s="23">
        <f>(Table13[[#This Row],[Unit Price]]*Table13[[#This Row],[No.of Units]])*18%</f>
        <v>77398.2</v>
      </c>
      <c r="T526" s="22" t="s">
        <v>1507</v>
      </c>
    </row>
    <row r="527" spans="2:20" x14ac:dyDescent="0.3">
      <c r="B527" s="5" t="s">
        <v>519</v>
      </c>
      <c r="C527" s="1">
        <v>2277333</v>
      </c>
      <c r="D527" s="1">
        <v>54</v>
      </c>
      <c r="E527" s="1" t="s">
        <v>20</v>
      </c>
      <c r="F527" s="16">
        <v>45784</v>
      </c>
      <c r="G527" s="1" t="s">
        <v>1470</v>
      </c>
      <c r="H527" s="1" t="s">
        <v>1471</v>
      </c>
      <c r="I527" s="17" t="s">
        <v>1502</v>
      </c>
      <c r="J527" s="18" t="s">
        <v>13</v>
      </c>
      <c r="K527" s="19" t="s">
        <v>14</v>
      </c>
      <c r="L527" s="19" t="s">
        <v>35</v>
      </c>
      <c r="M527" s="20">
        <v>4</v>
      </c>
      <c r="N527" s="21">
        <v>99999</v>
      </c>
      <c r="O527" s="22">
        <v>10</v>
      </c>
      <c r="P527" s="23">
        <v>359996.4</v>
      </c>
      <c r="Q527" s="22">
        <v>4.7</v>
      </c>
      <c r="R527" s="22">
        <v>20</v>
      </c>
      <c r="S527" s="23">
        <f>(Table13[[#This Row],[Unit Price]]*Table13[[#This Row],[No.of Units]])*18%</f>
        <v>71999.28</v>
      </c>
      <c r="T527" s="22" t="s">
        <v>1508</v>
      </c>
    </row>
    <row r="528" spans="2:20" x14ac:dyDescent="0.3">
      <c r="B528" s="5" t="s">
        <v>520</v>
      </c>
      <c r="C528" s="1">
        <v>6993353</v>
      </c>
      <c r="D528" s="1">
        <v>33</v>
      </c>
      <c r="E528" s="1" t="s">
        <v>12</v>
      </c>
      <c r="F528" s="16">
        <v>45784</v>
      </c>
      <c r="G528" s="1" t="s">
        <v>1470</v>
      </c>
      <c r="H528" s="1" t="s">
        <v>1472</v>
      </c>
      <c r="I528" s="17" t="s">
        <v>1503</v>
      </c>
      <c r="J528" s="18" t="s">
        <v>17</v>
      </c>
      <c r="K528" s="19" t="s">
        <v>18</v>
      </c>
      <c r="L528" s="19" t="s">
        <v>35</v>
      </c>
      <c r="M528" s="20">
        <v>51</v>
      </c>
      <c r="N528" s="21">
        <v>4999</v>
      </c>
      <c r="O528" s="22">
        <v>18</v>
      </c>
      <c r="P528" s="23">
        <v>209058.18</v>
      </c>
      <c r="Q528" s="22">
        <v>4.4000000000000004</v>
      </c>
      <c r="R528" s="22">
        <v>20</v>
      </c>
      <c r="S528" s="23">
        <f>(Table13[[#This Row],[Unit Price]]*Table13[[#This Row],[No.of Units]])*18%</f>
        <v>45890.82</v>
      </c>
      <c r="T528" s="22" t="s">
        <v>1508</v>
      </c>
    </row>
    <row r="529" spans="2:20" x14ac:dyDescent="0.3">
      <c r="B529" s="5" t="s">
        <v>521</v>
      </c>
      <c r="C529" s="1">
        <v>7209804</v>
      </c>
      <c r="D529" s="1">
        <v>24</v>
      </c>
      <c r="E529" s="1" t="s">
        <v>12</v>
      </c>
      <c r="F529" s="16">
        <v>45784</v>
      </c>
      <c r="G529" s="1" t="s">
        <v>1475</v>
      </c>
      <c r="H529" s="1" t="s">
        <v>1472</v>
      </c>
      <c r="I529" s="17" t="s">
        <v>1504</v>
      </c>
      <c r="J529" s="18" t="s">
        <v>21</v>
      </c>
      <c r="K529" s="19" t="s">
        <v>18</v>
      </c>
      <c r="L529" s="19" t="s">
        <v>35</v>
      </c>
      <c r="M529" s="20">
        <v>10</v>
      </c>
      <c r="N529" s="21">
        <v>24900</v>
      </c>
      <c r="O529" s="22">
        <v>5</v>
      </c>
      <c r="P529" s="23">
        <v>236550</v>
      </c>
      <c r="Q529" s="22">
        <v>4.8</v>
      </c>
      <c r="R529" s="22">
        <v>20</v>
      </c>
      <c r="S529" s="23">
        <f>(Table13[[#This Row],[Unit Price]]*Table13[[#This Row],[No.of Units]])*18%</f>
        <v>44820</v>
      </c>
      <c r="T529" s="22" t="s">
        <v>1508</v>
      </c>
    </row>
    <row r="530" spans="2:20" x14ac:dyDescent="0.3">
      <c r="B530" s="5" t="s">
        <v>522</v>
      </c>
      <c r="C530" s="1">
        <v>2721307</v>
      </c>
      <c r="D530" s="1">
        <v>28</v>
      </c>
      <c r="E530" s="1" t="s">
        <v>12</v>
      </c>
      <c r="F530" s="16">
        <v>45784</v>
      </c>
      <c r="G530" s="1" t="s">
        <v>1470</v>
      </c>
      <c r="H530" s="1" t="s">
        <v>1472</v>
      </c>
      <c r="I530" s="17" t="s">
        <v>1505</v>
      </c>
      <c r="J530" s="18" t="s">
        <v>23</v>
      </c>
      <c r="K530" s="19" t="s">
        <v>14</v>
      </c>
      <c r="L530" s="19" t="s">
        <v>35</v>
      </c>
      <c r="M530" s="20">
        <v>5</v>
      </c>
      <c r="N530" s="21">
        <v>84999</v>
      </c>
      <c r="O530" s="22">
        <v>12</v>
      </c>
      <c r="P530" s="23">
        <v>373995.6</v>
      </c>
      <c r="Q530" s="22">
        <v>4.5</v>
      </c>
      <c r="R530" s="22">
        <v>20</v>
      </c>
      <c r="S530" s="23">
        <f>(Table13[[#This Row],[Unit Price]]*Table13[[#This Row],[No.of Units]])*18%</f>
        <v>76499.099999999991</v>
      </c>
      <c r="T530" s="22" t="s">
        <v>1508</v>
      </c>
    </row>
    <row r="531" spans="2:20" x14ac:dyDescent="0.3">
      <c r="B531" s="5" t="s">
        <v>523</v>
      </c>
      <c r="C531" s="1">
        <v>4244576</v>
      </c>
      <c r="D531" s="1">
        <v>40</v>
      </c>
      <c r="E531" s="1" t="s">
        <v>12</v>
      </c>
      <c r="F531" s="16">
        <v>45784</v>
      </c>
      <c r="G531" s="1" t="s">
        <v>1470</v>
      </c>
      <c r="H531" s="1" t="s">
        <v>1482</v>
      </c>
      <c r="I531" s="17" t="s">
        <v>1504</v>
      </c>
      <c r="J531" s="18" t="s">
        <v>25</v>
      </c>
      <c r="K531" s="19" t="s">
        <v>26</v>
      </c>
      <c r="L531" s="19" t="s">
        <v>35</v>
      </c>
      <c r="M531" s="20">
        <v>5</v>
      </c>
      <c r="N531" s="21">
        <v>69999</v>
      </c>
      <c r="O531" s="22">
        <v>8</v>
      </c>
      <c r="P531" s="23">
        <v>321995.40000000002</v>
      </c>
      <c r="Q531" s="22">
        <v>4.8</v>
      </c>
      <c r="R531" s="22">
        <v>20</v>
      </c>
      <c r="S531" s="23">
        <f>(Table13[[#This Row],[Unit Price]]*Table13[[#This Row],[No.of Units]])*18%</f>
        <v>62999.1</v>
      </c>
      <c r="T531" s="22" t="s">
        <v>1508</v>
      </c>
    </row>
    <row r="532" spans="2:20" x14ac:dyDescent="0.3">
      <c r="B532" s="5" t="s">
        <v>524</v>
      </c>
      <c r="C532" s="1">
        <v>6685847</v>
      </c>
      <c r="D532" s="1">
        <v>28</v>
      </c>
      <c r="E532" s="1" t="s">
        <v>12</v>
      </c>
      <c r="F532" s="16">
        <v>45784</v>
      </c>
      <c r="G532" s="1" t="s">
        <v>1470</v>
      </c>
      <c r="H532" s="1" t="s">
        <v>1471</v>
      </c>
      <c r="I532" s="17" t="s">
        <v>1503</v>
      </c>
      <c r="J532" s="18" t="s">
        <v>28</v>
      </c>
      <c r="K532" s="19" t="s">
        <v>26</v>
      </c>
      <c r="L532" s="19" t="s">
        <v>35</v>
      </c>
      <c r="M532" s="20">
        <v>8</v>
      </c>
      <c r="N532" s="21">
        <v>42999</v>
      </c>
      <c r="O532" s="22">
        <v>15</v>
      </c>
      <c r="P532" s="23">
        <v>292393.2</v>
      </c>
      <c r="Q532" s="22">
        <v>4.5999999999999996</v>
      </c>
      <c r="R532" s="22">
        <v>20</v>
      </c>
      <c r="S532" s="23">
        <f>(Table13[[#This Row],[Unit Price]]*Table13[[#This Row],[No.of Units]])*18%</f>
        <v>61918.559999999998</v>
      </c>
      <c r="T532" s="22" t="s">
        <v>1508</v>
      </c>
    </row>
    <row r="533" spans="2:20" x14ac:dyDescent="0.3">
      <c r="B533" s="5" t="s">
        <v>524</v>
      </c>
      <c r="C533" s="1">
        <v>6685847</v>
      </c>
      <c r="D533" s="1">
        <v>24</v>
      </c>
      <c r="E533" s="1" t="s">
        <v>12</v>
      </c>
      <c r="F533" s="16">
        <v>45784</v>
      </c>
      <c r="G533" s="1" t="s">
        <v>1470</v>
      </c>
      <c r="H533" s="1" t="s">
        <v>1472</v>
      </c>
      <c r="I533" s="17" t="s">
        <v>1502</v>
      </c>
      <c r="J533" s="18" t="s">
        <v>13</v>
      </c>
      <c r="K533" s="19" t="s">
        <v>14</v>
      </c>
      <c r="L533" s="19" t="s">
        <v>42</v>
      </c>
      <c r="M533" s="20">
        <v>5</v>
      </c>
      <c r="N533" s="21">
        <v>99999</v>
      </c>
      <c r="O533" s="22">
        <v>10</v>
      </c>
      <c r="P533" s="23">
        <v>449995.5</v>
      </c>
      <c r="Q533" s="22">
        <v>4.7</v>
      </c>
      <c r="R533" s="22">
        <v>20</v>
      </c>
      <c r="S533" s="23">
        <f>(Table13[[#This Row],[Unit Price]]*Table13[[#This Row],[No.of Units]])*18%</f>
        <v>89999.099999999991</v>
      </c>
      <c r="T533" s="22" t="s">
        <v>1508</v>
      </c>
    </row>
    <row r="534" spans="2:20" x14ac:dyDescent="0.3">
      <c r="B534" s="5" t="s">
        <v>525</v>
      </c>
      <c r="C534" s="1">
        <v>1981568</v>
      </c>
      <c r="D534" s="1">
        <v>40</v>
      </c>
      <c r="E534" s="1" t="s">
        <v>12</v>
      </c>
      <c r="F534" s="16">
        <v>45784</v>
      </c>
      <c r="G534" s="1" t="s">
        <v>1470</v>
      </c>
      <c r="H534" s="1" t="s">
        <v>1471</v>
      </c>
      <c r="I534" s="17" t="s">
        <v>1503</v>
      </c>
      <c r="J534" s="18" t="s">
        <v>17</v>
      </c>
      <c r="K534" s="19" t="s">
        <v>18</v>
      </c>
      <c r="L534" s="19" t="s">
        <v>42</v>
      </c>
      <c r="M534" s="20">
        <v>48</v>
      </c>
      <c r="N534" s="21">
        <v>4999</v>
      </c>
      <c r="O534" s="22">
        <v>18</v>
      </c>
      <c r="P534" s="23">
        <v>196760.64</v>
      </c>
      <c r="Q534" s="22">
        <v>4.4000000000000004</v>
      </c>
      <c r="R534" s="22">
        <v>20</v>
      </c>
      <c r="S534" s="23">
        <f>(Table13[[#This Row],[Unit Price]]*Table13[[#This Row],[No.of Units]])*18%</f>
        <v>43191.360000000001</v>
      </c>
      <c r="T534" s="22" t="s">
        <v>1508</v>
      </c>
    </row>
    <row r="535" spans="2:20" x14ac:dyDescent="0.3">
      <c r="B535" s="5" t="s">
        <v>526</v>
      </c>
      <c r="C535" s="1">
        <v>205757</v>
      </c>
      <c r="D535" s="1">
        <v>40</v>
      </c>
      <c r="E535" s="1" t="s">
        <v>12</v>
      </c>
      <c r="F535" s="16">
        <v>45784</v>
      </c>
      <c r="G535" s="1" t="s">
        <v>1470</v>
      </c>
      <c r="H535" s="1" t="s">
        <v>1471</v>
      </c>
      <c r="I535" s="17" t="s">
        <v>1504</v>
      </c>
      <c r="J535" s="18" t="s">
        <v>21</v>
      </c>
      <c r="K535" s="19" t="s">
        <v>18</v>
      </c>
      <c r="L535" s="19" t="s">
        <v>42</v>
      </c>
      <c r="M535" s="20">
        <v>7</v>
      </c>
      <c r="N535" s="21">
        <v>24900</v>
      </c>
      <c r="O535" s="22">
        <v>5</v>
      </c>
      <c r="P535" s="23">
        <v>165585</v>
      </c>
      <c r="Q535" s="22">
        <v>4.8</v>
      </c>
      <c r="R535" s="22">
        <v>20</v>
      </c>
      <c r="S535" s="23">
        <f>(Table13[[#This Row],[Unit Price]]*Table13[[#This Row],[No.of Units]])*18%</f>
        <v>31374</v>
      </c>
      <c r="T535" s="22" t="s">
        <v>1508</v>
      </c>
    </row>
    <row r="536" spans="2:20" x14ac:dyDescent="0.3">
      <c r="B536" s="5" t="s">
        <v>527</v>
      </c>
      <c r="C536" s="1">
        <v>2303396</v>
      </c>
      <c r="D536" s="1">
        <v>53</v>
      </c>
      <c r="E536" s="1" t="s">
        <v>20</v>
      </c>
      <c r="F536" s="16">
        <v>45784</v>
      </c>
      <c r="G536" s="1" t="s">
        <v>1470</v>
      </c>
      <c r="H536" s="1" t="s">
        <v>1482</v>
      </c>
      <c r="I536" s="17" t="s">
        <v>1505</v>
      </c>
      <c r="J536" s="18" t="s">
        <v>23</v>
      </c>
      <c r="K536" s="19" t="s">
        <v>14</v>
      </c>
      <c r="L536" s="19" t="s">
        <v>42</v>
      </c>
      <c r="M536" s="20">
        <v>6</v>
      </c>
      <c r="N536" s="21">
        <v>84999</v>
      </c>
      <c r="O536" s="22">
        <v>12</v>
      </c>
      <c r="P536" s="23">
        <v>448794.72</v>
      </c>
      <c r="Q536" s="22">
        <v>4.5</v>
      </c>
      <c r="R536" s="22">
        <v>20</v>
      </c>
      <c r="S536" s="23">
        <f>(Table13[[#This Row],[Unit Price]]*Table13[[#This Row],[No.of Units]])*18%</f>
        <v>91798.92</v>
      </c>
      <c r="T536" s="22" t="s">
        <v>1508</v>
      </c>
    </row>
    <row r="537" spans="2:20" x14ac:dyDescent="0.3">
      <c r="B537" s="5" t="s">
        <v>528</v>
      </c>
      <c r="C537" s="1">
        <v>3553137</v>
      </c>
      <c r="D537" s="1">
        <v>26</v>
      </c>
      <c r="E537" s="1" t="s">
        <v>12</v>
      </c>
      <c r="F537" s="16">
        <v>45784</v>
      </c>
      <c r="G537" s="1" t="s">
        <v>1470</v>
      </c>
      <c r="H537" s="1" t="s">
        <v>1472</v>
      </c>
      <c r="I537" s="17" t="s">
        <v>1504</v>
      </c>
      <c r="J537" s="18" t="s">
        <v>25</v>
      </c>
      <c r="K537" s="19" t="s">
        <v>26</v>
      </c>
      <c r="L537" s="19" t="s">
        <v>42</v>
      </c>
      <c r="M537" s="20">
        <v>2</v>
      </c>
      <c r="N537" s="21">
        <v>69999</v>
      </c>
      <c r="O537" s="22">
        <v>8</v>
      </c>
      <c r="P537" s="23">
        <v>128798.16</v>
      </c>
      <c r="Q537" s="22">
        <v>4.8</v>
      </c>
      <c r="R537" s="22">
        <v>20</v>
      </c>
      <c r="S537" s="23">
        <f>(Table13[[#This Row],[Unit Price]]*Table13[[#This Row],[No.of Units]])*18%</f>
        <v>25199.64</v>
      </c>
      <c r="T537" s="22" t="s">
        <v>1508</v>
      </c>
    </row>
    <row r="538" spans="2:20" x14ac:dyDescent="0.3">
      <c r="B538" s="5" t="s">
        <v>529</v>
      </c>
      <c r="C538" s="1">
        <v>7882707</v>
      </c>
      <c r="D538" s="1">
        <v>78</v>
      </c>
      <c r="E538" s="1" t="s">
        <v>20</v>
      </c>
      <c r="F538" s="16">
        <v>45784</v>
      </c>
      <c r="G538" s="1" t="s">
        <v>1470</v>
      </c>
      <c r="H538" s="1" t="s">
        <v>1471</v>
      </c>
      <c r="I538" s="17" t="s">
        <v>1503</v>
      </c>
      <c r="J538" s="18" t="s">
        <v>28</v>
      </c>
      <c r="K538" s="19" t="s">
        <v>26</v>
      </c>
      <c r="L538" s="19" t="s">
        <v>42</v>
      </c>
      <c r="M538" s="20">
        <v>11</v>
      </c>
      <c r="N538" s="21">
        <v>42999</v>
      </c>
      <c r="O538" s="22">
        <v>15</v>
      </c>
      <c r="P538" s="23">
        <v>402040.65</v>
      </c>
      <c r="Q538" s="22">
        <v>4.5999999999999996</v>
      </c>
      <c r="R538" s="22">
        <v>20</v>
      </c>
      <c r="S538" s="23">
        <f>(Table13[[#This Row],[Unit Price]]*Table13[[#This Row],[No.of Units]])*18%</f>
        <v>85138.02</v>
      </c>
      <c r="T538" s="22" t="s">
        <v>1507</v>
      </c>
    </row>
    <row r="539" spans="2:20" x14ac:dyDescent="0.3">
      <c r="B539" s="5" t="s">
        <v>530</v>
      </c>
      <c r="C539" s="1">
        <v>1286640</v>
      </c>
      <c r="D539" s="1">
        <v>61</v>
      </c>
      <c r="E539" s="1" t="s">
        <v>20</v>
      </c>
      <c r="F539" s="16">
        <v>45784</v>
      </c>
      <c r="G539" s="1" t="s">
        <v>1470</v>
      </c>
      <c r="H539" s="1" t="s">
        <v>1483</v>
      </c>
      <c r="I539" s="17" t="s">
        <v>1502</v>
      </c>
      <c r="J539" s="18" t="s">
        <v>13</v>
      </c>
      <c r="K539" s="19" t="s">
        <v>14</v>
      </c>
      <c r="L539" s="19" t="s">
        <v>49</v>
      </c>
      <c r="M539" s="20">
        <v>6</v>
      </c>
      <c r="N539" s="21">
        <v>99999</v>
      </c>
      <c r="O539" s="22">
        <v>10</v>
      </c>
      <c r="P539" s="23">
        <v>539994.6</v>
      </c>
      <c r="Q539" s="22">
        <v>4.7</v>
      </c>
      <c r="R539" s="22">
        <v>20</v>
      </c>
      <c r="S539" s="23">
        <f>(Table13[[#This Row],[Unit Price]]*Table13[[#This Row],[No.of Units]])*18%</f>
        <v>107998.92</v>
      </c>
      <c r="T539" s="22" t="s">
        <v>1508</v>
      </c>
    </row>
    <row r="540" spans="2:20" x14ac:dyDescent="0.3">
      <c r="B540" s="5" t="s">
        <v>531</v>
      </c>
      <c r="C540" s="1">
        <v>1531245</v>
      </c>
      <c r="D540" s="1">
        <v>35</v>
      </c>
      <c r="E540" s="1" t="s">
        <v>12</v>
      </c>
      <c r="F540" s="16">
        <v>45784</v>
      </c>
      <c r="G540" s="1" t="s">
        <v>1470</v>
      </c>
      <c r="H540" s="1" t="s">
        <v>1482</v>
      </c>
      <c r="I540" s="17" t="s">
        <v>1503</v>
      </c>
      <c r="J540" s="18" t="s">
        <v>17</v>
      </c>
      <c r="K540" s="19" t="s">
        <v>18</v>
      </c>
      <c r="L540" s="19" t="s">
        <v>49</v>
      </c>
      <c r="M540" s="20">
        <v>57</v>
      </c>
      <c r="N540" s="21">
        <v>4999</v>
      </c>
      <c r="O540" s="22">
        <v>18</v>
      </c>
      <c r="P540" s="23">
        <v>233653.26</v>
      </c>
      <c r="Q540" s="22">
        <v>4.4000000000000004</v>
      </c>
      <c r="R540" s="22">
        <v>20</v>
      </c>
      <c r="S540" s="23">
        <f>(Table13[[#This Row],[Unit Price]]*Table13[[#This Row],[No.of Units]])*18%</f>
        <v>51289.74</v>
      </c>
      <c r="T540" s="22" t="s">
        <v>1507</v>
      </c>
    </row>
    <row r="541" spans="2:20" x14ac:dyDescent="0.3">
      <c r="B541" s="5" t="s">
        <v>532</v>
      </c>
      <c r="C541" s="1">
        <v>9890628</v>
      </c>
      <c r="D541" s="1">
        <v>64</v>
      </c>
      <c r="E541" s="1" t="s">
        <v>20</v>
      </c>
      <c r="F541" s="16">
        <v>45784</v>
      </c>
      <c r="G541" s="1" t="s">
        <v>1470</v>
      </c>
      <c r="H541" s="1" t="s">
        <v>1471</v>
      </c>
      <c r="I541" s="17" t="s">
        <v>1504</v>
      </c>
      <c r="J541" s="18" t="s">
        <v>21</v>
      </c>
      <c r="K541" s="19" t="s">
        <v>18</v>
      </c>
      <c r="L541" s="19" t="s">
        <v>49</v>
      </c>
      <c r="M541" s="20">
        <v>7</v>
      </c>
      <c r="N541" s="21">
        <v>24900</v>
      </c>
      <c r="O541" s="22">
        <v>5</v>
      </c>
      <c r="P541" s="23">
        <v>165585</v>
      </c>
      <c r="Q541" s="22">
        <v>4.8</v>
      </c>
      <c r="R541" s="22">
        <v>20</v>
      </c>
      <c r="S541" s="23">
        <f>(Table13[[#This Row],[Unit Price]]*Table13[[#This Row],[No.of Units]])*18%</f>
        <v>31374</v>
      </c>
      <c r="T541" s="22" t="s">
        <v>1508</v>
      </c>
    </row>
    <row r="542" spans="2:20" x14ac:dyDescent="0.3">
      <c r="B542" s="5" t="s">
        <v>533</v>
      </c>
      <c r="C542" s="1">
        <v>6101159</v>
      </c>
      <c r="D542" s="1">
        <v>43</v>
      </c>
      <c r="E542" s="1" t="s">
        <v>12</v>
      </c>
      <c r="F542" s="16">
        <v>45784</v>
      </c>
      <c r="G542" s="1" t="s">
        <v>1470</v>
      </c>
      <c r="H542" s="1" t="s">
        <v>1482</v>
      </c>
      <c r="I542" s="17" t="s">
        <v>1505</v>
      </c>
      <c r="J542" s="18" t="s">
        <v>23</v>
      </c>
      <c r="K542" s="19" t="s">
        <v>14</v>
      </c>
      <c r="L542" s="19" t="s">
        <v>49</v>
      </c>
      <c r="M542" s="20">
        <v>3</v>
      </c>
      <c r="N542" s="21">
        <v>84999</v>
      </c>
      <c r="O542" s="22">
        <v>12</v>
      </c>
      <c r="P542" s="23">
        <v>224397.36</v>
      </c>
      <c r="Q542" s="22">
        <v>4.5</v>
      </c>
      <c r="R542" s="22">
        <v>20</v>
      </c>
      <c r="S542" s="23">
        <f>(Table13[[#This Row],[Unit Price]]*Table13[[#This Row],[No.of Units]])*18%</f>
        <v>45899.46</v>
      </c>
      <c r="T542" s="22" t="s">
        <v>1508</v>
      </c>
    </row>
    <row r="543" spans="2:20" x14ac:dyDescent="0.3">
      <c r="B543" s="5" t="s">
        <v>534</v>
      </c>
      <c r="C543" s="1">
        <v>5964555</v>
      </c>
      <c r="D543" s="1">
        <v>36</v>
      </c>
      <c r="E543" s="1" t="s">
        <v>12</v>
      </c>
      <c r="F543" s="16">
        <v>45784</v>
      </c>
      <c r="G543" s="1" t="s">
        <v>1470</v>
      </c>
      <c r="H543" s="1" t="s">
        <v>1471</v>
      </c>
      <c r="I543" s="17" t="s">
        <v>1504</v>
      </c>
      <c r="J543" s="18" t="s">
        <v>25</v>
      </c>
      <c r="K543" s="19" t="s">
        <v>26</v>
      </c>
      <c r="L543" s="19" t="s">
        <v>49</v>
      </c>
      <c r="M543" s="20">
        <v>6</v>
      </c>
      <c r="N543" s="21">
        <v>69999</v>
      </c>
      <c r="O543" s="22">
        <v>8</v>
      </c>
      <c r="P543" s="23">
        <v>386394.48</v>
      </c>
      <c r="Q543" s="22">
        <v>4.8</v>
      </c>
      <c r="R543" s="22">
        <v>20</v>
      </c>
      <c r="S543" s="23">
        <f>(Table13[[#This Row],[Unit Price]]*Table13[[#This Row],[No.of Units]])*18%</f>
        <v>75598.92</v>
      </c>
      <c r="T543" s="22" t="s">
        <v>1507</v>
      </c>
    </row>
    <row r="544" spans="2:20" x14ac:dyDescent="0.3">
      <c r="B544" s="5" t="s">
        <v>535</v>
      </c>
      <c r="C544" s="1">
        <v>2410897</v>
      </c>
      <c r="D544" s="1">
        <v>33</v>
      </c>
      <c r="E544" s="1" t="s">
        <v>12</v>
      </c>
      <c r="F544" s="16">
        <v>45784</v>
      </c>
      <c r="G544" s="1" t="s">
        <v>1470</v>
      </c>
      <c r="H544" s="1" t="s">
        <v>1471</v>
      </c>
      <c r="I544" s="17" t="s">
        <v>1503</v>
      </c>
      <c r="J544" s="18" t="s">
        <v>28</v>
      </c>
      <c r="K544" s="19" t="s">
        <v>26</v>
      </c>
      <c r="L544" s="19" t="s">
        <v>49</v>
      </c>
      <c r="M544" s="20">
        <v>10</v>
      </c>
      <c r="N544" s="21">
        <v>42999</v>
      </c>
      <c r="O544" s="22">
        <v>15</v>
      </c>
      <c r="P544" s="23">
        <v>365491.5</v>
      </c>
      <c r="Q544" s="22">
        <v>4.5999999999999996</v>
      </c>
      <c r="R544" s="22">
        <v>20</v>
      </c>
      <c r="S544" s="23">
        <f>(Table13[[#This Row],[Unit Price]]*Table13[[#This Row],[No.of Units]])*18%</f>
        <v>77398.2</v>
      </c>
      <c r="T544" s="22" t="s">
        <v>1508</v>
      </c>
    </row>
    <row r="545" spans="2:20" x14ac:dyDescent="0.3">
      <c r="B545" s="5" t="s">
        <v>536</v>
      </c>
      <c r="C545" s="1">
        <v>6177297</v>
      </c>
      <c r="D545" s="1">
        <v>44</v>
      </c>
      <c r="E545" s="1" t="s">
        <v>12</v>
      </c>
      <c r="F545" s="16">
        <v>45791</v>
      </c>
      <c r="G545" s="1" t="s">
        <v>1470</v>
      </c>
      <c r="H545" s="1" t="s">
        <v>1472</v>
      </c>
      <c r="I545" s="17" t="s">
        <v>1502</v>
      </c>
      <c r="J545" s="18" t="s">
        <v>13</v>
      </c>
      <c r="K545" s="19" t="s">
        <v>14</v>
      </c>
      <c r="L545" s="19" t="s">
        <v>15</v>
      </c>
      <c r="M545" s="20">
        <v>5</v>
      </c>
      <c r="N545" s="21">
        <v>99999</v>
      </c>
      <c r="O545" s="22">
        <v>10</v>
      </c>
      <c r="P545" s="23">
        <v>449995.5</v>
      </c>
      <c r="Q545" s="22">
        <v>4.7</v>
      </c>
      <c r="R545" s="22">
        <v>20</v>
      </c>
      <c r="S545" s="23">
        <f>(Table13[[#This Row],[Unit Price]]*Table13[[#This Row],[No.of Units]])*18%</f>
        <v>89999.099999999991</v>
      </c>
      <c r="T545" s="22" t="s">
        <v>1508</v>
      </c>
    </row>
    <row r="546" spans="2:20" x14ac:dyDescent="0.3">
      <c r="B546" s="5" t="s">
        <v>537</v>
      </c>
      <c r="C546" s="1">
        <v>8813507</v>
      </c>
      <c r="D546" s="1">
        <v>19</v>
      </c>
      <c r="E546" s="1" t="s">
        <v>34</v>
      </c>
      <c r="F546" s="16">
        <v>45791</v>
      </c>
      <c r="G546" s="1" t="s">
        <v>1470</v>
      </c>
      <c r="H546" s="1" t="s">
        <v>1482</v>
      </c>
      <c r="I546" s="17" t="s">
        <v>1503</v>
      </c>
      <c r="J546" s="18" t="s">
        <v>17</v>
      </c>
      <c r="K546" s="19" t="s">
        <v>18</v>
      </c>
      <c r="L546" s="19" t="s">
        <v>15</v>
      </c>
      <c r="M546" s="20">
        <v>52</v>
      </c>
      <c r="N546" s="21">
        <v>4999</v>
      </c>
      <c r="O546" s="22">
        <v>18</v>
      </c>
      <c r="P546" s="23">
        <v>213157.36</v>
      </c>
      <c r="Q546" s="22">
        <v>4.4000000000000004</v>
      </c>
      <c r="R546" s="22">
        <v>20</v>
      </c>
      <c r="S546" s="23">
        <f>(Table13[[#This Row],[Unit Price]]*Table13[[#This Row],[No.of Units]])*18%</f>
        <v>46790.64</v>
      </c>
      <c r="T546" s="22" t="s">
        <v>1507</v>
      </c>
    </row>
    <row r="547" spans="2:20" x14ac:dyDescent="0.3">
      <c r="B547" s="5" t="s">
        <v>538</v>
      </c>
      <c r="C547" s="1">
        <v>1973643</v>
      </c>
      <c r="D547" s="1">
        <v>20</v>
      </c>
      <c r="E547" s="1" t="s">
        <v>12</v>
      </c>
      <c r="F547" s="16">
        <v>45791</v>
      </c>
      <c r="G547" s="1" t="s">
        <v>1470</v>
      </c>
      <c r="H547" s="1" t="s">
        <v>1471</v>
      </c>
      <c r="I547" s="17" t="s">
        <v>1504</v>
      </c>
      <c r="J547" s="18" t="s">
        <v>21</v>
      </c>
      <c r="K547" s="19" t="s">
        <v>18</v>
      </c>
      <c r="L547" s="19" t="s">
        <v>15</v>
      </c>
      <c r="M547" s="20">
        <v>5</v>
      </c>
      <c r="N547" s="21">
        <v>24900</v>
      </c>
      <c r="O547" s="22">
        <v>5</v>
      </c>
      <c r="P547" s="23">
        <v>118275</v>
      </c>
      <c r="Q547" s="22">
        <v>4.8</v>
      </c>
      <c r="R547" s="22">
        <v>20</v>
      </c>
      <c r="S547" s="23">
        <f>(Table13[[#This Row],[Unit Price]]*Table13[[#This Row],[No.of Units]])*18%</f>
        <v>22410</v>
      </c>
      <c r="T547" s="22" t="s">
        <v>1508</v>
      </c>
    </row>
    <row r="548" spans="2:20" x14ac:dyDescent="0.3">
      <c r="B548" s="5" t="s">
        <v>539</v>
      </c>
      <c r="C548" s="1">
        <v>8630605</v>
      </c>
      <c r="D548" s="1">
        <v>47</v>
      </c>
      <c r="E548" s="1" t="s">
        <v>12</v>
      </c>
      <c r="F548" s="16">
        <v>45791</v>
      </c>
      <c r="G548" s="1" t="s">
        <v>1470</v>
      </c>
      <c r="H548" s="1" t="s">
        <v>1482</v>
      </c>
      <c r="I548" s="17" t="s">
        <v>1505</v>
      </c>
      <c r="J548" s="18" t="s">
        <v>23</v>
      </c>
      <c r="K548" s="19" t="s">
        <v>14</v>
      </c>
      <c r="L548" s="19" t="s">
        <v>15</v>
      </c>
      <c r="M548" s="20">
        <v>2</v>
      </c>
      <c r="N548" s="21">
        <v>84999</v>
      </c>
      <c r="O548" s="22">
        <v>12</v>
      </c>
      <c r="P548" s="23">
        <v>149598.24</v>
      </c>
      <c r="Q548" s="22">
        <v>4.5</v>
      </c>
      <c r="R548" s="22">
        <v>20</v>
      </c>
      <c r="S548" s="23">
        <f>(Table13[[#This Row],[Unit Price]]*Table13[[#This Row],[No.of Units]])*18%</f>
        <v>30599.64</v>
      </c>
      <c r="T548" s="22" t="s">
        <v>1508</v>
      </c>
    </row>
    <row r="549" spans="2:20" x14ac:dyDescent="0.3">
      <c r="B549" s="5" t="s">
        <v>539</v>
      </c>
      <c r="C549" s="1">
        <v>8630605</v>
      </c>
      <c r="D549" s="1">
        <v>62</v>
      </c>
      <c r="E549" s="1" t="s">
        <v>20</v>
      </c>
      <c r="F549" s="16">
        <v>45791</v>
      </c>
      <c r="G549" s="1" t="s">
        <v>1470</v>
      </c>
      <c r="H549" s="1" t="s">
        <v>1471</v>
      </c>
      <c r="I549" s="17" t="s">
        <v>1504</v>
      </c>
      <c r="J549" s="18" t="s">
        <v>25</v>
      </c>
      <c r="K549" s="19" t="s">
        <v>26</v>
      </c>
      <c r="L549" s="19" t="s">
        <v>15</v>
      </c>
      <c r="M549" s="20">
        <v>3</v>
      </c>
      <c r="N549" s="21">
        <v>69999</v>
      </c>
      <c r="O549" s="22">
        <v>8</v>
      </c>
      <c r="P549" s="23">
        <v>193197.24</v>
      </c>
      <c r="Q549" s="22">
        <v>4.8</v>
      </c>
      <c r="R549" s="22">
        <v>20</v>
      </c>
      <c r="S549" s="23">
        <f>(Table13[[#This Row],[Unit Price]]*Table13[[#This Row],[No.of Units]])*18%</f>
        <v>37799.46</v>
      </c>
      <c r="T549" s="22" t="s">
        <v>1507</v>
      </c>
    </row>
    <row r="550" spans="2:20" x14ac:dyDescent="0.3">
      <c r="B550" s="5" t="s">
        <v>539</v>
      </c>
      <c r="C550" s="1">
        <v>8630605</v>
      </c>
      <c r="D550" s="1">
        <v>24</v>
      </c>
      <c r="E550" s="1" t="s">
        <v>12</v>
      </c>
      <c r="F550" s="16">
        <v>45791</v>
      </c>
      <c r="G550" s="1" t="s">
        <v>1470</v>
      </c>
      <c r="H550" s="1" t="s">
        <v>1482</v>
      </c>
      <c r="I550" s="17" t="s">
        <v>1503</v>
      </c>
      <c r="J550" s="18" t="s">
        <v>28</v>
      </c>
      <c r="K550" s="19" t="s">
        <v>26</v>
      </c>
      <c r="L550" s="19" t="s">
        <v>15</v>
      </c>
      <c r="M550" s="20">
        <v>8</v>
      </c>
      <c r="N550" s="21">
        <v>42999</v>
      </c>
      <c r="O550" s="22">
        <v>15</v>
      </c>
      <c r="P550" s="23">
        <v>292393.2</v>
      </c>
      <c r="Q550" s="22">
        <v>4.5999999999999996</v>
      </c>
      <c r="R550" s="22">
        <v>20</v>
      </c>
      <c r="S550" s="23">
        <f>(Table13[[#This Row],[Unit Price]]*Table13[[#This Row],[No.of Units]])*18%</f>
        <v>61918.559999999998</v>
      </c>
      <c r="T550" s="22" t="s">
        <v>1507</v>
      </c>
    </row>
    <row r="551" spans="2:20" x14ac:dyDescent="0.3">
      <c r="B551" s="5" t="s">
        <v>540</v>
      </c>
      <c r="C551" s="1">
        <v>8611373</v>
      </c>
      <c r="D551" s="1">
        <v>50</v>
      </c>
      <c r="E551" s="1" t="s">
        <v>20</v>
      </c>
      <c r="F551" s="16">
        <v>45791</v>
      </c>
      <c r="G551" s="1" t="s">
        <v>1470</v>
      </c>
      <c r="H551" s="1" t="s">
        <v>1482</v>
      </c>
      <c r="I551" s="17" t="s">
        <v>1502</v>
      </c>
      <c r="J551" s="18" t="s">
        <v>13</v>
      </c>
      <c r="K551" s="19" t="s">
        <v>14</v>
      </c>
      <c r="L551" s="19" t="s">
        <v>29</v>
      </c>
      <c r="M551" s="20">
        <v>5</v>
      </c>
      <c r="N551" s="21">
        <v>99999</v>
      </c>
      <c r="O551" s="22">
        <v>10</v>
      </c>
      <c r="P551" s="23">
        <v>449995.5</v>
      </c>
      <c r="Q551" s="22">
        <v>4.7</v>
      </c>
      <c r="R551" s="22">
        <v>20</v>
      </c>
      <c r="S551" s="23">
        <f>(Table13[[#This Row],[Unit Price]]*Table13[[#This Row],[No.of Units]])*18%</f>
        <v>89999.099999999991</v>
      </c>
      <c r="T551" s="22" t="s">
        <v>1508</v>
      </c>
    </row>
    <row r="552" spans="2:20" x14ac:dyDescent="0.3">
      <c r="B552" s="5" t="s">
        <v>541</v>
      </c>
      <c r="C552" s="1">
        <v>2044365</v>
      </c>
      <c r="D552" s="1">
        <v>39</v>
      </c>
      <c r="E552" s="1" t="s">
        <v>12</v>
      </c>
      <c r="F552" s="16">
        <v>45791</v>
      </c>
      <c r="G552" s="1" t="s">
        <v>1470</v>
      </c>
      <c r="H552" s="1" t="s">
        <v>1471</v>
      </c>
      <c r="I552" s="17" t="s">
        <v>1503</v>
      </c>
      <c r="J552" s="18" t="s">
        <v>17</v>
      </c>
      <c r="K552" s="19" t="s">
        <v>18</v>
      </c>
      <c r="L552" s="19" t="s">
        <v>29</v>
      </c>
      <c r="M552" s="20">
        <v>38</v>
      </c>
      <c r="N552" s="21">
        <v>4999</v>
      </c>
      <c r="O552" s="22">
        <v>18</v>
      </c>
      <c r="P552" s="23">
        <v>155768.84</v>
      </c>
      <c r="Q552" s="22">
        <v>4.4000000000000004</v>
      </c>
      <c r="R552" s="22">
        <v>20</v>
      </c>
      <c r="S552" s="23">
        <f>(Table13[[#This Row],[Unit Price]]*Table13[[#This Row],[No.of Units]])*18%</f>
        <v>34193.159999999996</v>
      </c>
      <c r="T552" s="22" t="s">
        <v>1507</v>
      </c>
    </row>
    <row r="553" spans="2:20" x14ac:dyDescent="0.3">
      <c r="B553" s="5" t="s">
        <v>542</v>
      </c>
      <c r="C553" s="1">
        <v>8151832</v>
      </c>
      <c r="D553" s="1">
        <v>46</v>
      </c>
      <c r="E553" s="1" t="s">
        <v>12</v>
      </c>
      <c r="F553" s="16">
        <v>45791</v>
      </c>
      <c r="G553" s="1" t="s">
        <v>1470</v>
      </c>
      <c r="H553" s="1" t="s">
        <v>1471</v>
      </c>
      <c r="I553" s="17" t="s">
        <v>1504</v>
      </c>
      <c r="J553" s="18" t="s">
        <v>21</v>
      </c>
      <c r="K553" s="19" t="s">
        <v>18</v>
      </c>
      <c r="L553" s="19" t="s">
        <v>29</v>
      </c>
      <c r="M553" s="20">
        <v>6</v>
      </c>
      <c r="N553" s="21">
        <v>24900</v>
      </c>
      <c r="O553" s="22">
        <v>5</v>
      </c>
      <c r="P553" s="23">
        <v>141930</v>
      </c>
      <c r="Q553" s="22">
        <v>4.8</v>
      </c>
      <c r="R553" s="22">
        <v>20</v>
      </c>
      <c r="S553" s="23">
        <f>(Table13[[#This Row],[Unit Price]]*Table13[[#This Row],[No.of Units]])*18%</f>
        <v>26892</v>
      </c>
      <c r="T553" s="22" t="s">
        <v>1508</v>
      </c>
    </row>
    <row r="554" spans="2:20" x14ac:dyDescent="0.3">
      <c r="B554" s="5" t="s">
        <v>543</v>
      </c>
      <c r="C554" s="1">
        <v>2235887</v>
      </c>
      <c r="D554" s="1">
        <v>23</v>
      </c>
      <c r="E554" s="1" t="s">
        <v>12</v>
      </c>
      <c r="F554" s="16">
        <v>45791</v>
      </c>
      <c r="G554" s="1" t="s">
        <v>1470</v>
      </c>
      <c r="H554" s="1" t="s">
        <v>1471</v>
      </c>
      <c r="I554" s="17" t="s">
        <v>1505</v>
      </c>
      <c r="J554" s="18" t="s">
        <v>23</v>
      </c>
      <c r="K554" s="19" t="s">
        <v>14</v>
      </c>
      <c r="L554" s="19" t="s">
        <v>29</v>
      </c>
      <c r="M554" s="20">
        <v>2</v>
      </c>
      <c r="N554" s="21">
        <v>84999</v>
      </c>
      <c r="O554" s="22">
        <v>12</v>
      </c>
      <c r="P554" s="23">
        <v>149598.24</v>
      </c>
      <c r="Q554" s="22">
        <v>4.5</v>
      </c>
      <c r="R554" s="22">
        <v>20</v>
      </c>
      <c r="S554" s="23">
        <f>(Table13[[#This Row],[Unit Price]]*Table13[[#This Row],[No.of Units]])*18%</f>
        <v>30599.64</v>
      </c>
      <c r="T554" s="22" t="s">
        <v>1507</v>
      </c>
    </row>
    <row r="555" spans="2:20" x14ac:dyDescent="0.3">
      <c r="B555" s="5" t="s">
        <v>544</v>
      </c>
      <c r="C555" s="1">
        <v>3998205</v>
      </c>
      <c r="D555" s="1">
        <v>57</v>
      </c>
      <c r="E555" s="1" t="s">
        <v>20</v>
      </c>
      <c r="F555" s="16">
        <v>45791</v>
      </c>
      <c r="G555" s="1" t="s">
        <v>1470</v>
      </c>
      <c r="H555" s="1" t="s">
        <v>1472</v>
      </c>
      <c r="I555" s="17" t="s">
        <v>1504</v>
      </c>
      <c r="J555" s="18" t="s">
        <v>25</v>
      </c>
      <c r="K555" s="19" t="s">
        <v>26</v>
      </c>
      <c r="L555" s="19" t="s">
        <v>29</v>
      </c>
      <c r="M555" s="20">
        <v>5</v>
      </c>
      <c r="N555" s="21">
        <v>69999</v>
      </c>
      <c r="O555" s="22">
        <v>8</v>
      </c>
      <c r="P555" s="23">
        <v>321995.40000000002</v>
      </c>
      <c r="Q555" s="22">
        <v>4.8</v>
      </c>
      <c r="R555" s="22">
        <v>20</v>
      </c>
      <c r="S555" s="23">
        <f>(Table13[[#This Row],[Unit Price]]*Table13[[#This Row],[No.of Units]])*18%</f>
        <v>62999.1</v>
      </c>
      <c r="T555" s="22" t="s">
        <v>1508</v>
      </c>
    </row>
    <row r="556" spans="2:20" x14ac:dyDescent="0.3">
      <c r="B556" s="5" t="s">
        <v>545</v>
      </c>
      <c r="C556" s="1">
        <v>5548596</v>
      </c>
      <c r="D556" s="1">
        <v>34</v>
      </c>
      <c r="E556" s="1" t="s">
        <v>12</v>
      </c>
      <c r="F556" s="16">
        <v>45791</v>
      </c>
      <c r="G556" s="1" t="s">
        <v>1470</v>
      </c>
      <c r="H556" s="1" t="s">
        <v>1471</v>
      </c>
      <c r="I556" s="17" t="s">
        <v>1503</v>
      </c>
      <c r="J556" s="18" t="s">
        <v>28</v>
      </c>
      <c r="K556" s="19" t="s">
        <v>26</v>
      </c>
      <c r="L556" s="19" t="s">
        <v>29</v>
      </c>
      <c r="M556" s="20">
        <v>6</v>
      </c>
      <c r="N556" s="21">
        <v>42999</v>
      </c>
      <c r="O556" s="22">
        <v>15</v>
      </c>
      <c r="P556" s="23">
        <v>219294.9</v>
      </c>
      <c r="Q556" s="22">
        <v>4.5999999999999996</v>
      </c>
      <c r="R556" s="22">
        <v>20</v>
      </c>
      <c r="S556" s="23">
        <f>(Table13[[#This Row],[Unit Price]]*Table13[[#This Row],[No.of Units]])*18%</f>
        <v>46438.92</v>
      </c>
      <c r="T556" s="22" t="s">
        <v>1508</v>
      </c>
    </row>
    <row r="557" spans="2:20" x14ac:dyDescent="0.3">
      <c r="B557" s="5" t="s">
        <v>546</v>
      </c>
      <c r="C557" s="1">
        <v>252614</v>
      </c>
      <c r="D557" s="1">
        <v>23</v>
      </c>
      <c r="E557" s="1" t="s">
        <v>12</v>
      </c>
      <c r="F557" s="16">
        <v>45791</v>
      </c>
      <c r="G557" s="1" t="s">
        <v>1470</v>
      </c>
      <c r="H557" s="1" t="s">
        <v>1471</v>
      </c>
      <c r="I557" s="17" t="s">
        <v>1502</v>
      </c>
      <c r="J557" s="18" t="s">
        <v>13</v>
      </c>
      <c r="K557" s="19" t="s">
        <v>14</v>
      </c>
      <c r="L557" s="19" t="s">
        <v>35</v>
      </c>
      <c r="M557" s="20">
        <v>4</v>
      </c>
      <c r="N557" s="21">
        <v>99999</v>
      </c>
      <c r="O557" s="22">
        <v>10</v>
      </c>
      <c r="P557" s="23">
        <v>359996.4</v>
      </c>
      <c r="Q557" s="22">
        <v>4.7</v>
      </c>
      <c r="R557" s="22">
        <v>20</v>
      </c>
      <c r="S557" s="23">
        <f>(Table13[[#This Row],[Unit Price]]*Table13[[#This Row],[No.of Units]])*18%</f>
        <v>71999.28</v>
      </c>
      <c r="T557" s="22" t="s">
        <v>1508</v>
      </c>
    </row>
    <row r="558" spans="2:20" x14ac:dyDescent="0.3">
      <c r="B558" s="5" t="s">
        <v>547</v>
      </c>
      <c r="C558" s="1">
        <v>5497113</v>
      </c>
      <c r="D558" s="1">
        <v>28</v>
      </c>
      <c r="E558" s="1" t="s">
        <v>12</v>
      </c>
      <c r="F558" s="16">
        <v>45791</v>
      </c>
      <c r="G558" s="1" t="s">
        <v>1470</v>
      </c>
      <c r="H558" s="1" t="s">
        <v>1480</v>
      </c>
      <c r="I558" s="17" t="s">
        <v>1503</v>
      </c>
      <c r="J558" s="18" t="s">
        <v>17</v>
      </c>
      <c r="K558" s="19" t="s">
        <v>18</v>
      </c>
      <c r="L558" s="19" t="s">
        <v>35</v>
      </c>
      <c r="M558" s="20">
        <v>31</v>
      </c>
      <c r="N558" s="21">
        <v>4999</v>
      </c>
      <c r="O558" s="22">
        <v>18</v>
      </c>
      <c r="P558" s="23">
        <v>127074.58</v>
      </c>
      <c r="Q558" s="22">
        <v>4.4000000000000004</v>
      </c>
      <c r="R558" s="22">
        <v>20</v>
      </c>
      <c r="S558" s="23">
        <f>(Table13[[#This Row],[Unit Price]]*Table13[[#This Row],[No.of Units]])*18%</f>
        <v>27894.42</v>
      </c>
      <c r="T558" s="22" t="s">
        <v>1507</v>
      </c>
    </row>
    <row r="559" spans="2:20" x14ac:dyDescent="0.3">
      <c r="B559" s="5" t="s">
        <v>548</v>
      </c>
      <c r="C559" s="1">
        <v>4640147</v>
      </c>
      <c r="D559" s="1">
        <v>51</v>
      </c>
      <c r="E559" s="1" t="s">
        <v>20</v>
      </c>
      <c r="F559" s="16">
        <v>45791</v>
      </c>
      <c r="G559" s="1" t="s">
        <v>1470</v>
      </c>
      <c r="H559" s="1" t="s">
        <v>1471</v>
      </c>
      <c r="I559" s="17" t="s">
        <v>1504</v>
      </c>
      <c r="J559" s="18" t="s">
        <v>21</v>
      </c>
      <c r="K559" s="19" t="s">
        <v>18</v>
      </c>
      <c r="L559" s="19" t="s">
        <v>35</v>
      </c>
      <c r="M559" s="20">
        <v>11</v>
      </c>
      <c r="N559" s="21">
        <v>24900</v>
      </c>
      <c r="O559" s="22">
        <v>5</v>
      </c>
      <c r="P559" s="23">
        <v>260205</v>
      </c>
      <c r="Q559" s="22">
        <v>4.8</v>
      </c>
      <c r="R559" s="22">
        <v>20</v>
      </c>
      <c r="S559" s="23">
        <f>(Table13[[#This Row],[Unit Price]]*Table13[[#This Row],[No.of Units]])*18%</f>
        <v>49302</v>
      </c>
      <c r="T559" s="22" t="s">
        <v>1508</v>
      </c>
    </row>
    <row r="560" spans="2:20" x14ac:dyDescent="0.3">
      <c r="B560" s="5" t="s">
        <v>549</v>
      </c>
      <c r="C560" s="1">
        <v>1729818</v>
      </c>
      <c r="D560" s="1">
        <v>75</v>
      </c>
      <c r="E560" s="1" t="s">
        <v>20</v>
      </c>
      <c r="F560" s="16">
        <v>45791</v>
      </c>
      <c r="G560" s="1" t="s">
        <v>1470</v>
      </c>
      <c r="H560" s="1" t="s">
        <v>1471</v>
      </c>
      <c r="I560" s="17" t="s">
        <v>1505</v>
      </c>
      <c r="J560" s="18" t="s">
        <v>23</v>
      </c>
      <c r="K560" s="19" t="s">
        <v>14</v>
      </c>
      <c r="L560" s="19" t="s">
        <v>35</v>
      </c>
      <c r="M560" s="20">
        <v>6</v>
      </c>
      <c r="N560" s="21">
        <v>84999</v>
      </c>
      <c r="O560" s="22">
        <v>12</v>
      </c>
      <c r="P560" s="23">
        <v>448794.72</v>
      </c>
      <c r="Q560" s="22">
        <v>4.5</v>
      </c>
      <c r="R560" s="22">
        <v>20</v>
      </c>
      <c r="S560" s="23">
        <f>(Table13[[#This Row],[Unit Price]]*Table13[[#This Row],[No.of Units]])*18%</f>
        <v>91798.92</v>
      </c>
      <c r="T560" s="22" t="s">
        <v>1508</v>
      </c>
    </row>
    <row r="561" spans="2:20" x14ac:dyDescent="0.3">
      <c r="B561" s="5" t="s">
        <v>550</v>
      </c>
      <c r="C561" s="1">
        <v>3488885</v>
      </c>
      <c r="D561" s="1">
        <v>24</v>
      </c>
      <c r="E561" s="1" t="s">
        <v>12</v>
      </c>
      <c r="F561" s="16">
        <v>45791</v>
      </c>
      <c r="G561" s="1" t="s">
        <v>1470</v>
      </c>
      <c r="H561" s="1" t="s">
        <v>1482</v>
      </c>
      <c r="I561" s="17" t="s">
        <v>1504</v>
      </c>
      <c r="J561" s="18" t="s">
        <v>25</v>
      </c>
      <c r="K561" s="19" t="s">
        <v>26</v>
      </c>
      <c r="L561" s="19" t="s">
        <v>35</v>
      </c>
      <c r="M561" s="20">
        <v>4</v>
      </c>
      <c r="N561" s="21">
        <v>69999</v>
      </c>
      <c r="O561" s="22">
        <v>8</v>
      </c>
      <c r="P561" s="23">
        <v>257596.32</v>
      </c>
      <c r="Q561" s="22">
        <v>4.8</v>
      </c>
      <c r="R561" s="22">
        <v>20</v>
      </c>
      <c r="S561" s="23">
        <f>(Table13[[#This Row],[Unit Price]]*Table13[[#This Row],[No.of Units]])*18%</f>
        <v>50399.28</v>
      </c>
      <c r="T561" s="22" t="s">
        <v>1508</v>
      </c>
    </row>
    <row r="562" spans="2:20" x14ac:dyDescent="0.3">
      <c r="B562" s="5" t="s">
        <v>551</v>
      </c>
      <c r="C562" s="1">
        <v>3898679</v>
      </c>
      <c r="D562" s="1">
        <v>35</v>
      </c>
      <c r="E562" s="1" t="s">
        <v>12</v>
      </c>
      <c r="F562" s="16">
        <v>45791</v>
      </c>
      <c r="G562" s="1" t="s">
        <v>1470</v>
      </c>
      <c r="H562" s="1" t="s">
        <v>1471</v>
      </c>
      <c r="I562" s="17" t="s">
        <v>1503</v>
      </c>
      <c r="J562" s="18" t="s">
        <v>28</v>
      </c>
      <c r="K562" s="19" t="s">
        <v>26</v>
      </c>
      <c r="L562" s="19" t="s">
        <v>35</v>
      </c>
      <c r="M562" s="20">
        <v>10</v>
      </c>
      <c r="N562" s="21">
        <v>42999</v>
      </c>
      <c r="O562" s="22">
        <v>15</v>
      </c>
      <c r="P562" s="23">
        <v>365491.5</v>
      </c>
      <c r="Q562" s="22">
        <v>4.5999999999999996</v>
      </c>
      <c r="R562" s="22">
        <v>20</v>
      </c>
      <c r="S562" s="23">
        <f>(Table13[[#This Row],[Unit Price]]*Table13[[#This Row],[No.of Units]])*18%</f>
        <v>77398.2</v>
      </c>
      <c r="T562" s="22" t="s">
        <v>1508</v>
      </c>
    </row>
    <row r="563" spans="2:20" x14ac:dyDescent="0.3">
      <c r="B563" s="5" t="s">
        <v>552</v>
      </c>
      <c r="C563" s="1">
        <v>937120</v>
      </c>
      <c r="D563" s="1">
        <v>54</v>
      </c>
      <c r="E563" s="1" t="s">
        <v>20</v>
      </c>
      <c r="F563" s="16">
        <v>45791</v>
      </c>
      <c r="G563" s="1" t="s">
        <v>1470</v>
      </c>
      <c r="H563" s="1" t="s">
        <v>1471</v>
      </c>
      <c r="I563" s="17" t="s">
        <v>1502</v>
      </c>
      <c r="J563" s="18" t="s">
        <v>13</v>
      </c>
      <c r="K563" s="19" t="s">
        <v>14</v>
      </c>
      <c r="L563" s="19" t="s">
        <v>42</v>
      </c>
      <c r="M563" s="20">
        <v>3</v>
      </c>
      <c r="N563" s="21">
        <v>99999</v>
      </c>
      <c r="O563" s="22">
        <v>10</v>
      </c>
      <c r="P563" s="23">
        <v>269997.3</v>
      </c>
      <c r="Q563" s="22">
        <v>4.7</v>
      </c>
      <c r="R563" s="22">
        <v>20</v>
      </c>
      <c r="S563" s="23">
        <f>(Table13[[#This Row],[Unit Price]]*Table13[[#This Row],[No.of Units]])*18%</f>
        <v>53999.46</v>
      </c>
      <c r="T563" s="22" t="s">
        <v>1507</v>
      </c>
    </row>
    <row r="564" spans="2:20" x14ac:dyDescent="0.3">
      <c r="B564" s="5" t="s">
        <v>553</v>
      </c>
      <c r="C564" s="1">
        <v>3504837</v>
      </c>
      <c r="D564" s="1">
        <v>27</v>
      </c>
      <c r="E564" s="1" t="s">
        <v>12</v>
      </c>
      <c r="F564" s="16">
        <v>45791</v>
      </c>
      <c r="G564" s="1" t="s">
        <v>1470</v>
      </c>
      <c r="H564" s="1" t="s">
        <v>1483</v>
      </c>
      <c r="I564" s="17" t="s">
        <v>1503</v>
      </c>
      <c r="J564" s="18" t="s">
        <v>17</v>
      </c>
      <c r="K564" s="19" t="s">
        <v>18</v>
      </c>
      <c r="L564" s="19" t="s">
        <v>42</v>
      </c>
      <c r="M564" s="20">
        <v>39</v>
      </c>
      <c r="N564" s="21">
        <v>4999</v>
      </c>
      <c r="O564" s="22">
        <v>18</v>
      </c>
      <c r="P564" s="23">
        <v>159868.02000000002</v>
      </c>
      <c r="Q564" s="22">
        <v>4.4000000000000004</v>
      </c>
      <c r="R564" s="22">
        <v>20</v>
      </c>
      <c r="S564" s="23">
        <f>(Table13[[#This Row],[Unit Price]]*Table13[[#This Row],[No.of Units]])*18%</f>
        <v>35092.979999999996</v>
      </c>
      <c r="T564" s="22" t="s">
        <v>1508</v>
      </c>
    </row>
    <row r="565" spans="2:20" x14ac:dyDescent="0.3">
      <c r="B565" s="5" t="s">
        <v>554</v>
      </c>
      <c r="C565" s="1">
        <v>2374778</v>
      </c>
      <c r="D565" s="1">
        <v>40</v>
      </c>
      <c r="E565" s="1" t="s">
        <v>12</v>
      </c>
      <c r="F565" s="16">
        <v>45791</v>
      </c>
      <c r="G565" s="1" t="s">
        <v>1470</v>
      </c>
      <c r="H565" s="1" t="s">
        <v>1472</v>
      </c>
      <c r="I565" s="17" t="s">
        <v>1504</v>
      </c>
      <c r="J565" s="18" t="s">
        <v>21</v>
      </c>
      <c r="K565" s="19" t="s">
        <v>18</v>
      </c>
      <c r="L565" s="19" t="s">
        <v>42</v>
      </c>
      <c r="M565" s="20">
        <v>5</v>
      </c>
      <c r="N565" s="21">
        <v>24900</v>
      </c>
      <c r="O565" s="22">
        <v>5</v>
      </c>
      <c r="P565" s="23">
        <v>118275</v>
      </c>
      <c r="Q565" s="22">
        <v>4.8</v>
      </c>
      <c r="R565" s="22">
        <v>20</v>
      </c>
      <c r="S565" s="23">
        <f>(Table13[[#This Row],[Unit Price]]*Table13[[#This Row],[No.of Units]])*18%</f>
        <v>22410</v>
      </c>
      <c r="T565" s="22" t="s">
        <v>1508</v>
      </c>
    </row>
    <row r="566" spans="2:20" x14ac:dyDescent="0.3">
      <c r="B566" s="5" t="s">
        <v>555</v>
      </c>
      <c r="C566" s="1">
        <v>5504608</v>
      </c>
      <c r="D566" s="1">
        <v>34</v>
      </c>
      <c r="E566" s="1" t="s">
        <v>12</v>
      </c>
      <c r="F566" s="16">
        <v>45791</v>
      </c>
      <c r="G566" s="1" t="s">
        <v>1470</v>
      </c>
      <c r="H566" s="1" t="s">
        <v>1471</v>
      </c>
      <c r="I566" s="17" t="s">
        <v>1505</v>
      </c>
      <c r="J566" s="18" t="s">
        <v>23</v>
      </c>
      <c r="K566" s="19" t="s">
        <v>14</v>
      </c>
      <c r="L566" s="19" t="s">
        <v>42</v>
      </c>
      <c r="M566" s="20">
        <v>3</v>
      </c>
      <c r="N566" s="21">
        <v>84999</v>
      </c>
      <c r="O566" s="22">
        <v>12</v>
      </c>
      <c r="P566" s="23">
        <v>224397.36</v>
      </c>
      <c r="Q566" s="22">
        <v>4.5</v>
      </c>
      <c r="R566" s="22">
        <v>20</v>
      </c>
      <c r="S566" s="23">
        <f>(Table13[[#This Row],[Unit Price]]*Table13[[#This Row],[No.of Units]])*18%</f>
        <v>45899.46</v>
      </c>
      <c r="T566" s="22" t="s">
        <v>1508</v>
      </c>
    </row>
    <row r="567" spans="2:20" x14ac:dyDescent="0.3">
      <c r="B567" s="5" t="s">
        <v>556</v>
      </c>
      <c r="C567" s="1">
        <v>1316762</v>
      </c>
      <c r="D567" s="1">
        <v>49</v>
      </c>
      <c r="E567" s="1" t="s">
        <v>12</v>
      </c>
      <c r="F567" s="16">
        <v>45791</v>
      </c>
      <c r="G567" s="1" t="s">
        <v>1475</v>
      </c>
      <c r="H567" s="1" t="s">
        <v>1471</v>
      </c>
      <c r="I567" s="17" t="s">
        <v>1504</v>
      </c>
      <c r="J567" s="18" t="s">
        <v>25</v>
      </c>
      <c r="K567" s="19" t="s">
        <v>26</v>
      </c>
      <c r="L567" s="19" t="s">
        <v>42</v>
      </c>
      <c r="M567" s="20">
        <v>5</v>
      </c>
      <c r="N567" s="21">
        <v>69999</v>
      </c>
      <c r="O567" s="22">
        <v>8</v>
      </c>
      <c r="P567" s="23">
        <v>321995.40000000002</v>
      </c>
      <c r="Q567" s="22">
        <v>4.8</v>
      </c>
      <c r="R567" s="22">
        <v>20</v>
      </c>
      <c r="S567" s="23">
        <f>(Table13[[#This Row],[Unit Price]]*Table13[[#This Row],[No.of Units]])*18%</f>
        <v>62999.1</v>
      </c>
      <c r="T567" s="22" t="s">
        <v>1508</v>
      </c>
    </row>
    <row r="568" spans="2:20" x14ac:dyDescent="0.3">
      <c r="B568" s="5" t="s">
        <v>557</v>
      </c>
      <c r="C568" s="1">
        <v>1749092</v>
      </c>
      <c r="D568" s="1">
        <v>36</v>
      </c>
      <c r="E568" s="1" t="s">
        <v>12</v>
      </c>
      <c r="F568" s="16">
        <v>45791</v>
      </c>
      <c r="G568" s="1" t="s">
        <v>1470</v>
      </c>
      <c r="H568" s="1" t="s">
        <v>1482</v>
      </c>
      <c r="I568" s="17" t="s">
        <v>1503</v>
      </c>
      <c r="J568" s="18" t="s">
        <v>28</v>
      </c>
      <c r="K568" s="19" t="s">
        <v>26</v>
      </c>
      <c r="L568" s="19" t="s">
        <v>42</v>
      </c>
      <c r="M568" s="20">
        <v>6</v>
      </c>
      <c r="N568" s="21">
        <v>42999</v>
      </c>
      <c r="O568" s="22">
        <v>15</v>
      </c>
      <c r="P568" s="23">
        <v>219294.9</v>
      </c>
      <c r="Q568" s="22">
        <v>4.5999999999999996</v>
      </c>
      <c r="R568" s="22">
        <v>20</v>
      </c>
      <c r="S568" s="23">
        <f>(Table13[[#This Row],[Unit Price]]*Table13[[#This Row],[No.of Units]])*18%</f>
        <v>46438.92</v>
      </c>
      <c r="T568" s="22" t="s">
        <v>1507</v>
      </c>
    </row>
    <row r="569" spans="2:20" x14ac:dyDescent="0.3">
      <c r="B569" s="5" t="s">
        <v>558</v>
      </c>
      <c r="C569" s="1">
        <v>3238001</v>
      </c>
      <c r="D569" s="1">
        <v>29</v>
      </c>
      <c r="E569" s="1" t="s">
        <v>12</v>
      </c>
      <c r="F569" s="16">
        <v>45791</v>
      </c>
      <c r="G569" s="1" t="s">
        <v>1470</v>
      </c>
      <c r="H569" s="1" t="s">
        <v>1482</v>
      </c>
      <c r="I569" s="17" t="s">
        <v>1502</v>
      </c>
      <c r="J569" s="18" t="s">
        <v>13</v>
      </c>
      <c r="K569" s="19" t="s">
        <v>14</v>
      </c>
      <c r="L569" s="19" t="s">
        <v>49</v>
      </c>
      <c r="M569" s="20">
        <v>6</v>
      </c>
      <c r="N569" s="21">
        <v>99999</v>
      </c>
      <c r="O569" s="22">
        <v>10</v>
      </c>
      <c r="P569" s="23">
        <v>539994.6</v>
      </c>
      <c r="Q569" s="22">
        <v>4.7</v>
      </c>
      <c r="R569" s="22">
        <v>20</v>
      </c>
      <c r="S569" s="23">
        <f>(Table13[[#This Row],[Unit Price]]*Table13[[#This Row],[No.of Units]])*18%</f>
        <v>107998.92</v>
      </c>
      <c r="T569" s="22" t="s">
        <v>1507</v>
      </c>
    </row>
    <row r="570" spans="2:20" x14ac:dyDescent="0.3">
      <c r="B570" s="5" t="s">
        <v>559</v>
      </c>
      <c r="C570" s="1">
        <v>8136697</v>
      </c>
      <c r="D570" s="1">
        <v>34</v>
      </c>
      <c r="E570" s="1" t="s">
        <v>12</v>
      </c>
      <c r="F570" s="16">
        <v>45791</v>
      </c>
      <c r="G570" s="1" t="s">
        <v>1470</v>
      </c>
      <c r="H570" s="1" t="s">
        <v>1471</v>
      </c>
      <c r="I570" s="17" t="s">
        <v>1503</v>
      </c>
      <c r="J570" s="18" t="s">
        <v>17</v>
      </c>
      <c r="K570" s="19" t="s">
        <v>18</v>
      </c>
      <c r="L570" s="19" t="s">
        <v>49</v>
      </c>
      <c r="M570" s="20">
        <v>32</v>
      </c>
      <c r="N570" s="21">
        <v>4999</v>
      </c>
      <c r="O570" s="22">
        <v>18</v>
      </c>
      <c r="P570" s="23">
        <v>131173.76000000001</v>
      </c>
      <c r="Q570" s="22">
        <v>4.4000000000000004</v>
      </c>
      <c r="R570" s="22">
        <v>20</v>
      </c>
      <c r="S570" s="23">
        <f>(Table13[[#This Row],[Unit Price]]*Table13[[#This Row],[No.of Units]])*18%</f>
        <v>28794.239999999998</v>
      </c>
      <c r="T570" s="22" t="s">
        <v>1508</v>
      </c>
    </row>
    <row r="571" spans="2:20" x14ac:dyDescent="0.3">
      <c r="B571" s="5" t="s">
        <v>560</v>
      </c>
      <c r="C571" s="1">
        <v>8378600</v>
      </c>
      <c r="D571" s="1">
        <v>30</v>
      </c>
      <c r="E571" s="1" t="s">
        <v>12</v>
      </c>
      <c r="F571" s="16">
        <v>45791</v>
      </c>
      <c r="G571" s="1" t="s">
        <v>1470</v>
      </c>
      <c r="H571" s="1" t="s">
        <v>1482</v>
      </c>
      <c r="I571" s="17" t="s">
        <v>1504</v>
      </c>
      <c r="J571" s="18" t="s">
        <v>21</v>
      </c>
      <c r="K571" s="19" t="s">
        <v>18</v>
      </c>
      <c r="L571" s="19" t="s">
        <v>49</v>
      </c>
      <c r="M571" s="20">
        <v>8</v>
      </c>
      <c r="N571" s="21">
        <v>24900</v>
      </c>
      <c r="O571" s="22">
        <v>5</v>
      </c>
      <c r="P571" s="23">
        <v>189240</v>
      </c>
      <c r="Q571" s="22">
        <v>4.8</v>
      </c>
      <c r="R571" s="22">
        <v>20</v>
      </c>
      <c r="S571" s="23">
        <f>(Table13[[#This Row],[Unit Price]]*Table13[[#This Row],[No.of Units]])*18%</f>
        <v>35856</v>
      </c>
      <c r="T571" s="22" t="s">
        <v>1508</v>
      </c>
    </row>
    <row r="572" spans="2:20" x14ac:dyDescent="0.3">
      <c r="B572" s="5" t="s">
        <v>561</v>
      </c>
      <c r="C572" s="1">
        <v>2839193</v>
      </c>
      <c r="D572" s="1">
        <v>48</v>
      </c>
      <c r="E572" s="1" t="s">
        <v>12</v>
      </c>
      <c r="F572" s="16">
        <v>45791</v>
      </c>
      <c r="G572" s="1" t="s">
        <v>1474</v>
      </c>
      <c r="H572" s="1" t="s">
        <v>1472</v>
      </c>
      <c r="I572" s="17" t="s">
        <v>1505</v>
      </c>
      <c r="J572" s="18" t="s">
        <v>23</v>
      </c>
      <c r="K572" s="19" t="s">
        <v>14</v>
      </c>
      <c r="L572" s="19" t="s">
        <v>49</v>
      </c>
      <c r="M572" s="20">
        <v>5</v>
      </c>
      <c r="N572" s="21">
        <v>84999</v>
      </c>
      <c r="O572" s="22">
        <v>12</v>
      </c>
      <c r="P572" s="23">
        <v>373995.6</v>
      </c>
      <c r="Q572" s="22">
        <v>4.5</v>
      </c>
      <c r="R572" s="22">
        <v>20</v>
      </c>
      <c r="S572" s="23">
        <f>(Table13[[#This Row],[Unit Price]]*Table13[[#This Row],[No.of Units]])*18%</f>
        <v>76499.099999999991</v>
      </c>
      <c r="T572" s="22" t="s">
        <v>1508</v>
      </c>
    </row>
    <row r="573" spans="2:20" x14ac:dyDescent="0.3">
      <c r="B573" s="5" t="s">
        <v>562</v>
      </c>
      <c r="C573" s="1">
        <v>8374030</v>
      </c>
      <c r="D573" s="1">
        <v>23</v>
      </c>
      <c r="E573" s="1" t="s">
        <v>12</v>
      </c>
      <c r="F573" s="16">
        <v>45791</v>
      </c>
      <c r="G573" s="1" t="s">
        <v>1470</v>
      </c>
      <c r="H573" s="1" t="s">
        <v>1471</v>
      </c>
      <c r="I573" s="17" t="s">
        <v>1504</v>
      </c>
      <c r="J573" s="18" t="s">
        <v>25</v>
      </c>
      <c r="K573" s="19" t="s">
        <v>26</v>
      </c>
      <c r="L573" s="19" t="s">
        <v>49</v>
      </c>
      <c r="M573" s="20">
        <v>5</v>
      </c>
      <c r="N573" s="21">
        <v>69999</v>
      </c>
      <c r="O573" s="22">
        <v>8</v>
      </c>
      <c r="P573" s="23">
        <v>321995.40000000002</v>
      </c>
      <c r="Q573" s="22">
        <v>4.8</v>
      </c>
      <c r="R573" s="22">
        <v>20</v>
      </c>
      <c r="S573" s="23">
        <f>(Table13[[#This Row],[Unit Price]]*Table13[[#This Row],[No.of Units]])*18%</f>
        <v>62999.1</v>
      </c>
      <c r="T573" s="22" t="s">
        <v>1508</v>
      </c>
    </row>
    <row r="574" spans="2:20" x14ac:dyDescent="0.3">
      <c r="B574" s="5" t="s">
        <v>563</v>
      </c>
      <c r="C574" s="1">
        <v>6081434</v>
      </c>
      <c r="D574" s="1">
        <v>40</v>
      </c>
      <c r="E574" s="1" t="s">
        <v>12</v>
      </c>
      <c r="F574" s="16">
        <v>45791</v>
      </c>
      <c r="G574" s="1" t="s">
        <v>1470</v>
      </c>
      <c r="H574" s="1" t="s">
        <v>1471</v>
      </c>
      <c r="I574" s="17" t="s">
        <v>1503</v>
      </c>
      <c r="J574" s="18" t="s">
        <v>28</v>
      </c>
      <c r="K574" s="19" t="s">
        <v>26</v>
      </c>
      <c r="L574" s="19" t="s">
        <v>49</v>
      </c>
      <c r="M574" s="20">
        <v>11</v>
      </c>
      <c r="N574" s="21">
        <v>42999</v>
      </c>
      <c r="O574" s="22">
        <v>15</v>
      </c>
      <c r="P574" s="23">
        <v>402040.65</v>
      </c>
      <c r="Q574" s="22">
        <v>4.5999999999999996</v>
      </c>
      <c r="R574" s="22">
        <v>20</v>
      </c>
      <c r="S574" s="23">
        <f>(Table13[[#This Row],[Unit Price]]*Table13[[#This Row],[No.of Units]])*18%</f>
        <v>85138.02</v>
      </c>
      <c r="T574" s="22" t="s">
        <v>1508</v>
      </c>
    </row>
    <row r="575" spans="2:20" x14ac:dyDescent="0.3">
      <c r="B575" s="5" t="s">
        <v>564</v>
      </c>
      <c r="C575" s="1">
        <v>3658501</v>
      </c>
      <c r="D575" s="1">
        <v>25</v>
      </c>
      <c r="E575" s="1" t="s">
        <v>12</v>
      </c>
      <c r="F575" s="16">
        <v>45798</v>
      </c>
      <c r="G575" s="1" t="s">
        <v>1470</v>
      </c>
      <c r="H575" s="1" t="s">
        <v>1471</v>
      </c>
      <c r="I575" s="17" t="s">
        <v>1502</v>
      </c>
      <c r="J575" s="18" t="s">
        <v>13</v>
      </c>
      <c r="K575" s="19" t="s">
        <v>14</v>
      </c>
      <c r="L575" s="19" t="s">
        <v>15</v>
      </c>
      <c r="M575" s="20">
        <v>6</v>
      </c>
      <c r="N575" s="21">
        <v>99999</v>
      </c>
      <c r="O575" s="22">
        <v>10</v>
      </c>
      <c r="P575" s="23">
        <v>539994.6</v>
      </c>
      <c r="Q575" s="22">
        <v>4.7</v>
      </c>
      <c r="R575" s="22">
        <v>20</v>
      </c>
      <c r="S575" s="23">
        <f>(Table13[[#This Row],[Unit Price]]*Table13[[#This Row],[No.of Units]])*18%</f>
        <v>107998.92</v>
      </c>
      <c r="T575" s="22" t="s">
        <v>1508</v>
      </c>
    </row>
    <row r="576" spans="2:20" x14ac:dyDescent="0.3">
      <c r="B576" s="5" t="s">
        <v>565</v>
      </c>
      <c r="C576" s="1">
        <v>7272392</v>
      </c>
      <c r="D576" s="1">
        <v>41</v>
      </c>
      <c r="E576" s="1" t="s">
        <v>12</v>
      </c>
      <c r="F576" s="16">
        <v>45798</v>
      </c>
      <c r="G576" s="1" t="s">
        <v>1470</v>
      </c>
      <c r="H576" s="1" t="s">
        <v>1472</v>
      </c>
      <c r="I576" s="17" t="s">
        <v>1503</v>
      </c>
      <c r="J576" s="18" t="s">
        <v>17</v>
      </c>
      <c r="K576" s="19" t="s">
        <v>18</v>
      </c>
      <c r="L576" s="19" t="s">
        <v>15</v>
      </c>
      <c r="M576" s="20">
        <v>37</v>
      </c>
      <c r="N576" s="21">
        <v>4999</v>
      </c>
      <c r="O576" s="22">
        <v>18</v>
      </c>
      <c r="P576" s="23">
        <v>151669.66</v>
      </c>
      <c r="Q576" s="22">
        <v>4.4000000000000004</v>
      </c>
      <c r="R576" s="22">
        <v>20</v>
      </c>
      <c r="S576" s="23">
        <f>(Table13[[#This Row],[Unit Price]]*Table13[[#This Row],[No.of Units]])*18%</f>
        <v>33293.339999999997</v>
      </c>
      <c r="T576" s="22" t="s">
        <v>1507</v>
      </c>
    </row>
    <row r="577" spans="2:20" x14ac:dyDescent="0.3">
      <c r="B577" s="5" t="s">
        <v>566</v>
      </c>
      <c r="C577" s="1">
        <v>8984518</v>
      </c>
      <c r="D577" s="1">
        <v>24</v>
      </c>
      <c r="E577" s="1" t="s">
        <v>12</v>
      </c>
      <c r="F577" s="16">
        <v>45798</v>
      </c>
      <c r="G577" s="1" t="s">
        <v>1470</v>
      </c>
      <c r="H577" s="1" t="s">
        <v>1471</v>
      </c>
      <c r="I577" s="17" t="s">
        <v>1504</v>
      </c>
      <c r="J577" s="18" t="s">
        <v>21</v>
      </c>
      <c r="K577" s="19" t="s">
        <v>18</v>
      </c>
      <c r="L577" s="19" t="s">
        <v>15</v>
      </c>
      <c r="M577" s="20">
        <v>7</v>
      </c>
      <c r="N577" s="21">
        <v>24900</v>
      </c>
      <c r="O577" s="22">
        <v>5</v>
      </c>
      <c r="P577" s="23">
        <v>165585</v>
      </c>
      <c r="Q577" s="22">
        <v>4.8</v>
      </c>
      <c r="R577" s="22">
        <v>20</v>
      </c>
      <c r="S577" s="23">
        <f>(Table13[[#This Row],[Unit Price]]*Table13[[#This Row],[No.of Units]])*18%</f>
        <v>31374</v>
      </c>
      <c r="T577" s="22" t="s">
        <v>1508</v>
      </c>
    </row>
    <row r="578" spans="2:20" x14ac:dyDescent="0.3">
      <c r="B578" s="5" t="s">
        <v>567</v>
      </c>
      <c r="C578" s="1">
        <v>4461058</v>
      </c>
      <c r="D578" s="1">
        <v>31</v>
      </c>
      <c r="E578" s="1" t="s">
        <v>12</v>
      </c>
      <c r="F578" s="16">
        <v>45798</v>
      </c>
      <c r="G578" s="1" t="s">
        <v>1470</v>
      </c>
      <c r="H578" s="1" t="s">
        <v>1471</v>
      </c>
      <c r="I578" s="17" t="s">
        <v>1505</v>
      </c>
      <c r="J578" s="18" t="s">
        <v>23</v>
      </c>
      <c r="K578" s="19" t="s">
        <v>14</v>
      </c>
      <c r="L578" s="19" t="s">
        <v>15</v>
      </c>
      <c r="M578" s="20">
        <v>6</v>
      </c>
      <c r="N578" s="21">
        <v>84999</v>
      </c>
      <c r="O578" s="22">
        <v>12</v>
      </c>
      <c r="P578" s="23">
        <v>448794.72</v>
      </c>
      <c r="Q578" s="22">
        <v>4.5</v>
      </c>
      <c r="R578" s="22">
        <v>20</v>
      </c>
      <c r="S578" s="23">
        <f>(Table13[[#This Row],[Unit Price]]*Table13[[#This Row],[No.of Units]])*18%</f>
        <v>91798.92</v>
      </c>
      <c r="T578" s="22" t="s">
        <v>1508</v>
      </c>
    </row>
    <row r="579" spans="2:20" x14ac:dyDescent="0.3">
      <c r="B579" s="5" t="s">
        <v>568</v>
      </c>
      <c r="C579" s="1">
        <v>9980959</v>
      </c>
      <c r="D579" s="1">
        <v>40</v>
      </c>
      <c r="E579" s="1" t="s">
        <v>12</v>
      </c>
      <c r="F579" s="16">
        <v>45798</v>
      </c>
      <c r="G579" s="1" t="s">
        <v>1474</v>
      </c>
      <c r="H579" s="1" t="s">
        <v>1482</v>
      </c>
      <c r="I579" s="17" t="s">
        <v>1504</v>
      </c>
      <c r="J579" s="18" t="s">
        <v>25</v>
      </c>
      <c r="K579" s="19" t="s">
        <v>26</v>
      </c>
      <c r="L579" s="19" t="s">
        <v>15</v>
      </c>
      <c r="M579" s="20">
        <v>6</v>
      </c>
      <c r="N579" s="21">
        <v>69999</v>
      </c>
      <c r="O579" s="22">
        <v>8</v>
      </c>
      <c r="P579" s="23">
        <v>386394.48</v>
      </c>
      <c r="Q579" s="22">
        <v>4.8</v>
      </c>
      <c r="R579" s="22">
        <v>20</v>
      </c>
      <c r="S579" s="23">
        <f>(Table13[[#This Row],[Unit Price]]*Table13[[#This Row],[No.of Units]])*18%</f>
        <v>75598.92</v>
      </c>
      <c r="T579" s="22" t="s">
        <v>1507</v>
      </c>
    </row>
    <row r="580" spans="2:20" x14ac:dyDescent="0.3">
      <c r="B580" s="5" t="s">
        <v>569</v>
      </c>
      <c r="C580" s="1">
        <v>5984744</v>
      </c>
      <c r="D580" s="1">
        <v>76</v>
      </c>
      <c r="E580" s="1" t="s">
        <v>20</v>
      </c>
      <c r="F580" s="16">
        <v>45798</v>
      </c>
      <c r="G580" s="1" t="s">
        <v>1470</v>
      </c>
      <c r="H580" s="1" t="s">
        <v>1482</v>
      </c>
      <c r="I580" s="17" t="s">
        <v>1503</v>
      </c>
      <c r="J580" s="18" t="s">
        <v>28</v>
      </c>
      <c r="K580" s="19" t="s">
        <v>26</v>
      </c>
      <c r="L580" s="19" t="s">
        <v>15</v>
      </c>
      <c r="M580" s="20">
        <v>8</v>
      </c>
      <c r="N580" s="21">
        <v>42999</v>
      </c>
      <c r="O580" s="22">
        <v>15</v>
      </c>
      <c r="P580" s="23">
        <v>292393.2</v>
      </c>
      <c r="Q580" s="22">
        <v>4.5999999999999996</v>
      </c>
      <c r="R580" s="22">
        <v>20</v>
      </c>
      <c r="S580" s="23">
        <f>(Table13[[#This Row],[Unit Price]]*Table13[[#This Row],[No.of Units]])*18%</f>
        <v>61918.559999999998</v>
      </c>
      <c r="T580" s="22" t="s">
        <v>1508</v>
      </c>
    </row>
    <row r="581" spans="2:20" x14ac:dyDescent="0.3">
      <c r="B581" s="5" t="s">
        <v>570</v>
      </c>
      <c r="C581" s="1">
        <v>6101487</v>
      </c>
      <c r="D581" s="1">
        <v>46</v>
      </c>
      <c r="E581" s="1" t="s">
        <v>12</v>
      </c>
      <c r="F581" s="16">
        <v>45798</v>
      </c>
      <c r="G581" s="1" t="s">
        <v>1470</v>
      </c>
      <c r="H581" s="1" t="s">
        <v>1482</v>
      </c>
      <c r="I581" s="17" t="s">
        <v>1502</v>
      </c>
      <c r="J581" s="18" t="s">
        <v>13</v>
      </c>
      <c r="K581" s="19" t="s">
        <v>14</v>
      </c>
      <c r="L581" s="19" t="s">
        <v>29</v>
      </c>
      <c r="M581" s="20">
        <v>6</v>
      </c>
      <c r="N581" s="21">
        <v>99999</v>
      </c>
      <c r="O581" s="22">
        <v>10</v>
      </c>
      <c r="P581" s="23">
        <v>539994.6</v>
      </c>
      <c r="Q581" s="22">
        <v>4.7</v>
      </c>
      <c r="R581" s="22">
        <v>20</v>
      </c>
      <c r="S581" s="23">
        <f>(Table13[[#This Row],[Unit Price]]*Table13[[#This Row],[No.of Units]])*18%</f>
        <v>107998.92</v>
      </c>
      <c r="T581" s="22" t="s">
        <v>1507</v>
      </c>
    </row>
    <row r="582" spans="2:20" x14ac:dyDescent="0.3">
      <c r="B582" s="5" t="s">
        <v>571</v>
      </c>
      <c r="C582" s="1">
        <v>4816337</v>
      </c>
      <c r="D582" s="1">
        <v>46</v>
      </c>
      <c r="E582" s="1" t="s">
        <v>12</v>
      </c>
      <c r="F582" s="16">
        <v>45798</v>
      </c>
      <c r="G582" s="1" t="s">
        <v>1470</v>
      </c>
      <c r="H582" s="1" t="s">
        <v>1480</v>
      </c>
      <c r="I582" s="17" t="s">
        <v>1503</v>
      </c>
      <c r="J582" s="18" t="s">
        <v>17</v>
      </c>
      <c r="K582" s="19" t="s">
        <v>18</v>
      </c>
      <c r="L582" s="19" t="s">
        <v>29</v>
      </c>
      <c r="M582" s="20">
        <v>36</v>
      </c>
      <c r="N582" s="21">
        <v>4999</v>
      </c>
      <c r="O582" s="22">
        <v>18</v>
      </c>
      <c r="P582" s="23">
        <v>147570.48000000001</v>
      </c>
      <c r="Q582" s="22">
        <v>4.4000000000000004</v>
      </c>
      <c r="R582" s="22">
        <v>20</v>
      </c>
      <c r="S582" s="23">
        <f>(Table13[[#This Row],[Unit Price]]*Table13[[#This Row],[No.of Units]])*18%</f>
        <v>32393.52</v>
      </c>
      <c r="T582" s="22" t="s">
        <v>1508</v>
      </c>
    </row>
    <row r="583" spans="2:20" x14ac:dyDescent="0.3">
      <c r="B583" s="5" t="s">
        <v>572</v>
      </c>
      <c r="C583" s="1">
        <v>605697</v>
      </c>
      <c r="D583" s="1">
        <v>48</v>
      </c>
      <c r="E583" s="1" t="s">
        <v>12</v>
      </c>
      <c r="F583" s="16">
        <v>45798</v>
      </c>
      <c r="G583" s="1" t="s">
        <v>1470</v>
      </c>
      <c r="H583" s="1" t="s">
        <v>1471</v>
      </c>
      <c r="I583" s="17" t="s">
        <v>1504</v>
      </c>
      <c r="J583" s="18" t="s">
        <v>21</v>
      </c>
      <c r="K583" s="19" t="s">
        <v>18</v>
      </c>
      <c r="L583" s="19" t="s">
        <v>29</v>
      </c>
      <c r="M583" s="20">
        <v>13</v>
      </c>
      <c r="N583" s="21">
        <v>24900</v>
      </c>
      <c r="O583" s="22">
        <v>5</v>
      </c>
      <c r="P583" s="23">
        <v>307515</v>
      </c>
      <c r="Q583" s="22">
        <v>4.8</v>
      </c>
      <c r="R583" s="22">
        <v>20</v>
      </c>
      <c r="S583" s="23">
        <f>(Table13[[#This Row],[Unit Price]]*Table13[[#This Row],[No.of Units]])*18%</f>
        <v>58266</v>
      </c>
      <c r="T583" s="22" t="s">
        <v>1508</v>
      </c>
    </row>
    <row r="584" spans="2:20" x14ac:dyDescent="0.3">
      <c r="B584" s="5" t="s">
        <v>573</v>
      </c>
      <c r="C584" s="1">
        <v>1759089</v>
      </c>
      <c r="D584" s="1">
        <v>67</v>
      </c>
      <c r="E584" s="1" t="s">
        <v>20</v>
      </c>
      <c r="F584" s="16">
        <v>45798</v>
      </c>
      <c r="G584" s="1" t="s">
        <v>1470</v>
      </c>
      <c r="H584" s="1" t="s">
        <v>1483</v>
      </c>
      <c r="I584" s="17" t="s">
        <v>1505</v>
      </c>
      <c r="J584" s="18" t="s">
        <v>23</v>
      </c>
      <c r="K584" s="19" t="s">
        <v>14</v>
      </c>
      <c r="L584" s="19" t="s">
        <v>29</v>
      </c>
      <c r="M584" s="20">
        <v>4</v>
      </c>
      <c r="N584" s="21">
        <v>84999</v>
      </c>
      <c r="O584" s="22">
        <v>12</v>
      </c>
      <c r="P584" s="23">
        <v>299196.48</v>
      </c>
      <c r="Q584" s="22">
        <v>4.5</v>
      </c>
      <c r="R584" s="22">
        <v>20</v>
      </c>
      <c r="S584" s="23">
        <f>(Table13[[#This Row],[Unit Price]]*Table13[[#This Row],[No.of Units]])*18%</f>
        <v>61199.28</v>
      </c>
      <c r="T584" s="22" t="s">
        <v>1508</v>
      </c>
    </row>
    <row r="585" spans="2:20" x14ac:dyDescent="0.3">
      <c r="B585" s="5" t="s">
        <v>574</v>
      </c>
      <c r="C585" s="1">
        <v>6149021</v>
      </c>
      <c r="D585" s="1">
        <v>64</v>
      </c>
      <c r="E585" s="1" t="s">
        <v>20</v>
      </c>
      <c r="F585" s="16">
        <v>45798</v>
      </c>
      <c r="G585" s="1" t="s">
        <v>1470</v>
      </c>
      <c r="H585" s="1" t="s">
        <v>1471</v>
      </c>
      <c r="I585" s="17" t="s">
        <v>1504</v>
      </c>
      <c r="J585" s="18" t="s">
        <v>25</v>
      </c>
      <c r="K585" s="19" t="s">
        <v>26</v>
      </c>
      <c r="L585" s="19" t="s">
        <v>29</v>
      </c>
      <c r="M585" s="20">
        <v>3</v>
      </c>
      <c r="N585" s="21">
        <v>69999</v>
      </c>
      <c r="O585" s="22">
        <v>8</v>
      </c>
      <c r="P585" s="23">
        <v>193197.24</v>
      </c>
      <c r="Q585" s="22">
        <v>4.8</v>
      </c>
      <c r="R585" s="22">
        <v>20</v>
      </c>
      <c r="S585" s="23">
        <f>(Table13[[#This Row],[Unit Price]]*Table13[[#This Row],[No.of Units]])*18%</f>
        <v>37799.46</v>
      </c>
      <c r="T585" s="22" t="s">
        <v>1508</v>
      </c>
    </row>
    <row r="586" spans="2:20" x14ac:dyDescent="0.3">
      <c r="B586" s="5" t="s">
        <v>574</v>
      </c>
      <c r="C586" s="1">
        <v>6149021</v>
      </c>
      <c r="D586" s="1">
        <v>33</v>
      </c>
      <c r="E586" s="1" t="s">
        <v>12</v>
      </c>
      <c r="F586" s="16">
        <v>45798</v>
      </c>
      <c r="G586" s="1" t="s">
        <v>1470</v>
      </c>
      <c r="H586" s="1" t="s">
        <v>1471</v>
      </c>
      <c r="I586" s="17" t="s">
        <v>1503</v>
      </c>
      <c r="J586" s="18" t="s">
        <v>28</v>
      </c>
      <c r="K586" s="19" t="s">
        <v>26</v>
      </c>
      <c r="L586" s="19" t="s">
        <v>29</v>
      </c>
      <c r="M586" s="20">
        <v>9</v>
      </c>
      <c r="N586" s="21">
        <v>42999</v>
      </c>
      <c r="O586" s="22">
        <v>15</v>
      </c>
      <c r="P586" s="23">
        <v>328942.34999999998</v>
      </c>
      <c r="Q586" s="22">
        <v>4.5999999999999996</v>
      </c>
      <c r="R586" s="22">
        <v>20</v>
      </c>
      <c r="S586" s="23">
        <f>(Table13[[#This Row],[Unit Price]]*Table13[[#This Row],[No.of Units]])*18%</f>
        <v>69658.38</v>
      </c>
      <c r="T586" s="22" t="s">
        <v>1508</v>
      </c>
    </row>
    <row r="587" spans="2:20" x14ac:dyDescent="0.3">
      <c r="B587" s="5" t="s">
        <v>575</v>
      </c>
      <c r="C587" s="1">
        <v>290999</v>
      </c>
      <c r="D587" s="1">
        <v>41</v>
      </c>
      <c r="E587" s="1" t="s">
        <v>12</v>
      </c>
      <c r="F587" s="16">
        <v>45798</v>
      </c>
      <c r="G587" s="1" t="s">
        <v>1470</v>
      </c>
      <c r="H587" s="1" t="s">
        <v>1472</v>
      </c>
      <c r="I587" s="17" t="s">
        <v>1502</v>
      </c>
      <c r="J587" s="18" t="s">
        <v>13</v>
      </c>
      <c r="K587" s="19" t="s">
        <v>14</v>
      </c>
      <c r="L587" s="19" t="s">
        <v>35</v>
      </c>
      <c r="M587" s="20">
        <v>3</v>
      </c>
      <c r="N587" s="21">
        <v>99999</v>
      </c>
      <c r="O587" s="22">
        <v>10</v>
      </c>
      <c r="P587" s="23">
        <v>269997.3</v>
      </c>
      <c r="Q587" s="22">
        <v>4.7</v>
      </c>
      <c r="R587" s="22">
        <v>20</v>
      </c>
      <c r="S587" s="23">
        <f>(Table13[[#This Row],[Unit Price]]*Table13[[#This Row],[No.of Units]])*18%</f>
        <v>53999.46</v>
      </c>
      <c r="T587" s="22" t="s">
        <v>1508</v>
      </c>
    </row>
    <row r="588" spans="2:20" x14ac:dyDescent="0.3">
      <c r="B588" s="5" t="s">
        <v>575</v>
      </c>
      <c r="C588" s="1">
        <v>290999</v>
      </c>
      <c r="D588" s="1">
        <v>73</v>
      </c>
      <c r="E588" s="1" t="s">
        <v>20</v>
      </c>
      <c r="F588" s="16">
        <v>45798</v>
      </c>
      <c r="G588" s="1" t="s">
        <v>1470</v>
      </c>
      <c r="H588" s="1" t="s">
        <v>1472</v>
      </c>
      <c r="I588" s="17" t="s">
        <v>1503</v>
      </c>
      <c r="J588" s="18" t="s">
        <v>17</v>
      </c>
      <c r="K588" s="19" t="s">
        <v>18</v>
      </c>
      <c r="L588" s="19" t="s">
        <v>35</v>
      </c>
      <c r="M588" s="20">
        <v>57</v>
      </c>
      <c r="N588" s="21">
        <v>4999</v>
      </c>
      <c r="O588" s="22">
        <v>18</v>
      </c>
      <c r="P588" s="23">
        <v>233653.26</v>
      </c>
      <c r="Q588" s="22">
        <v>4.4000000000000004</v>
      </c>
      <c r="R588" s="22">
        <v>20</v>
      </c>
      <c r="S588" s="23">
        <f>(Table13[[#This Row],[Unit Price]]*Table13[[#This Row],[No.of Units]])*18%</f>
        <v>51289.74</v>
      </c>
      <c r="T588" s="22" t="s">
        <v>1507</v>
      </c>
    </row>
    <row r="589" spans="2:20" x14ac:dyDescent="0.3">
      <c r="B589" s="5" t="s">
        <v>576</v>
      </c>
      <c r="C589" s="1">
        <v>7562871</v>
      </c>
      <c r="D589" s="1">
        <v>25</v>
      </c>
      <c r="E589" s="1" t="s">
        <v>12</v>
      </c>
      <c r="F589" s="16">
        <v>45798</v>
      </c>
      <c r="G589" s="1" t="s">
        <v>1470</v>
      </c>
      <c r="H589" s="1" t="s">
        <v>1471</v>
      </c>
      <c r="I589" s="17" t="s">
        <v>1504</v>
      </c>
      <c r="J589" s="18" t="s">
        <v>21</v>
      </c>
      <c r="K589" s="19" t="s">
        <v>18</v>
      </c>
      <c r="L589" s="19" t="s">
        <v>35</v>
      </c>
      <c r="M589" s="20">
        <v>9</v>
      </c>
      <c r="N589" s="21">
        <v>24900</v>
      </c>
      <c r="O589" s="22">
        <v>5</v>
      </c>
      <c r="P589" s="23">
        <v>212895</v>
      </c>
      <c r="Q589" s="22">
        <v>4.8</v>
      </c>
      <c r="R589" s="22">
        <v>20</v>
      </c>
      <c r="S589" s="23">
        <f>(Table13[[#This Row],[Unit Price]]*Table13[[#This Row],[No.of Units]])*18%</f>
        <v>40338</v>
      </c>
      <c r="T589" s="22" t="s">
        <v>1508</v>
      </c>
    </row>
    <row r="590" spans="2:20" x14ac:dyDescent="0.3">
      <c r="B590" s="5" t="s">
        <v>577</v>
      </c>
      <c r="C590" s="1">
        <v>4777340</v>
      </c>
      <c r="D590" s="1">
        <v>26</v>
      </c>
      <c r="E590" s="1" t="s">
        <v>12</v>
      </c>
      <c r="F590" s="16">
        <v>45798</v>
      </c>
      <c r="G590" s="1" t="s">
        <v>1470</v>
      </c>
      <c r="H590" s="1" t="s">
        <v>1472</v>
      </c>
      <c r="I590" s="17" t="s">
        <v>1505</v>
      </c>
      <c r="J590" s="18" t="s">
        <v>23</v>
      </c>
      <c r="K590" s="19" t="s">
        <v>14</v>
      </c>
      <c r="L590" s="19" t="s">
        <v>35</v>
      </c>
      <c r="M590" s="20">
        <v>6</v>
      </c>
      <c r="N590" s="21">
        <v>84999</v>
      </c>
      <c r="O590" s="22">
        <v>12</v>
      </c>
      <c r="P590" s="23">
        <v>448794.72</v>
      </c>
      <c r="Q590" s="22">
        <v>4.5</v>
      </c>
      <c r="R590" s="22">
        <v>20</v>
      </c>
      <c r="S590" s="23">
        <f>(Table13[[#This Row],[Unit Price]]*Table13[[#This Row],[No.of Units]])*18%</f>
        <v>91798.92</v>
      </c>
      <c r="T590" s="22" t="s">
        <v>1508</v>
      </c>
    </row>
    <row r="591" spans="2:20" x14ac:dyDescent="0.3">
      <c r="B591" s="5" t="s">
        <v>577</v>
      </c>
      <c r="C591" s="1">
        <v>4777340</v>
      </c>
      <c r="D591" s="1">
        <v>46</v>
      </c>
      <c r="E591" s="1" t="s">
        <v>12</v>
      </c>
      <c r="F591" s="16">
        <v>45798</v>
      </c>
      <c r="G591" s="1" t="s">
        <v>1470</v>
      </c>
      <c r="H591" s="1" t="s">
        <v>1472</v>
      </c>
      <c r="I591" s="17" t="s">
        <v>1504</v>
      </c>
      <c r="J591" s="18" t="s">
        <v>25</v>
      </c>
      <c r="K591" s="19" t="s">
        <v>26</v>
      </c>
      <c r="L591" s="19" t="s">
        <v>35</v>
      </c>
      <c r="M591" s="20">
        <v>2</v>
      </c>
      <c r="N591" s="21">
        <v>69999</v>
      </c>
      <c r="O591" s="22">
        <v>8</v>
      </c>
      <c r="P591" s="23">
        <v>128798.16</v>
      </c>
      <c r="Q591" s="22">
        <v>4.8</v>
      </c>
      <c r="R591" s="22">
        <v>20</v>
      </c>
      <c r="S591" s="23">
        <f>(Table13[[#This Row],[Unit Price]]*Table13[[#This Row],[No.of Units]])*18%</f>
        <v>25199.64</v>
      </c>
      <c r="T591" s="22" t="s">
        <v>1508</v>
      </c>
    </row>
    <row r="592" spans="2:20" x14ac:dyDescent="0.3">
      <c r="B592" s="5" t="s">
        <v>578</v>
      </c>
      <c r="C592" s="1">
        <v>5372960</v>
      </c>
      <c r="D592" s="1">
        <v>44</v>
      </c>
      <c r="E592" s="1" t="s">
        <v>12</v>
      </c>
      <c r="F592" s="16">
        <v>45798</v>
      </c>
      <c r="G592" s="1" t="s">
        <v>1470</v>
      </c>
      <c r="H592" s="1" t="s">
        <v>1482</v>
      </c>
      <c r="I592" s="17" t="s">
        <v>1503</v>
      </c>
      <c r="J592" s="18" t="s">
        <v>28</v>
      </c>
      <c r="K592" s="19" t="s">
        <v>26</v>
      </c>
      <c r="L592" s="19" t="s">
        <v>35</v>
      </c>
      <c r="M592" s="20">
        <v>11</v>
      </c>
      <c r="N592" s="21">
        <v>42999</v>
      </c>
      <c r="O592" s="22">
        <v>15</v>
      </c>
      <c r="P592" s="23">
        <v>402040.65</v>
      </c>
      <c r="Q592" s="22">
        <v>4.5999999999999996</v>
      </c>
      <c r="R592" s="22">
        <v>20</v>
      </c>
      <c r="S592" s="23">
        <f>(Table13[[#This Row],[Unit Price]]*Table13[[#This Row],[No.of Units]])*18%</f>
        <v>85138.02</v>
      </c>
      <c r="T592" s="22" t="s">
        <v>1508</v>
      </c>
    </row>
    <row r="593" spans="2:20" x14ac:dyDescent="0.3">
      <c r="B593" s="5" t="s">
        <v>579</v>
      </c>
      <c r="C593" s="1">
        <v>2526682</v>
      </c>
      <c r="D593" s="1">
        <v>47</v>
      </c>
      <c r="E593" s="1" t="s">
        <v>12</v>
      </c>
      <c r="F593" s="16">
        <v>45798</v>
      </c>
      <c r="G593" s="1" t="s">
        <v>1470</v>
      </c>
      <c r="H593" s="1" t="s">
        <v>1471</v>
      </c>
      <c r="I593" s="17" t="s">
        <v>1502</v>
      </c>
      <c r="J593" s="18" t="s">
        <v>13</v>
      </c>
      <c r="K593" s="19" t="s">
        <v>14</v>
      </c>
      <c r="L593" s="19" t="s">
        <v>42</v>
      </c>
      <c r="M593" s="20">
        <v>5</v>
      </c>
      <c r="N593" s="21">
        <v>99999</v>
      </c>
      <c r="O593" s="22">
        <v>10</v>
      </c>
      <c r="P593" s="23">
        <v>449995.5</v>
      </c>
      <c r="Q593" s="22">
        <v>4.7</v>
      </c>
      <c r="R593" s="22">
        <v>20</v>
      </c>
      <c r="S593" s="23">
        <f>(Table13[[#This Row],[Unit Price]]*Table13[[#This Row],[No.of Units]])*18%</f>
        <v>89999.099999999991</v>
      </c>
      <c r="T593" s="22" t="s">
        <v>1507</v>
      </c>
    </row>
    <row r="594" spans="2:20" x14ac:dyDescent="0.3">
      <c r="B594" s="5" t="s">
        <v>580</v>
      </c>
      <c r="C594" s="1">
        <v>6073591</v>
      </c>
      <c r="D594" s="1">
        <v>28</v>
      </c>
      <c r="E594" s="1" t="s">
        <v>12</v>
      </c>
      <c r="F594" s="16">
        <v>45798</v>
      </c>
      <c r="G594" s="1" t="s">
        <v>1473</v>
      </c>
      <c r="H594" s="1" t="s">
        <v>1471</v>
      </c>
      <c r="I594" s="17" t="s">
        <v>1503</v>
      </c>
      <c r="J594" s="18" t="s">
        <v>17</v>
      </c>
      <c r="K594" s="19" t="s">
        <v>18</v>
      </c>
      <c r="L594" s="19" t="s">
        <v>42</v>
      </c>
      <c r="M594" s="20">
        <v>55</v>
      </c>
      <c r="N594" s="21">
        <v>4999</v>
      </c>
      <c r="O594" s="22">
        <v>18</v>
      </c>
      <c r="P594" s="23">
        <v>225454.9</v>
      </c>
      <c r="Q594" s="22">
        <v>4.4000000000000004</v>
      </c>
      <c r="R594" s="22">
        <v>20</v>
      </c>
      <c r="S594" s="23">
        <f>(Table13[[#This Row],[Unit Price]]*Table13[[#This Row],[No.of Units]])*18%</f>
        <v>49490.1</v>
      </c>
      <c r="T594" s="22" t="s">
        <v>1508</v>
      </c>
    </row>
    <row r="595" spans="2:20" x14ac:dyDescent="0.3">
      <c r="B595" s="5" t="s">
        <v>581</v>
      </c>
      <c r="C595" s="1">
        <v>2229567</v>
      </c>
      <c r="D595" s="1">
        <v>31</v>
      </c>
      <c r="E595" s="1" t="s">
        <v>12</v>
      </c>
      <c r="F595" s="16">
        <v>45798</v>
      </c>
      <c r="G595" s="1" t="s">
        <v>1470</v>
      </c>
      <c r="H595" s="1" t="s">
        <v>1482</v>
      </c>
      <c r="I595" s="17" t="s">
        <v>1504</v>
      </c>
      <c r="J595" s="18" t="s">
        <v>21</v>
      </c>
      <c r="K595" s="19" t="s">
        <v>18</v>
      </c>
      <c r="L595" s="19" t="s">
        <v>42</v>
      </c>
      <c r="M595" s="20">
        <v>11</v>
      </c>
      <c r="N595" s="21">
        <v>24900</v>
      </c>
      <c r="O595" s="22">
        <v>5</v>
      </c>
      <c r="P595" s="23">
        <v>260205</v>
      </c>
      <c r="Q595" s="22">
        <v>4.8</v>
      </c>
      <c r="R595" s="22">
        <v>20</v>
      </c>
      <c r="S595" s="23">
        <f>(Table13[[#This Row],[Unit Price]]*Table13[[#This Row],[No.of Units]])*18%</f>
        <v>49302</v>
      </c>
      <c r="T595" s="22" t="s">
        <v>1508</v>
      </c>
    </row>
    <row r="596" spans="2:20" x14ac:dyDescent="0.3">
      <c r="B596" s="5" t="s">
        <v>582</v>
      </c>
      <c r="C596" s="1">
        <v>7874045</v>
      </c>
      <c r="D596" s="1">
        <v>73</v>
      </c>
      <c r="E596" s="1" t="s">
        <v>20</v>
      </c>
      <c r="F596" s="16">
        <v>45798</v>
      </c>
      <c r="G596" s="1" t="s">
        <v>1475</v>
      </c>
      <c r="H596" s="1" t="s">
        <v>1472</v>
      </c>
      <c r="I596" s="17" t="s">
        <v>1505</v>
      </c>
      <c r="J596" s="18" t="s">
        <v>23</v>
      </c>
      <c r="K596" s="19" t="s">
        <v>14</v>
      </c>
      <c r="L596" s="19" t="s">
        <v>42</v>
      </c>
      <c r="M596" s="20">
        <v>5</v>
      </c>
      <c r="N596" s="21">
        <v>84999</v>
      </c>
      <c r="O596" s="22">
        <v>12</v>
      </c>
      <c r="P596" s="23">
        <v>373995.6</v>
      </c>
      <c r="Q596" s="22">
        <v>4.5</v>
      </c>
      <c r="R596" s="22">
        <v>20</v>
      </c>
      <c r="S596" s="23">
        <f>(Table13[[#This Row],[Unit Price]]*Table13[[#This Row],[No.of Units]])*18%</f>
        <v>76499.099999999991</v>
      </c>
      <c r="T596" s="22" t="s">
        <v>1508</v>
      </c>
    </row>
    <row r="597" spans="2:20" x14ac:dyDescent="0.3">
      <c r="B597" s="5" t="s">
        <v>583</v>
      </c>
      <c r="C597" s="1">
        <v>6811391</v>
      </c>
      <c r="D597" s="1">
        <v>40</v>
      </c>
      <c r="E597" s="1" t="s">
        <v>12</v>
      </c>
      <c r="F597" s="16">
        <v>45798</v>
      </c>
      <c r="G597" s="1" t="s">
        <v>1470</v>
      </c>
      <c r="H597" s="1" t="s">
        <v>1472</v>
      </c>
      <c r="I597" s="17" t="s">
        <v>1504</v>
      </c>
      <c r="J597" s="18" t="s">
        <v>25</v>
      </c>
      <c r="K597" s="19" t="s">
        <v>26</v>
      </c>
      <c r="L597" s="19" t="s">
        <v>42</v>
      </c>
      <c r="M597" s="20">
        <v>4</v>
      </c>
      <c r="N597" s="21">
        <v>69999</v>
      </c>
      <c r="O597" s="22">
        <v>8</v>
      </c>
      <c r="P597" s="23">
        <v>257596.32</v>
      </c>
      <c r="Q597" s="22">
        <v>4.8</v>
      </c>
      <c r="R597" s="22">
        <v>20</v>
      </c>
      <c r="S597" s="23">
        <f>(Table13[[#This Row],[Unit Price]]*Table13[[#This Row],[No.of Units]])*18%</f>
        <v>50399.28</v>
      </c>
      <c r="T597" s="22" t="s">
        <v>1507</v>
      </c>
    </row>
    <row r="598" spans="2:20" x14ac:dyDescent="0.3">
      <c r="B598" s="5" t="s">
        <v>584</v>
      </c>
      <c r="C598" s="1">
        <v>6078306</v>
      </c>
      <c r="D598" s="1">
        <v>39</v>
      </c>
      <c r="E598" s="1" t="s">
        <v>12</v>
      </c>
      <c r="F598" s="16">
        <v>45798</v>
      </c>
      <c r="G598" s="1" t="s">
        <v>1470</v>
      </c>
      <c r="H598" s="1" t="s">
        <v>1472</v>
      </c>
      <c r="I598" s="17" t="s">
        <v>1503</v>
      </c>
      <c r="J598" s="18" t="s">
        <v>28</v>
      </c>
      <c r="K598" s="19" t="s">
        <v>26</v>
      </c>
      <c r="L598" s="19" t="s">
        <v>42</v>
      </c>
      <c r="M598" s="20">
        <v>10</v>
      </c>
      <c r="N598" s="21">
        <v>42999</v>
      </c>
      <c r="O598" s="22">
        <v>15</v>
      </c>
      <c r="P598" s="23">
        <v>365491.5</v>
      </c>
      <c r="Q598" s="22">
        <v>4.5999999999999996</v>
      </c>
      <c r="R598" s="22">
        <v>20</v>
      </c>
      <c r="S598" s="23">
        <f>(Table13[[#This Row],[Unit Price]]*Table13[[#This Row],[No.of Units]])*18%</f>
        <v>77398.2</v>
      </c>
      <c r="T598" s="22" t="s">
        <v>1508</v>
      </c>
    </row>
    <row r="599" spans="2:20" x14ac:dyDescent="0.3">
      <c r="B599" s="5" t="s">
        <v>585</v>
      </c>
      <c r="C599" s="1">
        <v>4034081</v>
      </c>
      <c r="D599" s="1">
        <v>55</v>
      </c>
      <c r="E599" s="1" t="s">
        <v>20</v>
      </c>
      <c r="F599" s="16">
        <v>45798</v>
      </c>
      <c r="G599" s="1" t="s">
        <v>1470</v>
      </c>
      <c r="H599" s="1" t="s">
        <v>1472</v>
      </c>
      <c r="I599" s="17" t="s">
        <v>1502</v>
      </c>
      <c r="J599" s="18" t="s">
        <v>13</v>
      </c>
      <c r="K599" s="19" t="s">
        <v>14</v>
      </c>
      <c r="L599" s="19" t="s">
        <v>49</v>
      </c>
      <c r="M599" s="20">
        <v>6</v>
      </c>
      <c r="N599" s="21">
        <v>99999</v>
      </c>
      <c r="O599" s="22">
        <v>10</v>
      </c>
      <c r="P599" s="23">
        <v>539994.6</v>
      </c>
      <c r="Q599" s="22">
        <v>4.7</v>
      </c>
      <c r="R599" s="22">
        <v>20</v>
      </c>
      <c r="S599" s="23">
        <f>(Table13[[#This Row],[Unit Price]]*Table13[[#This Row],[No.of Units]])*18%</f>
        <v>107998.92</v>
      </c>
      <c r="T599" s="22" t="s">
        <v>1507</v>
      </c>
    </row>
    <row r="600" spans="2:20" x14ac:dyDescent="0.3">
      <c r="B600" s="5" t="s">
        <v>585</v>
      </c>
      <c r="C600" s="1">
        <v>4034081</v>
      </c>
      <c r="D600" s="1">
        <v>31</v>
      </c>
      <c r="E600" s="1" t="s">
        <v>12</v>
      </c>
      <c r="F600" s="16">
        <v>45798</v>
      </c>
      <c r="G600" s="1" t="s">
        <v>1470</v>
      </c>
      <c r="H600" s="1" t="s">
        <v>1471</v>
      </c>
      <c r="I600" s="17" t="s">
        <v>1503</v>
      </c>
      <c r="J600" s="18" t="s">
        <v>17</v>
      </c>
      <c r="K600" s="19" t="s">
        <v>18</v>
      </c>
      <c r="L600" s="19" t="s">
        <v>49</v>
      </c>
      <c r="M600" s="20">
        <v>48</v>
      </c>
      <c r="N600" s="21">
        <v>4999</v>
      </c>
      <c r="O600" s="22">
        <v>18</v>
      </c>
      <c r="P600" s="23">
        <v>196760.64</v>
      </c>
      <c r="Q600" s="22">
        <v>4.4000000000000004</v>
      </c>
      <c r="R600" s="22">
        <v>20</v>
      </c>
      <c r="S600" s="23">
        <f>(Table13[[#This Row],[Unit Price]]*Table13[[#This Row],[No.of Units]])*18%</f>
        <v>43191.360000000001</v>
      </c>
      <c r="T600" s="22" t="s">
        <v>1507</v>
      </c>
    </row>
    <row r="601" spans="2:20" x14ac:dyDescent="0.3">
      <c r="B601" s="5" t="s">
        <v>586</v>
      </c>
      <c r="C601" s="1">
        <v>3374384</v>
      </c>
      <c r="D601" s="1">
        <v>24</v>
      </c>
      <c r="E601" s="1" t="s">
        <v>12</v>
      </c>
      <c r="F601" s="16">
        <v>45798</v>
      </c>
      <c r="G601" s="1" t="s">
        <v>1470</v>
      </c>
      <c r="H601" s="1" t="s">
        <v>1472</v>
      </c>
      <c r="I601" s="17" t="s">
        <v>1504</v>
      </c>
      <c r="J601" s="18" t="s">
        <v>21</v>
      </c>
      <c r="K601" s="19" t="s">
        <v>18</v>
      </c>
      <c r="L601" s="19" t="s">
        <v>49</v>
      </c>
      <c r="M601" s="20">
        <v>13</v>
      </c>
      <c r="N601" s="21">
        <v>24900</v>
      </c>
      <c r="O601" s="22">
        <v>5</v>
      </c>
      <c r="P601" s="23">
        <v>307515</v>
      </c>
      <c r="Q601" s="22">
        <v>4.8</v>
      </c>
      <c r="R601" s="22">
        <v>20</v>
      </c>
      <c r="S601" s="23">
        <f>(Table13[[#This Row],[Unit Price]]*Table13[[#This Row],[No.of Units]])*18%</f>
        <v>58266</v>
      </c>
      <c r="T601" s="22" t="s">
        <v>1507</v>
      </c>
    </row>
    <row r="602" spans="2:20" x14ac:dyDescent="0.3">
      <c r="B602" s="5" t="s">
        <v>587</v>
      </c>
      <c r="C602" s="1">
        <v>4369754</v>
      </c>
      <c r="D602" s="1">
        <v>70</v>
      </c>
      <c r="E602" s="1" t="s">
        <v>20</v>
      </c>
      <c r="F602" s="16">
        <v>45798</v>
      </c>
      <c r="G602" s="1" t="s">
        <v>1470</v>
      </c>
      <c r="H602" s="1" t="s">
        <v>1472</v>
      </c>
      <c r="I602" s="17" t="s">
        <v>1505</v>
      </c>
      <c r="J602" s="18" t="s">
        <v>23</v>
      </c>
      <c r="K602" s="19" t="s">
        <v>14</v>
      </c>
      <c r="L602" s="19" t="s">
        <v>49</v>
      </c>
      <c r="M602" s="20">
        <v>4</v>
      </c>
      <c r="N602" s="21">
        <v>84999</v>
      </c>
      <c r="O602" s="22">
        <v>12</v>
      </c>
      <c r="P602" s="23">
        <v>299196.48</v>
      </c>
      <c r="Q602" s="22">
        <v>4.5</v>
      </c>
      <c r="R602" s="22">
        <v>20</v>
      </c>
      <c r="S602" s="23">
        <f>(Table13[[#This Row],[Unit Price]]*Table13[[#This Row],[No.of Units]])*18%</f>
        <v>61199.28</v>
      </c>
      <c r="T602" s="22" t="s">
        <v>1508</v>
      </c>
    </row>
    <row r="603" spans="2:20" x14ac:dyDescent="0.3">
      <c r="B603" s="5" t="s">
        <v>588</v>
      </c>
      <c r="C603" s="1">
        <v>9530023</v>
      </c>
      <c r="D603" s="1">
        <v>50</v>
      </c>
      <c r="E603" s="1" t="s">
        <v>20</v>
      </c>
      <c r="F603" s="16">
        <v>45798</v>
      </c>
      <c r="G603" s="1" t="s">
        <v>1474</v>
      </c>
      <c r="H603" s="1" t="s">
        <v>1471</v>
      </c>
      <c r="I603" s="17" t="s">
        <v>1504</v>
      </c>
      <c r="J603" s="18" t="s">
        <v>25</v>
      </c>
      <c r="K603" s="19" t="s">
        <v>26</v>
      </c>
      <c r="L603" s="19" t="s">
        <v>49</v>
      </c>
      <c r="M603" s="20">
        <v>6</v>
      </c>
      <c r="N603" s="21">
        <v>69999</v>
      </c>
      <c r="O603" s="22">
        <v>8</v>
      </c>
      <c r="P603" s="23">
        <v>386394.48</v>
      </c>
      <c r="Q603" s="22">
        <v>4.8</v>
      </c>
      <c r="R603" s="22">
        <v>20</v>
      </c>
      <c r="S603" s="23">
        <f>(Table13[[#This Row],[Unit Price]]*Table13[[#This Row],[No.of Units]])*18%</f>
        <v>75598.92</v>
      </c>
      <c r="T603" s="22" t="s">
        <v>1507</v>
      </c>
    </row>
    <row r="604" spans="2:20" x14ac:dyDescent="0.3">
      <c r="B604" s="5" t="s">
        <v>589</v>
      </c>
      <c r="C604" s="1">
        <v>6608262</v>
      </c>
      <c r="D604" s="1">
        <v>44</v>
      </c>
      <c r="E604" s="1" t="s">
        <v>12</v>
      </c>
      <c r="F604" s="16">
        <v>45798</v>
      </c>
      <c r="G604" s="1" t="s">
        <v>1470</v>
      </c>
      <c r="H604" s="1" t="s">
        <v>1471</v>
      </c>
      <c r="I604" s="17" t="s">
        <v>1503</v>
      </c>
      <c r="J604" s="18" t="s">
        <v>28</v>
      </c>
      <c r="K604" s="19" t="s">
        <v>26</v>
      </c>
      <c r="L604" s="19" t="s">
        <v>49</v>
      </c>
      <c r="M604" s="20">
        <v>7</v>
      </c>
      <c r="N604" s="21">
        <v>42999</v>
      </c>
      <c r="O604" s="22">
        <v>15</v>
      </c>
      <c r="P604" s="23">
        <v>255844.05</v>
      </c>
      <c r="Q604" s="22">
        <v>4.5999999999999996</v>
      </c>
      <c r="R604" s="22">
        <v>20</v>
      </c>
      <c r="S604" s="23">
        <f>(Table13[[#This Row],[Unit Price]]*Table13[[#This Row],[No.of Units]])*18%</f>
        <v>54178.74</v>
      </c>
      <c r="T604" s="22" t="s">
        <v>1508</v>
      </c>
    </row>
    <row r="605" spans="2:20" x14ac:dyDescent="0.3">
      <c r="B605" s="5" t="s">
        <v>589</v>
      </c>
      <c r="C605" s="1">
        <v>6608262</v>
      </c>
      <c r="D605" s="1">
        <v>45</v>
      </c>
      <c r="E605" s="1" t="s">
        <v>12</v>
      </c>
      <c r="F605" s="16">
        <v>45805</v>
      </c>
      <c r="G605" s="1" t="s">
        <v>1470</v>
      </c>
      <c r="H605" s="1" t="s">
        <v>1471</v>
      </c>
      <c r="I605" s="17" t="s">
        <v>1502</v>
      </c>
      <c r="J605" s="18" t="s">
        <v>13</v>
      </c>
      <c r="K605" s="19" t="s">
        <v>14</v>
      </c>
      <c r="L605" s="19" t="s">
        <v>15</v>
      </c>
      <c r="M605" s="20">
        <v>4</v>
      </c>
      <c r="N605" s="21">
        <v>99999</v>
      </c>
      <c r="O605" s="22">
        <v>10</v>
      </c>
      <c r="P605" s="23">
        <v>359996.4</v>
      </c>
      <c r="Q605" s="22">
        <v>4.7</v>
      </c>
      <c r="R605" s="22">
        <v>20</v>
      </c>
      <c r="S605" s="23">
        <f>(Table13[[#This Row],[Unit Price]]*Table13[[#This Row],[No.of Units]])*18%</f>
        <v>71999.28</v>
      </c>
      <c r="T605" s="22" t="s">
        <v>1508</v>
      </c>
    </row>
    <row r="606" spans="2:20" x14ac:dyDescent="0.3">
      <c r="B606" s="5" t="s">
        <v>590</v>
      </c>
      <c r="C606" s="1">
        <v>6067494</v>
      </c>
      <c r="D606" s="1">
        <v>78</v>
      </c>
      <c r="E606" s="1" t="s">
        <v>20</v>
      </c>
      <c r="F606" s="16">
        <v>45805</v>
      </c>
      <c r="G606" s="1" t="s">
        <v>1474</v>
      </c>
      <c r="H606" s="1" t="s">
        <v>1471</v>
      </c>
      <c r="I606" s="17" t="s">
        <v>1503</v>
      </c>
      <c r="J606" s="18" t="s">
        <v>17</v>
      </c>
      <c r="K606" s="19" t="s">
        <v>18</v>
      </c>
      <c r="L606" s="19" t="s">
        <v>15</v>
      </c>
      <c r="M606" s="20">
        <v>47</v>
      </c>
      <c r="N606" s="21">
        <v>4999</v>
      </c>
      <c r="O606" s="22">
        <v>18</v>
      </c>
      <c r="P606" s="23">
        <v>192661.46</v>
      </c>
      <c r="Q606" s="22">
        <v>4.4000000000000004</v>
      </c>
      <c r="R606" s="22">
        <v>20</v>
      </c>
      <c r="S606" s="23">
        <f>(Table13[[#This Row],[Unit Price]]*Table13[[#This Row],[No.of Units]])*18%</f>
        <v>42291.54</v>
      </c>
      <c r="T606" s="22" t="s">
        <v>1508</v>
      </c>
    </row>
    <row r="607" spans="2:20" x14ac:dyDescent="0.3">
      <c r="B607" s="5" t="s">
        <v>591</v>
      </c>
      <c r="C607" s="1">
        <v>6126480</v>
      </c>
      <c r="D607" s="1">
        <v>44</v>
      </c>
      <c r="E607" s="1" t="s">
        <v>12</v>
      </c>
      <c r="F607" s="16">
        <v>45805</v>
      </c>
      <c r="G607" s="1" t="s">
        <v>1470</v>
      </c>
      <c r="H607" s="1" t="s">
        <v>1472</v>
      </c>
      <c r="I607" s="17" t="s">
        <v>1504</v>
      </c>
      <c r="J607" s="18" t="s">
        <v>21</v>
      </c>
      <c r="K607" s="19" t="s">
        <v>18</v>
      </c>
      <c r="L607" s="19" t="s">
        <v>15</v>
      </c>
      <c r="M607" s="20">
        <v>7</v>
      </c>
      <c r="N607" s="21">
        <v>24900</v>
      </c>
      <c r="O607" s="22">
        <v>5</v>
      </c>
      <c r="P607" s="23">
        <v>165585</v>
      </c>
      <c r="Q607" s="22">
        <v>4.8</v>
      </c>
      <c r="R607" s="22">
        <v>20</v>
      </c>
      <c r="S607" s="23">
        <f>(Table13[[#This Row],[Unit Price]]*Table13[[#This Row],[No.of Units]])*18%</f>
        <v>31374</v>
      </c>
      <c r="T607" s="22" t="s">
        <v>1508</v>
      </c>
    </row>
    <row r="608" spans="2:20" x14ac:dyDescent="0.3">
      <c r="B608" s="5" t="s">
        <v>592</v>
      </c>
      <c r="C608" s="1">
        <v>3151405</v>
      </c>
      <c r="D608" s="1">
        <v>22</v>
      </c>
      <c r="E608" s="1" t="s">
        <v>12</v>
      </c>
      <c r="F608" s="16">
        <v>45805</v>
      </c>
      <c r="G608" s="1" t="s">
        <v>1470</v>
      </c>
      <c r="H608" s="1" t="s">
        <v>1481</v>
      </c>
      <c r="I608" s="17" t="s">
        <v>1505</v>
      </c>
      <c r="J608" s="18" t="s">
        <v>23</v>
      </c>
      <c r="K608" s="19" t="s">
        <v>14</v>
      </c>
      <c r="L608" s="19" t="s">
        <v>15</v>
      </c>
      <c r="M608" s="20">
        <v>6</v>
      </c>
      <c r="N608" s="21">
        <v>84999</v>
      </c>
      <c r="O608" s="22">
        <v>12</v>
      </c>
      <c r="P608" s="23">
        <v>448794.72</v>
      </c>
      <c r="Q608" s="22">
        <v>4.5</v>
      </c>
      <c r="R608" s="22">
        <v>20</v>
      </c>
      <c r="S608" s="23">
        <f>(Table13[[#This Row],[Unit Price]]*Table13[[#This Row],[No.of Units]])*18%</f>
        <v>91798.92</v>
      </c>
      <c r="T608" s="22" t="s">
        <v>1507</v>
      </c>
    </row>
    <row r="609" spans="2:20" x14ac:dyDescent="0.3">
      <c r="B609" s="5" t="s">
        <v>593</v>
      </c>
      <c r="C609" s="1">
        <v>3362405</v>
      </c>
      <c r="D609" s="1">
        <v>31</v>
      </c>
      <c r="E609" s="1" t="s">
        <v>12</v>
      </c>
      <c r="F609" s="16">
        <v>45805</v>
      </c>
      <c r="G609" s="1" t="s">
        <v>1470</v>
      </c>
      <c r="H609" s="1" t="s">
        <v>1481</v>
      </c>
      <c r="I609" s="17" t="s">
        <v>1504</v>
      </c>
      <c r="J609" s="18" t="s">
        <v>25</v>
      </c>
      <c r="K609" s="19" t="s">
        <v>26</v>
      </c>
      <c r="L609" s="19" t="s">
        <v>15</v>
      </c>
      <c r="M609" s="20">
        <v>4</v>
      </c>
      <c r="N609" s="21">
        <v>69999</v>
      </c>
      <c r="O609" s="22">
        <v>8</v>
      </c>
      <c r="P609" s="23">
        <v>257596.32</v>
      </c>
      <c r="Q609" s="22">
        <v>4.8</v>
      </c>
      <c r="R609" s="22">
        <v>20</v>
      </c>
      <c r="S609" s="23">
        <f>(Table13[[#This Row],[Unit Price]]*Table13[[#This Row],[No.of Units]])*18%</f>
        <v>50399.28</v>
      </c>
      <c r="T609" s="22" t="s">
        <v>1508</v>
      </c>
    </row>
    <row r="610" spans="2:20" x14ac:dyDescent="0.3">
      <c r="B610" s="5" t="s">
        <v>594</v>
      </c>
      <c r="C610" s="1">
        <v>7255132</v>
      </c>
      <c r="D610" s="1">
        <v>58</v>
      </c>
      <c r="E610" s="1" t="s">
        <v>20</v>
      </c>
      <c r="F610" s="16">
        <v>45805</v>
      </c>
      <c r="G610" s="1" t="s">
        <v>1470</v>
      </c>
      <c r="H610" s="1" t="s">
        <v>1471</v>
      </c>
      <c r="I610" s="17" t="s">
        <v>1503</v>
      </c>
      <c r="J610" s="18" t="s">
        <v>28</v>
      </c>
      <c r="K610" s="19" t="s">
        <v>26</v>
      </c>
      <c r="L610" s="19" t="s">
        <v>15</v>
      </c>
      <c r="M610" s="20">
        <v>11</v>
      </c>
      <c r="N610" s="21">
        <v>42999</v>
      </c>
      <c r="O610" s="22">
        <v>15</v>
      </c>
      <c r="P610" s="23">
        <v>402040.65</v>
      </c>
      <c r="Q610" s="22">
        <v>4.5999999999999996</v>
      </c>
      <c r="R610" s="22">
        <v>20</v>
      </c>
      <c r="S610" s="23">
        <f>(Table13[[#This Row],[Unit Price]]*Table13[[#This Row],[No.of Units]])*18%</f>
        <v>85138.02</v>
      </c>
      <c r="T610" s="22" t="s">
        <v>1507</v>
      </c>
    </row>
    <row r="611" spans="2:20" x14ac:dyDescent="0.3">
      <c r="B611" s="5" t="s">
        <v>595</v>
      </c>
      <c r="C611" s="1">
        <v>6566928</v>
      </c>
      <c r="D611" s="1">
        <v>24</v>
      </c>
      <c r="E611" s="1" t="s">
        <v>12</v>
      </c>
      <c r="F611" s="16">
        <v>45805</v>
      </c>
      <c r="G611" s="1" t="s">
        <v>1470</v>
      </c>
      <c r="H611" s="1" t="s">
        <v>1471</v>
      </c>
      <c r="I611" s="17" t="s">
        <v>1502</v>
      </c>
      <c r="J611" s="18" t="s">
        <v>13</v>
      </c>
      <c r="K611" s="19" t="s">
        <v>14</v>
      </c>
      <c r="L611" s="19" t="s">
        <v>29</v>
      </c>
      <c r="M611" s="20">
        <v>4</v>
      </c>
      <c r="N611" s="21">
        <v>99999</v>
      </c>
      <c r="O611" s="22">
        <v>10</v>
      </c>
      <c r="P611" s="23">
        <v>359996.4</v>
      </c>
      <c r="Q611" s="22">
        <v>4.7</v>
      </c>
      <c r="R611" s="22">
        <v>20</v>
      </c>
      <c r="S611" s="23">
        <f>(Table13[[#This Row],[Unit Price]]*Table13[[#This Row],[No.of Units]])*18%</f>
        <v>71999.28</v>
      </c>
      <c r="T611" s="22" t="s">
        <v>1508</v>
      </c>
    </row>
    <row r="612" spans="2:20" x14ac:dyDescent="0.3">
      <c r="B612" s="5" t="s">
        <v>596</v>
      </c>
      <c r="C612" s="1">
        <v>5987847</v>
      </c>
      <c r="D612" s="1">
        <v>20</v>
      </c>
      <c r="E612" s="1" t="s">
        <v>12</v>
      </c>
      <c r="F612" s="16">
        <v>45805</v>
      </c>
      <c r="G612" s="1" t="s">
        <v>1470</v>
      </c>
      <c r="H612" s="1" t="s">
        <v>1471</v>
      </c>
      <c r="I612" s="17" t="s">
        <v>1503</v>
      </c>
      <c r="J612" s="18" t="s">
        <v>17</v>
      </c>
      <c r="K612" s="19" t="s">
        <v>18</v>
      </c>
      <c r="L612" s="19" t="s">
        <v>29</v>
      </c>
      <c r="M612" s="20">
        <v>56</v>
      </c>
      <c r="N612" s="21">
        <v>4999</v>
      </c>
      <c r="O612" s="22">
        <v>18</v>
      </c>
      <c r="P612" s="23">
        <v>229554.08000000002</v>
      </c>
      <c r="Q612" s="22">
        <v>4.4000000000000004</v>
      </c>
      <c r="R612" s="22">
        <v>20</v>
      </c>
      <c r="S612" s="23">
        <f>(Table13[[#This Row],[Unit Price]]*Table13[[#This Row],[No.of Units]])*18%</f>
        <v>50389.919999999998</v>
      </c>
      <c r="T612" s="22" t="s">
        <v>1507</v>
      </c>
    </row>
    <row r="613" spans="2:20" x14ac:dyDescent="0.3">
      <c r="B613" s="5" t="s">
        <v>597</v>
      </c>
      <c r="C613" s="1">
        <v>5787687</v>
      </c>
      <c r="D613" s="1">
        <v>43</v>
      </c>
      <c r="E613" s="1" t="s">
        <v>12</v>
      </c>
      <c r="F613" s="16">
        <v>45805</v>
      </c>
      <c r="G613" s="1" t="s">
        <v>1470</v>
      </c>
      <c r="H613" s="1" t="s">
        <v>1471</v>
      </c>
      <c r="I613" s="17" t="s">
        <v>1504</v>
      </c>
      <c r="J613" s="18" t="s">
        <v>21</v>
      </c>
      <c r="K613" s="19" t="s">
        <v>18</v>
      </c>
      <c r="L613" s="19" t="s">
        <v>29</v>
      </c>
      <c r="M613" s="20">
        <v>5</v>
      </c>
      <c r="N613" s="21">
        <v>24900</v>
      </c>
      <c r="O613" s="22">
        <v>5</v>
      </c>
      <c r="P613" s="23">
        <v>118275</v>
      </c>
      <c r="Q613" s="22">
        <v>4.8</v>
      </c>
      <c r="R613" s="22">
        <v>20</v>
      </c>
      <c r="S613" s="23">
        <f>(Table13[[#This Row],[Unit Price]]*Table13[[#This Row],[No.of Units]])*18%</f>
        <v>22410</v>
      </c>
      <c r="T613" s="22" t="s">
        <v>1508</v>
      </c>
    </row>
    <row r="614" spans="2:20" x14ac:dyDescent="0.3">
      <c r="B614" s="5" t="s">
        <v>598</v>
      </c>
      <c r="C614" s="1">
        <v>9893613</v>
      </c>
      <c r="D614" s="1">
        <v>22</v>
      </c>
      <c r="E614" s="1" t="s">
        <v>12</v>
      </c>
      <c r="F614" s="16">
        <v>45805</v>
      </c>
      <c r="G614" s="1" t="s">
        <v>1475</v>
      </c>
      <c r="H614" s="1" t="s">
        <v>1471</v>
      </c>
      <c r="I614" s="17" t="s">
        <v>1505</v>
      </c>
      <c r="J614" s="18" t="s">
        <v>23</v>
      </c>
      <c r="K614" s="19" t="s">
        <v>14</v>
      </c>
      <c r="L614" s="19" t="s">
        <v>29</v>
      </c>
      <c r="M614" s="20">
        <v>5</v>
      </c>
      <c r="N614" s="21">
        <v>84999</v>
      </c>
      <c r="O614" s="22">
        <v>12</v>
      </c>
      <c r="P614" s="23">
        <v>373995.6</v>
      </c>
      <c r="Q614" s="22">
        <v>4.5</v>
      </c>
      <c r="R614" s="22">
        <v>20</v>
      </c>
      <c r="S614" s="23">
        <f>(Table13[[#This Row],[Unit Price]]*Table13[[#This Row],[No.of Units]])*18%</f>
        <v>76499.099999999991</v>
      </c>
      <c r="T614" s="22" t="s">
        <v>1508</v>
      </c>
    </row>
    <row r="615" spans="2:20" x14ac:dyDescent="0.3">
      <c r="B615" s="5" t="s">
        <v>599</v>
      </c>
      <c r="C615" s="1">
        <v>7723881</v>
      </c>
      <c r="D615" s="1">
        <v>57</v>
      </c>
      <c r="E615" s="1" t="s">
        <v>20</v>
      </c>
      <c r="F615" s="16">
        <v>45805</v>
      </c>
      <c r="G615" s="1" t="s">
        <v>1470</v>
      </c>
      <c r="H615" s="1" t="s">
        <v>1482</v>
      </c>
      <c r="I615" s="17" t="s">
        <v>1504</v>
      </c>
      <c r="J615" s="18" t="s">
        <v>25</v>
      </c>
      <c r="K615" s="19" t="s">
        <v>26</v>
      </c>
      <c r="L615" s="19" t="s">
        <v>29</v>
      </c>
      <c r="M615" s="20">
        <v>6</v>
      </c>
      <c r="N615" s="21">
        <v>69999</v>
      </c>
      <c r="O615" s="22">
        <v>8</v>
      </c>
      <c r="P615" s="23">
        <v>386394.48</v>
      </c>
      <c r="Q615" s="22">
        <v>4.8</v>
      </c>
      <c r="R615" s="22">
        <v>20</v>
      </c>
      <c r="S615" s="23">
        <f>(Table13[[#This Row],[Unit Price]]*Table13[[#This Row],[No.of Units]])*18%</f>
        <v>75598.92</v>
      </c>
      <c r="T615" s="22" t="s">
        <v>1508</v>
      </c>
    </row>
    <row r="616" spans="2:20" x14ac:dyDescent="0.3">
      <c r="B616" s="5" t="s">
        <v>600</v>
      </c>
      <c r="C616" s="1">
        <v>9821652</v>
      </c>
      <c r="D616" s="1">
        <v>42</v>
      </c>
      <c r="E616" s="1" t="s">
        <v>12</v>
      </c>
      <c r="F616" s="16">
        <v>45805</v>
      </c>
      <c r="G616" s="1" t="s">
        <v>1470</v>
      </c>
      <c r="H616" s="1" t="s">
        <v>1471</v>
      </c>
      <c r="I616" s="17" t="s">
        <v>1503</v>
      </c>
      <c r="J616" s="18" t="s">
        <v>28</v>
      </c>
      <c r="K616" s="19" t="s">
        <v>26</v>
      </c>
      <c r="L616" s="19" t="s">
        <v>29</v>
      </c>
      <c r="M616" s="20">
        <v>11</v>
      </c>
      <c r="N616" s="21">
        <v>42999</v>
      </c>
      <c r="O616" s="22">
        <v>15</v>
      </c>
      <c r="P616" s="23">
        <v>402040.65</v>
      </c>
      <c r="Q616" s="22">
        <v>4.5999999999999996</v>
      </c>
      <c r="R616" s="22">
        <v>20</v>
      </c>
      <c r="S616" s="23">
        <f>(Table13[[#This Row],[Unit Price]]*Table13[[#This Row],[No.of Units]])*18%</f>
        <v>85138.02</v>
      </c>
      <c r="T616" s="22" t="s">
        <v>1508</v>
      </c>
    </row>
    <row r="617" spans="2:20" x14ac:dyDescent="0.3">
      <c r="B617" s="5" t="s">
        <v>601</v>
      </c>
      <c r="C617" s="1">
        <v>4875861</v>
      </c>
      <c r="D617" s="1">
        <v>62</v>
      </c>
      <c r="E617" s="1" t="s">
        <v>20</v>
      </c>
      <c r="F617" s="16">
        <v>45805</v>
      </c>
      <c r="G617" s="1" t="s">
        <v>1470</v>
      </c>
      <c r="H617" s="1" t="s">
        <v>1471</v>
      </c>
      <c r="I617" s="17" t="s">
        <v>1502</v>
      </c>
      <c r="J617" s="18" t="s">
        <v>13</v>
      </c>
      <c r="K617" s="19" t="s">
        <v>14</v>
      </c>
      <c r="L617" s="19" t="s">
        <v>35</v>
      </c>
      <c r="M617" s="20">
        <v>6</v>
      </c>
      <c r="N617" s="21">
        <v>99999</v>
      </c>
      <c r="O617" s="22">
        <v>10</v>
      </c>
      <c r="P617" s="23">
        <v>539994.6</v>
      </c>
      <c r="Q617" s="22">
        <v>4.7</v>
      </c>
      <c r="R617" s="22">
        <v>20</v>
      </c>
      <c r="S617" s="23">
        <f>(Table13[[#This Row],[Unit Price]]*Table13[[#This Row],[No.of Units]])*18%</f>
        <v>107998.92</v>
      </c>
      <c r="T617" s="22" t="s">
        <v>1508</v>
      </c>
    </row>
    <row r="618" spans="2:20" x14ac:dyDescent="0.3">
      <c r="B618" s="5" t="s">
        <v>602</v>
      </c>
      <c r="C618" s="1">
        <v>6059740</v>
      </c>
      <c r="D618" s="1">
        <v>26</v>
      </c>
      <c r="E618" s="1" t="s">
        <v>12</v>
      </c>
      <c r="F618" s="16">
        <v>45805</v>
      </c>
      <c r="G618" s="1" t="s">
        <v>1470</v>
      </c>
      <c r="H618" s="1" t="s">
        <v>1480</v>
      </c>
      <c r="I618" s="17" t="s">
        <v>1503</v>
      </c>
      <c r="J618" s="18" t="s">
        <v>17</v>
      </c>
      <c r="K618" s="19" t="s">
        <v>18</v>
      </c>
      <c r="L618" s="19" t="s">
        <v>35</v>
      </c>
      <c r="M618" s="20">
        <v>43</v>
      </c>
      <c r="N618" s="21">
        <v>4999</v>
      </c>
      <c r="O618" s="22">
        <v>18</v>
      </c>
      <c r="P618" s="23">
        <v>176264.74</v>
      </c>
      <c r="Q618" s="22">
        <v>4.4000000000000004</v>
      </c>
      <c r="R618" s="22">
        <v>20</v>
      </c>
      <c r="S618" s="23">
        <f>(Table13[[#This Row],[Unit Price]]*Table13[[#This Row],[No.of Units]])*18%</f>
        <v>38692.26</v>
      </c>
      <c r="T618" s="22" t="s">
        <v>1507</v>
      </c>
    </row>
    <row r="619" spans="2:20" x14ac:dyDescent="0.3">
      <c r="B619" s="5" t="s">
        <v>603</v>
      </c>
      <c r="C619" s="1">
        <v>6970756</v>
      </c>
      <c r="D619" s="1">
        <v>76</v>
      </c>
      <c r="E619" s="1" t="s">
        <v>20</v>
      </c>
      <c r="F619" s="16">
        <v>45805</v>
      </c>
      <c r="G619" s="1" t="s">
        <v>1470</v>
      </c>
      <c r="H619" s="1" t="s">
        <v>1471</v>
      </c>
      <c r="I619" s="17" t="s">
        <v>1504</v>
      </c>
      <c r="J619" s="18" t="s">
        <v>21</v>
      </c>
      <c r="K619" s="19" t="s">
        <v>18</v>
      </c>
      <c r="L619" s="19" t="s">
        <v>35</v>
      </c>
      <c r="M619" s="20">
        <v>7</v>
      </c>
      <c r="N619" s="21">
        <v>24900</v>
      </c>
      <c r="O619" s="22">
        <v>5</v>
      </c>
      <c r="P619" s="23">
        <v>165585</v>
      </c>
      <c r="Q619" s="22">
        <v>4.8</v>
      </c>
      <c r="R619" s="22">
        <v>20</v>
      </c>
      <c r="S619" s="23">
        <f>(Table13[[#This Row],[Unit Price]]*Table13[[#This Row],[No.of Units]])*18%</f>
        <v>31374</v>
      </c>
      <c r="T619" s="22" t="s">
        <v>1507</v>
      </c>
    </row>
    <row r="620" spans="2:20" x14ac:dyDescent="0.3">
      <c r="B620" s="5" t="s">
        <v>604</v>
      </c>
      <c r="C620" s="1">
        <v>6287760</v>
      </c>
      <c r="D620" s="1">
        <v>25</v>
      </c>
      <c r="E620" s="1" t="s">
        <v>12</v>
      </c>
      <c r="F620" s="16">
        <v>45805</v>
      </c>
      <c r="G620" s="1" t="s">
        <v>1470</v>
      </c>
      <c r="H620" s="1" t="s">
        <v>1471</v>
      </c>
      <c r="I620" s="17" t="s">
        <v>1505</v>
      </c>
      <c r="J620" s="18" t="s">
        <v>23</v>
      </c>
      <c r="K620" s="19" t="s">
        <v>14</v>
      </c>
      <c r="L620" s="19" t="s">
        <v>35</v>
      </c>
      <c r="M620" s="20">
        <v>5</v>
      </c>
      <c r="N620" s="21">
        <v>84999</v>
      </c>
      <c r="O620" s="22">
        <v>12</v>
      </c>
      <c r="P620" s="23">
        <v>373995.6</v>
      </c>
      <c r="Q620" s="22">
        <v>4.5</v>
      </c>
      <c r="R620" s="22">
        <v>20</v>
      </c>
      <c r="S620" s="23">
        <f>(Table13[[#This Row],[Unit Price]]*Table13[[#This Row],[No.of Units]])*18%</f>
        <v>76499.099999999991</v>
      </c>
      <c r="T620" s="22" t="s">
        <v>1508</v>
      </c>
    </row>
    <row r="621" spans="2:20" x14ac:dyDescent="0.3">
      <c r="B621" s="5" t="s">
        <v>605</v>
      </c>
      <c r="C621" s="1">
        <v>3375305</v>
      </c>
      <c r="D621" s="1">
        <v>33</v>
      </c>
      <c r="E621" s="1" t="s">
        <v>12</v>
      </c>
      <c r="F621" s="16">
        <v>45805</v>
      </c>
      <c r="G621" s="1" t="s">
        <v>1470</v>
      </c>
      <c r="H621" s="1" t="s">
        <v>1482</v>
      </c>
      <c r="I621" s="17" t="s">
        <v>1504</v>
      </c>
      <c r="J621" s="18" t="s">
        <v>25</v>
      </c>
      <c r="K621" s="19" t="s">
        <v>26</v>
      </c>
      <c r="L621" s="19" t="s">
        <v>35</v>
      </c>
      <c r="M621" s="20">
        <v>4</v>
      </c>
      <c r="N621" s="21">
        <v>69999</v>
      </c>
      <c r="O621" s="22">
        <v>8</v>
      </c>
      <c r="P621" s="23">
        <v>257596.32</v>
      </c>
      <c r="Q621" s="22">
        <v>4.8</v>
      </c>
      <c r="R621" s="22">
        <v>20</v>
      </c>
      <c r="S621" s="23">
        <f>(Table13[[#This Row],[Unit Price]]*Table13[[#This Row],[No.of Units]])*18%</f>
        <v>50399.28</v>
      </c>
      <c r="T621" s="22" t="s">
        <v>1508</v>
      </c>
    </row>
    <row r="622" spans="2:20" x14ac:dyDescent="0.3">
      <c r="B622" s="5" t="s">
        <v>606</v>
      </c>
      <c r="C622" s="1">
        <v>9068476</v>
      </c>
      <c r="D622" s="1">
        <v>46</v>
      </c>
      <c r="E622" s="1" t="s">
        <v>12</v>
      </c>
      <c r="F622" s="16">
        <v>45805</v>
      </c>
      <c r="G622" s="1" t="s">
        <v>1474</v>
      </c>
      <c r="H622" s="1" t="s">
        <v>1471</v>
      </c>
      <c r="I622" s="17" t="s">
        <v>1503</v>
      </c>
      <c r="J622" s="18" t="s">
        <v>28</v>
      </c>
      <c r="K622" s="19" t="s">
        <v>26</v>
      </c>
      <c r="L622" s="19" t="s">
        <v>35</v>
      </c>
      <c r="M622" s="20">
        <v>10</v>
      </c>
      <c r="N622" s="21">
        <v>42999</v>
      </c>
      <c r="O622" s="22">
        <v>15</v>
      </c>
      <c r="P622" s="23">
        <v>365491.5</v>
      </c>
      <c r="Q622" s="22">
        <v>4.5999999999999996</v>
      </c>
      <c r="R622" s="22">
        <v>20</v>
      </c>
      <c r="S622" s="23">
        <f>(Table13[[#This Row],[Unit Price]]*Table13[[#This Row],[No.of Units]])*18%</f>
        <v>77398.2</v>
      </c>
      <c r="T622" s="22" t="s">
        <v>1508</v>
      </c>
    </row>
    <row r="623" spans="2:20" x14ac:dyDescent="0.3">
      <c r="B623" s="5" t="s">
        <v>606</v>
      </c>
      <c r="C623" s="1">
        <v>9068476</v>
      </c>
      <c r="D623" s="1">
        <v>35</v>
      </c>
      <c r="E623" s="1" t="s">
        <v>12</v>
      </c>
      <c r="F623" s="16">
        <v>45805</v>
      </c>
      <c r="G623" s="1" t="s">
        <v>1470</v>
      </c>
      <c r="H623" s="1" t="s">
        <v>1483</v>
      </c>
      <c r="I623" s="17" t="s">
        <v>1502</v>
      </c>
      <c r="J623" s="18" t="s">
        <v>13</v>
      </c>
      <c r="K623" s="19" t="s">
        <v>14</v>
      </c>
      <c r="L623" s="19" t="s">
        <v>42</v>
      </c>
      <c r="M623" s="20">
        <v>3</v>
      </c>
      <c r="N623" s="21">
        <v>99999</v>
      </c>
      <c r="O623" s="22">
        <v>10</v>
      </c>
      <c r="P623" s="23">
        <v>269997.3</v>
      </c>
      <c r="Q623" s="22">
        <v>4.7</v>
      </c>
      <c r="R623" s="22">
        <v>20</v>
      </c>
      <c r="S623" s="23">
        <f>(Table13[[#This Row],[Unit Price]]*Table13[[#This Row],[No.of Units]])*18%</f>
        <v>53999.46</v>
      </c>
      <c r="T623" s="22" t="s">
        <v>1507</v>
      </c>
    </row>
    <row r="624" spans="2:20" x14ac:dyDescent="0.3">
      <c r="B624" s="5" t="s">
        <v>607</v>
      </c>
      <c r="C624" s="1">
        <v>8909433</v>
      </c>
      <c r="D624" s="1">
        <v>27</v>
      </c>
      <c r="E624" s="1" t="s">
        <v>12</v>
      </c>
      <c r="F624" s="16">
        <v>45805</v>
      </c>
      <c r="G624" s="1" t="s">
        <v>1470</v>
      </c>
      <c r="H624" s="1" t="s">
        <v>1471</v>
      </c>
      <c r="I624" s="17" t="s">
        <v>1503</v>
      </c>
      <c r="J624" s="18" t="s">
        <v>17</v>
      </c>
      <c r="K624" s="19" t="s">
        <v>18</v>
      </c>
      <c r="L624" s="19" t="s">
        <v>42</v>
      </c>
      <c r="M624" s="20">
        <v>53</v>
      </c>
      <c r="N624" s="21">
        <v>4999</v>
      </c>
      <c r="O624" s="22">
        <v>18</v>
      </c>
      <c r="P624" s="23">
        <v>217256.54</v>
      </c>
      <c r="Q624" s="22">
        <v>4.4000000000000004</v>
      </c>
      <c r="R624" s="22">
        <v>20</v>
      </c>
      <c r="S624" s="23">
        <f>(Table13[[#This Row],[Unit Price]]*Table13[[#This Row],[No.of Units]])*18%</f>
        <v>47690.46</v>
      </c>
      <c r="T624" s="22" t="s">
        <v>1508</v>
      </c>
    </row>
    <row r="625" spans="2:20" x14ac:dyDescent="0.3">
      <c r="B625" s="5" t="s">
        <v>608</v>
      </c>
      <c r="C625" s="1">
        <v>3129936</v>
      </c>
      <c r="D625" s="1">
        <v>36</v>
      </c>
      <c r="E625" s="1" t="s">
        <v>12</v>
      </c>
      <c r="F625" s="16">
        <v>45805</v>
      </c>
      <c r="G625" s="1" t="s">
        <v>1470</v>
      </c>
      <c r="H625" s="1" t="s">
        <v>1482</v>
      </c>
      <c r="I625" s="17" t="s">
        <v>1504</v>
      </c>
      <c r="J625" s="18" t="s">
        <v>21</v>
      </c>
      <c r="K625" s="19" t="s">
        <v>18</v>
      </c>
      <c r="L625" s="19" t="s">
        <v>42</v>
      </c>
      <c r="M625" s="20">
        <v>6</v>
      </c>
      <c r="N625" s="21">
        <v>24900</v>
      </c>
      <c r="O625" s="22">
        <v>5</v>
      </c>
      <c r="P625" s="23">
        <v>141930</v>
      </c>
      <c r="Q625" s="22">
        <v>4.8</v>
      </c>
      <c r="R625" s="22">
        <v>20</v>
      </c>
      <c r="S625" s="23">
        <f>(Table13[[#This Row],[Unit Price]]*Table13[[#This Row],[No.of Units]])*18%</f>
        <v>26892</v>
      </c>
      <c r="T625" s="22" t="s">
        <v>1508</v>
      </c>
    </row>
    <row r="626" spans="2:20" x14ac:dyDescent="0.3">
      <c r="B626" s="5" t="s">
        <v>609</v>
      </c>
      <c r="C626" s="1">
        <v>6638259</v>
      </c>
      <c r="D626" s="1">
        <v>49</v>
      </c>
      <c r="E626" s="1" t="s">
        <v>12</v>
      </c>
      <c r="F626" s="16">
        <v>45805</v>
      </c>
      <c r="G626" s="1" t="s">
        <v>1470</v>
      </c>
      <c r="H626" s="1" t="s">
        <v>1472</v>
      </c>
      <c r="I626" s="17" t="s">
        <v>1505</v>
      </c>
      <c r="J626" s="18" t="s">
        <v>23</v>
      </c>
      <c r="K626" s="19" t="s">
        <v>14</v>
      </c>
      <c r="L626" s="19" t="s">
        <v>42</v>
      </c>
      <c r="M626" s="20">
        <v>6</v>
      </c>
      <c r="N626" s="21">
        <v>84999</v>
      </c>
      <c r="O626" s="22">
        <v>12</v>
      </c>
      <c r="P626" s="23">
        <v>448794.72</v>
      </c>
      <c r="Q626" s="22">
        <v>4.5</v>
      </c>
      <c r="R626" s="22">
        <v>20</v>
      </c>
      <c r="S626" s="23">
        <f>(Table13[[#This Row],[Unit Price]]*Table13[[#This Row],[No.of Units]])*18%</f>
        <v>91798.92</v>
      </c>
      <c r="T626" s="22" t="s">
        <v>1508</v>
      </c>
    </row>
    <row r="627" spans="2:20" x14ac:dyDescent="0.3">
      <c r="B627" s="5" t="s">
        <v>610</v>
      </c>
      <c r="C627" s="1">
        <v>7157837</v>
      </c>
      <c r="D627" s="1">
        <v>32</v>
      </c>
      <c r="E627" s="1" t="s">
        <v>12</v>
      </c>
      <c r="F627" s="16">
        <v>45805</v>
      </c>
      <c r="G627" s="1" t="s">
        <v>1470</v>
      </c>
      <c r="H627" s="1" t="s">
        <v>1471</v>
      </c>
      <c r="I627" s="17" t="s">
        <v>1504</v>
      </c>
      <c r="J627" s="18" t="s">
        <v>25</v>
      </c>
      <c r="K627" s="19" t="s">
        <v>26</v>
      </c>
      <c r="L627" s="19" t="s">
        <v>42</v>
      </c>
      <c r="M627" s="20">
        <v>4</v>
      </c>
      <c r="N627" s="21">
        <v>69999</v>
      </c>
      <c r="O627" s="22">
        <v>8</v>
      </c>
      <c r="P627" s="23">
        <v>257596.32</v>
      </c>
      <c r="Q627" s="22">
        <v>4.8</v>
      </c>
      <c r="R627" s="22">
        <v>20</v>
      </c>
      <c r="S627" s="23">
        <f>(Table13[[#This Row],[Unit Price]]*Table13[[#This Row],[No.of Units]])*18%</f>
        <v>50399.28</v>
      </c>
      <c r="T627" s="22" t="s">
        <v>1508</v>
      </c>
    </row>
    <row r="628" spans="2:20" x14ac:dyDescent="0.3">
      <c r="B628" s="5" t="s">
        <v>611</v>
      </c>
      <c r="C628" s="1">
        <v>2631519</v>
      </c>
      <c r="D628" s="1">
        <v>22</v>
      </c>
      <c r="E628" s="1" t="s">
        <v>12</v>
      </c>
      <c r="F628" s="16">
        <v>45805</v>
      </c>
      <c r="G628" s="1" t="s">
        <v>1470</v>
      </c>
      <c r="H628" s="1" t="s">
        <v>1471</v>
      </c>
      <c r="I628" s="17" t="s">
        <v>1503</v>
      </c>
      <c r="J628" s="18" t="s">
        <v>28</v>
      </c>
      <c r="K628" s="19" t="s">
        <v>26</v>
      </c>
      <c r="L628" s="19" t="s">
        <v>42</v>
      </c>
      <c r="M628" s="20">
        <v>8</v>
      </c>
      <c r="N628" s="21">
        <v>42999</v>
      </c>
      <c r="O628" s="22">
        <v>15</v>
      </c>
      <c r="P628" s="23">
        <v>292393.2</v>
      </c>
      <c r="Q628" s="22">
        <v>4.5999999999999996</v>
      </c>
      <c r="R628" s="22">
        <v>20</v>
      </c>
      <c r="S628" s="23">
        <f>(Table13[[#This Row],[Unit Price]]*Table13[[#This Row],[No.of Units]])*18%</f>
        <v>61918.559999999998</v>
      </c>
      <c r="T628" s="22" t="s">
        <v>1507</v>
      </c>
    </row>
    <row r="629" spans="2:20" x14ac:dyDescent="0.3">
      <c r="B629" s="5" t="s">
        <v>611</v>
      </c>
      <c r="C629" s="1">
        <v>2631519</v>
      </c>
      <c r="D629" s="1">
        <v>48</v>
      </c>
      <c r="E629" s="1" t="s">
        <v>12</v>
      </c>
      <c r="F629" s="16">
        <v>45805</v>
      </c>
      <c r="G629" s="1" t="s">
        <v>1470</v>
      </c>
      <c r="H629" s="1" t="s">
        <v>1472</v>
      </c>
      <c r="I629" s="17" t="s">
        <v>1502</v>
      </c>
      <c r="J629" s="18" t="s">
        <v>13</v>
      </c>
      <c r="K629" s="19" t="s">
        <v>14</v>
      </c>
      <c r="L629" s="19" t="s">
        <v>49</v>
      </c>
      <c r="M629" s="20">
        <v>6</v>
      </c>
      <c r="N629" s="21">
        <v>99999</v>
      </c>
      <c r="O629" s="22">
        <v>10</v>
      </c>
      <c r="P629" s="23">
        <v>539994.6</v>
      </c>
      <c r="Q629" s="22">
        <v>4.7</v>
      </c>
      <c r="R629" s="22">
        <v>20</v>
      </c>
      <c r="S629" s="23">
        <f>(Table13[[#This Row],[Unit Price]]*Table13[[#This Row],[No.of Units]])*18%</f>
        <v>107998.92</v>
      </c>
      <c r="T629" s="22" t="s">
        <v>1508</v>
      </c>
    </row>
    <row r="630" spans="2:20" x14ac:dyDescent="0.3">
      <c r="B630" s="5" t="s">
        <v>612</v>
      </c>
      <c r="C630" s="1">
        <v>271961</v>
      </c>
      <c r="D630" s="1">
        <v>39</v>
      </c>
      <c r="E630" s="1" t="s">
        <v>12</v>
      </c>
      <c r="F630" s="16">
        <v>45805</v>
      </c>
      <c r="G630" s="1" t="s">
        <v>1470</v>
      </c>
      <c r="H630" s="1" t="s">
        <v>1471</v>
      </c>
      <c r="I630" s="17" t="s">
        <v>1503</v>
      </c>
      <c r="J630" s="18" t="s">
        <v>17</v>
      </c>
      <c r="K630" s="19" t="s">
        <v>18</v>
      </c>
      <c r="L630" s="19" t="s">
        <v>49</v>
      </c>
      <c r="M630" s="20">
        <v>48</v>
      </c>
      <c r="N630" s="21">
        <v>4999</v>
      </c>
      <c r="O630" s="22">
        <v>18</v>
      </c>
      <c r="P630" s="23">
        <v>196760.64</v>
      </c>
      <c r="Q630" s="22">
        <v>4.4000000000000004</v>
      </c>
      <c r="R630" s="22">
        <v>20</v>
      </c>
      <c r="S630" s="23">
        <f>(Table13[[#This Row],[Unit Price]]*Table13[[#This Row],[No.of Units]])*18%</f>
        <v>43191.360000000001</v>
      </c>
      <c r="T630" s="22" t="s">
        <v>1507</v>
      </c>
    </row>
    <row r="631" spans="2:20" x14ac:dyDescent="0.3">
      <c r="B631" s="5" t="s">
        <v>612</v>
      </c>
      <c r="C631" s="1">
        <v>271961</v>
      </c>
      <c r="D631" s="1">
        <v>42</v>
      </c>
      <c r="E631" s="1" t="s">
        <v>12</v>
      </c>
      <c r="F631" s="16">
        <v>45805</v>
      </c>
      <c r="G631" s="1" t="s">
        <v>1470</v>
      </c>
      <c r="H631" s="1" t="s">
        <v>1482</v>
      </c>
      <c r="I631" s="17" t="s">
        <v>1504</v>
      </c>
      <c r="J631" s="18" t="s">
        <v>21</v>
      </c>
      <c r="K631" s="19" t="s">
        <v>18</v>
      </c>
      <c r="L631" s="19" t="s">
        <v>49</v>
      </c>
      <c r="M631" s="20">
        <v>11</v>
      </c>
      <c r="N631" s="21">
        <v>24900</v>
      </c>
      <c r="O631" s="22">
        <v>5</v>
      </c>
      <c r="P631" s="23">
        <v>260205</v>
      </c>
      <c r="Q631" s="22">
        <v>4.8</v>
      </c>
      <c r="R631" s="22">
        <v>20</v>
      </c>
      <c r="S631" s="23">
        <f>(Table13[[#This Row],[Unit Price]]*Table13[[#This Row],[No.of Units]])*18%</f>
        <v>49302</v>
      </c>
      <c r="T631" s="22" t="s">
        <v>1507</v>
      </c>
    </row>
    <row r="632" spans="2:20" x14ac:dyDescent="0.3">
      <c r="B632" s="5" t="s">
        <v>613</v>
      </c>
      <c r="C632" s="1">
        <v>2733877</v>
      </c>
      <c r="D632" s="1">
        <v>23</v>
      </c>
      <c r="E632" s="1" t="s">
        <v>12</v>
      </c>
      <c r="F632" s="16">
        <v>45805</v>
      </c>
      <c r="G632" s="1" t="s">
        <v>1474</v>
      </c>
      <c r="H632" s="1" t="s">
        <v>1483</v>
      </c>
      <c r="I632" s="17" t="s">
        <v>1505</v>
      </c>
      <c r="J632" s="18" t="s">
        <v>23</v>
      </c>
      <c r="K632" s="19" t="s">
        <v>14</v>
      </c>
      <c r="L632" s="19" t="s">
        <v>49</v>
      </c>
      <c r="M632" s="20">
        <v>4</v>
      </c>
      <c r="N632" s="21">
        <v>84999</v>
      </c>
      <c r="O632" s="22">
        <v>12</v>
      </c>
      <c r="P632" s="23">
        <v>299196.48</v>
      </c>
      <c r="Q632" s="22">
        <v>4.5</v>
      </c>
      <c r="R632" s="22">
        <v>20</v>
      </c>
      <c r="S632" s="23">
        <f>(Table13[[#This Row],[Unit Price]]*Table13[[#This Row],[No.of Units]])*18%</f>
        <v>61199.28</v>
      </c>
      <c r="T632" s="22" t="s">
        <v>1507</v>
      </c>
    </row>
    <row r="633" spans="2:20" x14ac:dyDescent="0.3">
      <c r="B633" s="5" t="s">
        <v>614</v>
      </c>
      <c r="C633" s="1">
        <v>732793</v>
      </c>
      <c r="D633" s="1">
        <v>28</v>
      </c>
      <c r="E633" s="1" t="s">
        <v>12</v>
      </c>
      <c r="F633" s="16">
        <v>45805</v>
      </c>
      <c r="G633" s="1" t="s">
        <v>1470</v>
      </c>
      <c r="H633" s="1" t="s">
        <v>1471</v>
      </c>
      <c r="I633" s="17" t="s">
        <v>1504</v>
      </c>
      <c r="J633" s="18" t="s">
        <v>25</v>
      </c>
      <c r="K633" s="19" t="s">
        <v>26</v>
      </c>
      <c r="L633" s="19" t="s">
        <v>49</v>
      </c>
      <c r="M633" s="20">
        <v>2</v>
      </c>
      <c r="N633" s="21">
        <v>69999</v>
      </c>
      <c r="O633" s="22">
        <v>8</v>
      </c>
      <c r="P633" s="23">
        <v>128798.16</v>
      </c>
      <c r="Q633" s="22">
        <v>4.8</v>
      </c>
      <c r="R633" s="22">
        <v>20</v>
      </c>
      <c r="S633" s="23">
        <f>(Table13[[#This Row],[Unit Price]]*Table13[[#This Row],[No.of Units]])*18%</f>
        <v>25199.64</v>
      </c>
      <c r="T633" s="22" t="s">
        <v>1508</v>
      </c>
    </row>
    <row r="634" spans="2:20" x14ac:dyDescent="0.3">
      <c r="B634" s="5" t="s">
        <v>615</v>
      </c>
      <c r="C634" s="1">
        <v>4577946</v>
      </c>
      <c r="D634" s="1">
        <v>47</v>
      </c>
      <c r="E634" s="1" t="s">
        <v>12</v>
      </c>
      <c r="F634" s="16">
        <v>45805</v>
      </c>
      <c r="G634" s="1" t="s">
        <v>1470</v>
      </c>
      <c r="H634" s="1" t="s">
        <v>1482</v>
      </c>
      <c r="I634" s="17" t="s">
        <v>1503</v>
      </c>
      <c r="J634" s="18" t="s">
        <v>28</v>
      </c>
      <c r="K634" s="19" t="s">
        <v>26</v>
      </c>
      <c r="L634" s="19" t="s">
        <v>49</v>
      </c>
      <c r="M634" s="20">
        <v>6</v>
      </c>
      <c r="N634" s="21">
        <v>42999</v>
      </c>
      <c r="O634" s="22">
        <v>15</v>
      </c>
      <c r="P634" s="23">
        <v>219294.9</v>
      </c>
      <c r="Q634" s="22">
        <v>4.5999999999999996</v>
      </c>
      <c r="R634" s="22">
        <v>20</v>
      </c>
      <c r="S634" s="23">
        <f>(Table13[[#This Row],[Unit Price]]*Table13[[#This Row],[No.of Units]])*18%</f>
        <v>46438.92</v>
      </c>
      <c r="T634" s="22" t="s">
        <v>1508</v>
      </c>
    </row>
    <row r="635" spans="2:20" x14ac:dyDescent="0.3">
      <c r="B635" s="5" t="s">
        <v>616</v>
      </c>
      <c r="C635" s="1">
        <v>9482794</v>
      </c>
      <c r="D635" s="1">
        <v>34</v>
      </c>
      <c r="E635" s="1" t="s">
        <v>12</v>
      </c>
      <c r="F635" s="16">
        <v>45812</v>
      </c>
      <c r="G635" s="1" t="s">
        <v>1470</v>
      </c>
      <c r="H635" s="1" t="s">
        <v>1471</v>
      </c>
      <c r="I635" s="17" t="s">
        <v>1502</v>
      </c>
      <c r="J635" s="18" t="s">
        <v>13</v>
      </c>
      <c r="K635" s="19" t="s">
        <v>14</v>
      </c>
      <c r="L635" s="19" t="s">
        <v>15</v>
      </c>
      <c r="M635" s="20">
        <v>3</v>
      </c>
      <c r="N635" s="21">
        <v>99999</v>
      </c>
      <c r="O635" s="22">
        <v>10</v>
      </c>
      <c r="P635" s="23">
        <v>269997.3</v>
      </c>
      <c r="Q635" s="22">
        <v>4.7</v>
      </c>
      <c r="R635" s="22">
        <v>20</v>
      </c>
      <c r="S635" s="23">
        <f>(Table13[[#This Row],[Unit Price]]*Table13[[#This Row],[No.of Units]])*18%</f>
        <v>53999.46</v>
      </c>
      <c r="T635" s="22" t="s">
        <v>1508</v>
      </c>
    </row>
    <row r="636" spans="2:20" x14ac:dyDescent="0.3">
      <c r="B636" s="5" t="s">
        <v>617</v>
      </c>
      <c r="C636" s="1">
        <v>5010143</v>
      </c>
      <c r="D636" s="1">
        <v>64</v>
      </c>
      <c r="E636" s="1" t="s">
        <v>20</v>
      </c>
      <c r="F636" s="16">
        <v>45812</v>
      </c>
      <c r="G636" s="1" t="s">
        <v>1470</v>
      </c>
      <c r="H636" s="1" t="s">
        <v>1481</v>
      </c>
      <c r="I636" s="17" t="s">
        <v>1503</v>
      </c>
      <c r="J636" s="18" t="s">
        <v>17</v>
      </c>
      <c r="K636" s="19" t="s">
        <v>18</v>
      </c>
      <c r="L636" s="19" t="s">
        <v>15</v>
      </c>
      <c r="M636" s="20">
        <v>56</v>
      </c>
      <c r="N636" s="21">
        <v>4999</v>
      </c>
      <c r="O636" s="22">
        <v>18</v>
      </c>
      <c r="P636" s="23">
        <v>229554.08000000002</v>
      </c>
      <c r="Q636" s="22">
        <v>4.4000000000000004</v>
      </c>
      <c r="R636" s="22">
        <v>20</v>
      </c>
      <c r="S636" s="23">
        <f>(Table13[[#This Row],[Unit Price]]*Table13[[#This Row],[No.of Units]])*18%</f>
        <v>50389.919999999998</v>
      </c>
      <c r="T636" s="22" t="s">
        <v>1508</v>
      </c>
    </row>
    <row r="637" spans="2:20" x14ac:dyDescent="0.3">
      <c r="B637" s="5" t="s">
        <v>618</v>
      </c>
      <c r="C637" s="1">
        <v>6353578</v>
      </c>
      <c r="D637" s="1">
        <v>25</v>
      </c>
      <c r="E637" s="1" t="s">
        <v>12</v>
      </c>
      <c r="F637" s="16">
        <v>45812</v>
      </c>
      <c r="G637" s="1" t="s">
        <v>1470</v>
      </c>
      <c r="H637" s="1" t="s">
        <v>1471</v>
      </c>
      <c r="I637" s="17" t="s">
        <v>1504</v>
      </c>
      <c r="J637" s="18" t="s">
        <v>21</v>
      </c>
      <c r="K637" s="19" t="s">
        <v>18</v>
      </c>
      <c r="L637" s="19" t="s">
        <v>15</v>
      </c>
      <c r="M637" s="20">
        <v>6</v>
      </c>
      <c r="N637" s="21">
        <v>24900</v>
      </c>
      <c r="O637" s="22">
        <v>5</v>
      </c>
      <c r="P637" s="23">
        <v>141930</v>
      </c>
      <c r="Q637" s="22">
        <v>4.8</v>
      </c>
      <c r="R637" s="22">
        <v>20</v>
      </c>
      <c r="S637" s="23">
        <f>(Table13[[#This Row],[Unit Price]]*Table13[[#This Row],[No.of Units]])*18%</f>
        <v>26892</v>
      </c>
      <c r="T637" s="22" t="s">
        <v>1508</v>
      </c>
    </row>
    <row r="638" spans="2:20" x14ac:dyDescent="0.3">
      <c r="B638" s="5" t="s">
        <v>619</v>
      </c>
      <c r="C638" s="1">
        <v>7193353</v>
      </c>
      <c r="D638" s="1">
        <v>38</v>
      </c>
      <c r="E638" s="1" t="s">
        <v>12</v>
      </c>
      <c r="F638" s="16">
        <v>45812</v>
      </c>
      <c r="G638" s="1" t="s">
        <v>1470</v>
      </c>
      <c r="H638" s="1" t="s">
        <v>1483</v>
      </c>
      <c r="I638" s="17" t="s">
        <v>1505</v>
      </c>
      <c r="J638" s="18" t="s">
        <v>23</v>
      </c>
      <c r="K638" s="19" t="s">
        <v>14</v>
      </c>
      <c r="L638" s="19" t="s">
        <v>15</v>
      </c>
      <c r="M638" s="20">
        <v>3</v>
      </c>
      <c r="N638" s="21">
        <v>84999</v>
      </c>
      <c r="O638" s="22">
        <v>12</v>
      </c>
      <c r="P638" s="23">
        <v>224397.36</v>
      </c>
      <c r="Q638" s="22">
        <v>4.5</v>
      </c>
      <c r="R638" s="22">
        <v>20</v>
      </c>
      <c r="S638" s="23">
        <f>(Table13[[#This Row],[Unit Price]]*Table13[[#This Row],[No.of Units]])*18%</f>
        <v>45899.46</v>
      </c>
      <c r="T638" s="22" t="s">
        <v>1508</v>
      </c>
    </row>
    <row r="639" spans="2:20" x14ac:dyDescent="0.3">
      <c r="B639" s="5" t="s">
        <v>620</v>
      </c>
      <c r="C639" s="1">
        <v>1369375</v>
      </c>
      <c r="D639" s="1">
        <v>33</v>
      </c>
      <c r="E639" s="1" t="s">
        <v>12</v>
      </c>
      <c r="F639" s="16">
        <v>45812</v>
      </c>
      <c r="G639" s="1" t="s">
        <v>1470</v>
      </c>
      <c r="H639" s="1" t="s">
        <v>1472</v>
      </c>
      <c r="I639" s="17" t="s">
        <v>1504</v>
      </c>
      <c r="J639" s="18" t="s">
        <v>25</v>
      </c>
      <c r="K639" s="19" t="s">
        <v>26</v>
      </c>
      <c r="L639" s="19" t="s">
        <v>15</v>
      </c>
      <c r="M639" s="20">
        <v>4</v>
      </c>
      <c r="N639" s="21">
        <v>69999</v>
      </c>
      <c r="O639" s="22">
        <v>8</v>
      </c>
      <c r="P639" s="23">
        <v>257596.32</v>
      </c>
      <c r="Q639" s="22">
        <v>4.8</v>
      </c>
      <c r="R639" s="22">
        <v>20</v>
      </c>
      <c r="S639" s="23">
        <f>(Table13[[#This Row],[Unit Price]]*Table13[[#This Row],[No.of Units]])*18%</f>
        <v>50399.28</v>
      </c>
      <c r="T639" s="22" t="s">
        <v>1508</v>
      </c>
    </row>
    <row r="640" spans="2:20" x14ac:dyDescent="0.3">
      <c r="B640" s="5" t="s">
        <v>621</v>
      </c>
      <c r="C640" s="1">
        <v>5751421</v>
      </c>
      <c r="D640" s="1">
        <v>18</v>
      </c>
      <c r="E640" s="1" t="s">
        <v>34</v>
      </c>
      <c r="F640" s="16">
        <v>45812</v>
      </c>
      <c r="G640" s="1" t="s">
        <v>1470</v>
      </c>
      <c r="H640" s="1" t="s">
        <v>1471</v>
      </c>
      <c r="I640" s="17" t="s">
        <v>1503</v>
      </c>
      <c r="J640" s="18" t="s">
        <v>28</v>
      </c>
      <c r="K640" s="19" t="s">
        <v>26</v>
      </c>
      <c r="L640" s="19" t="s">
        <v>15</v>
      </c>
      <c r="M640" s="20">
        <v>6</v>
      </c>
      <c r="N640" s="21">
        <v>42999</v>
      </c>
      <c r="O640" s="22">
        <v>15</v>
      </c>
      <c r="P640" s="23">
        <v>219294.9</v>
      </c>
      <c r="Q640" s="22">
        <v>4.5999999999999996</v>
      </c>
      <c r="R640" s="22">
        <v>20</v>
      </c>
      <c r="S640" s="23">
        <f>(Table13[[#This Row],[Unit Price]]*Table13[[#This Row],[No.of Units]])*18%</f>
        <v>46438.92</v>
      </c>
      <c r="T640" s="22" t="s">
        <v>1508</v>
      </c>
    </row>
    <row r="641" spans="2:20" x14ac:dyDescent="0.3">
      <c r="B641" s="5" t="s">
        <v>622</v>
      </c>
      <c r="C641" s="1">
        <v>2525671</v>
      </c>
      <c r="D641" s="1">
        <v>48</v>
      </c>
      <c r="E641" s="1" t="s">
        <v>12</v>
      </c>
      <c r="F641" s="16">
        <v>45812</v>
      </c>
      <c r="G641" s="1" t="s">
        <v>1470</v>
      </c>
      <c r="H641" s="1" t="s">
        <v>1472</v>
      </c>
      <c r="I641" s="17" t="s">
        <v>1502</v>
      </c>
      <c r="J641" s="18" t="s">
        <v>13</v>
      </c>
      <c r="K641" s="19" t="s">
        <v>14</v>
      </c>
      <c r="L641" s="19" t="s">
        <v>29</v>
      </c>
      <c r="M641" s="20">
        <v>6</v>
      </c>
      <c r="N641" s="21">
        <v>99999</v>
      </c>
      <c r="O641" s="22">
        <v>10</v>
      </c>
      <c r="P641" s="23">
        <v>539994.6</v>
      </c>
      <c r="Q641" s="22">
        <v>4.7</v>
      </c>
      <c r="R641" s="22">
        <v>20</v>
      </c>
      <c r="S641" s="23">
        <f>(Table13[[#This Row],[Unit Price]]*Table13[[#This Row],[No.of Units]])*18%</f>
        <v>107998.92</v>
      </c>
      <c r="T641" s="22" t="s">
        <v>1508</v>
      </c>
    </row>
    <row r="642" spans="2:20" x14ac:dyDescent="0.3">
      <c r="B642" s="5" t="s">
        <v>623</v>
      </c>
      <c r="C642" s="1">
        <v>1148969</v>
      </c>
      <c r="D642" s="1">
        <v>18</v>
      </c>
      <c r="E642" s="1" t="s">
        <v>34</v>
      </c>
      <c r="F642" s="16">
        <v>45812</v>
      </c>
      <c r="G642" s="1" t="s">
        <v>1470</v>
      </c>
      <c r="H642" s="1" t="s">
        <v>1482</v>
      </c>
      <c r="I642" s="17" t="s">
        <v>1503</v>
      </c>
      <c r="J642" s="18" t="s">
        <v>17</v>
      </c>
      <c r="K642" s="19" t="s">
        <v>18</v>
      </c>
      <c r="L642" s="19" t="s">
        <v>29</v>
      </c>
      <c r="M642" s="20">
        <v>31</v>
      </c>
      <c r="N642" s="21">
        <v>4999</v>
      </c>
      <c r="O642" s="22">
        <v>18</v>
      </c>
      <c r="P642" s="23">
        <v>127074.58</v>
      </c>
      <c r="Q642" s="22">
        <v>4.4000000000000004</v>
      </c>
      <c r="R642" s="22">
        <v>20</v>
      </c>
      <c r="S642" s="23">
        <f>(Table13[[#This Row],[Unit Price]]*Table13[[#This Row],[No.of Units]])*18%</f>
        <v>27894.42</v>
      </c>
      <c r="T642" s="22" t="s">
        <v>1508</v>
      </c>
    </row>
    <row r="643" spans="2:20" x14ac:dyDescent="0.3">
      <c r="B643" s="5" t="s">
        <v>624</v>
      </c>
      <c r="C643" s="1">
        <v>1480412</v>
      </c>
      <c r="D643" s="1">
        <v>31</v>
      </c>
      <c r="E643" s="1" t="s">
        <v>12</v>
      </c>
      <c r="F643" s="16">
        <v>45812</v>
      </c>
      <c r="G643" s="1" t="s">
        <v>1475</v>
      </c>
      <c r="H643" s="1" t="s">
        <v>1482</v>
      </c>
      <c r="I643" s="17" t="s">
        <v>1504</v>
      </c>
      <c r="J643" s="18" t="s">
        <v>21</v>
      </c>
      <c r="K643" s="19" t="s">
        <v>18</v>
      </c>
      <c r="L643" s="19" t="s">
        <v>29</v>
      </c>
      <c r="M643" s="20">
        <v>12</v>
      </c>
      <c r="N643" s="21">
        <v>24900</v>
      </c>
      <c r="O643" s="22">
        <v>5</v>
      </c>
      <c r="P643" s="23">
        <v>283860</v>
      </c>
      <c r="Q643" s="22">
        <v>4.8</v>
      </c>
      <c r="R643" s="22">
        <v>20</v>
      </c>
      <c r="S643" s="23">
        <f>(Table13[[#This Row],[Unit Price]]*Table13[[#This Row],[No.of Units]])*18%</f>
        <v>53784</v>
      </c>
      <c r="T643" s="22" t="s">
        <v>1508</v>
      </c>
    </row>
    <row r="644" spans="2:20" x14ac:dyDescent="0.3">
      <c r="B644" s="5" t="s">
        <v>625</v>
      </c>
      <c r="C644" s="1">
        <v>1581803</v>
      </c>
      <c r="D644" s="1">
        <v>28</v>
      </c>
      <c r="E644" s="1" t="s">
        <v>12</v>
      </c>
      <c r="F644" s="16">
        <v>45812</v>
      </c>
      <c r="G644" s="1" t="s">
        <v>1470</v>
      </c>
      <c r="H644" s="1" t="s">
        <v>1471</v>
      </c>
      <c r="I644" s="17" t="s">
        <v>1505</v>
      </c>
      <c r="J644" s="18" t="s">
        <v>23</v>
      </c>
      <c r="K644" s="19" t="s">
        <v>14</v>
      </c>
      <c r="L644" s="19" t="s">
        <v>29</v>
      </c>
      <c r="M644" s="20">
        <v>4</v>
      </c>
      <c r="N644" s="21">
        <v>84999</v>
      </c>
      <c r="O644" s="22">
        <v>12</v>
      </c>
      <c r="P644" s="23">
        <v>299196.48</v>
      </c>
      <c r="Q644" s="22">
        <v>4.5</v>
      </c>
      <c r="R644" s="22">
        <v>20</v>
      </c>
      <c r="S644" s="23">
        <f>(Table13[[#This Row],[Unit Price]]*Table13[[#This Row],[No.of Units]])*18%</f>
        <v>61199.28</v>
      </c>
      <c r="T644" s="22" t="s">
        <v>1507</v>
      </c>
    </row>
    <row r="645" spans="2:20" x14ac:dyDescent="0.3">
      <c r="B645" s="5" t="s">
        <v>626</v>
      </c>
      <c r="C645" s="1">
        <v>1589269</v>
      </c>
      <c r="D645" s="1">
        <v>42</v>
      </c>
      <c r="E645" s="1" t="s">
        <v>12</v>
      </c>
      <c r="F645" s="16">
        <v>45812</v>
      </c>
      <c r="G645" s="1" t="s">
        <v>1470</v>
      </c>
      <c r="H645" s="1" t="s">
        <v>1471</v>
      </c>
      <c r="I645" s="17" t="s">
        <v>1504</v>
      </c>
      <c r="J645" s="18" t="s">
        <v>25</v>
      </c>
      <c r="K645" s="19" t="s">
        <v>26</v>
      </c>
      <c r="L645" s="19" t="s">
        <v>29</v>
      </c>
      <c r="M645" s="20">
        <v>5</v>
      </c>
      <c r="N645" s="21">
        <v>69999</v>
      </c>
      <c r="O645" s="22">
        <v>8</v>
      </c>
      <c r="P645" s="23">
        <v>321995.40000000002</v>
      </c>
      <c r="Q645" s="22">
        <v>4.8</v>
      </c>
      <c r="R645" s="22">
        <v>20</v>
      </c>
      <c r="S645" s="23">
        <f>(Table13[[#This Row],[Unit Price]]*Table13[[#This Row],[No.of Units]])*18%</f>
        <v>62999.1</v>
      </c>
      <c r="T645" s="22" t="s">
        <v>1507</v>
      </c>
    </row>
    <row r="646" spans="2:20" x14ac:dyDescent="0.3">
      <c r="B646" s="5" t="s">
        <v>627</v>
      </c>
      <c r="C646" s="1">
        <v>163677</v>
      </c>
      <c r="D646" s="1">
        <v>21</v>
      </c>
      <c r="E646" s="1" t="s">
        <v>12</v>
      </c>
      <c r="F646" s="16">
        <v>45812</v>
      </c>
      <c r="G646" s="1" t="s">
        <v>1470</v>
      </c>
      <c r="H646" s="1" t="s">
        <v>1481</v>
      </c>
      <c r="I646" s="17" t="s">
        <v>1503</v>
      </c>
      <c r="J646" s="18" t="s">
        <v>28</v>
      </c>
      <c r="K646" s="19" t="s">
        <v>26</v>
      </c>
      <c r="L646" s="19" t="s">
        <v>29</v>
      </c>
      <c r="M646" s="20">
        <v>7</v>
      </c>
      <c r="N646" s="21">
        <v>42999</v>
      </c>
      <c r="O646" s="22">
        <v>15</v>
      </c>
      <c r="P646" s="23">
        <v>255844.05</v>
      </c>
      <c r="Q646" s="22">
        <v>4.5999999999999996</v>
      </c>
      <c r="R646" s="22">
        <v>20</v>
      </c>
      <c r="S646" s="23">
        <f>(Table13[[#This Row],[Unit Price]]*Table13[[#This Row],[No.of Units]])*18%</f>
        <v>54178.74</v>
      </c>
      <c r="T646" s="22" t="s">
        <v>1508</v>
      </c>
    </row>
    <row r="647" spans="2:20" x14ac:dyDescent="0.3">
      <c r="B647" s="5" t="s">
        <v>628</v>
      </c>
      <c r="C647" s="1">
        <v>5591629</v>
      </c>
      <c r="D647" s="1">
        <v>73</v>
      </c>
      <c r="E647" s="1" t="s">
        <v>20</v>
      </c>
      <c r="F647" s="16">
        <v>45812</v>
      </c>
      <c r="G647" s="1" t="s">
        <v>1470</v>
      </c>
      <c r="H647" s="1" t="s">
        <v>1472</v>
      </c>
      <c r="I647" s="17" t="s">
        <v>1502</v>
      </c>
      <c r="J647" s="18" t="s">
        <v>13</v>
      </c>
      <c r="K647" s="19" t="s">
        <v>14</v>
      </c>
      <c r="L647" s="19" t="s">
        <v>35</v>
      </c>
      <c r="M647" s="20">
        <v>4</v>
      </c>
      <c r="N647" s="21">
        <v>99999</v>
      </c>
      <c r="O647" s="22">
        <v>10</v>
      </c>
      <c r="P647" s="23">
        <v>359996.4</v>
      </c>
      <c r="Q647" s="22">
        <v>4.7</v>
      </c>
      <c r="R647" s="22">
        <v>20</v>
      </c>
      <c r="S647" s="23">
        <f>(Table13[[#This Row],[Unit Price]]*Table13[[#This Row],[No.of Units]])*18%</f>
        <v>71999.28</v>
      </c>
      <c r="T647" s="22" t="s">
        <v>1507</v>
      </c>
    </row>
    <row r="648" spans="2:20" x14ac:dyDescent="0.3">
      <c r="B648" s="5" t="s">
        <v>629</v>
      </c>
      <c r="C648" s="1">
        <v>2762496</v>
      </c>
      <c r="D648" s="1">
        <v>65</v>
      </c>
      <c r="E648" s="1" t="s">
        <v>20</v>
      </c>
      <c r="F648" s="16">
        <v>45812</v>
      </c>
      <c r="G648" s="1" t="s">
        <v>1470</v>
      </c>
      <c r="H648" s="1" t="s">
        <v>1472</v>
      </c>
      <c r="I648" s="17" t="s">
        <v>1503</v>
      </c>
      <c r="J648" s="18" t="s">
        <v>17</v>
      </c>
      <c r="K648" s="19" t="s">
        <v>18</v>
      </c>
      <c r="L648" s="19" t="s">
        <v>35</v>
      </c>
      <c r="M648" s="20">
        <v>32</v>
      </c>
      <c r="N648" s="21">
        <v>4999</v>
      </c>
      <c r="O648" s="22">
        <v>18</v>
      </c>
      <c r="P648" s="23">
        <v>131173.76000000001</v>
      </c>
      <c r="Q648" s="22">
        <v>4.4000000000000004</v>
      </c>
      <c r="R648" s="22">
        <v>20</v>
      </c>
      <c r="S648" s="23">
        <f>(Table13[[#This Row],[Unit Price]]*Table13[[#This Row],[No.of Units]])*18%</f>
        <v>28794.239999999998</v>
      </c>
      <c r="T648" s="22" t="s">
        <v>1508</v>
      </c>
    </row>
    <row r="649" spans="2:20" x14ac:dyDescent="0.3">
      <c r="B649" s="5" t="s">
        <v>630</v>
      </c>
      <c r="C649" s="1">
        <v>3613696</v>
      </c>
      <c r="D649" s="1">
        <v>74</v>
      </c>
      <c r="E649" s="1" t="s">
        <v>20</v>
      </c>
      <c r="F649" s="16">
        <v>45812</v>
      </c>
      <c r="G649" s="1" t="s">
        <v>1470</v>
      </c>
      <c r="H649" s="1" t="s">
        <v>1471</v>
      </c>
      <c r="I649" s="17" t="s">
        <v>1504</v>
      </c>
      <c r="J649" s="18" t="s">
        <v>21</v>
      </c>
      <c r="K649" s="19" t="s">
        <v>18</v>
      </c>
      <c r="L649" s="19" t="s">
        <v>35</v>
      </c>
      <c r="M649" s="20">
        <v>6</v>
      </c>
      <c r="N649" s="21">
        <v>24900</v>
      </c>
      <c r="O649" s="22">
        <v>5</v>
      </c>
      <c r="P649" s="23">
        <v>141930</v>
      </c>
      <c r="Q649" s="22">
        <v>4.8</v>
      </c>
      <c r="R649" s="22">
        <v>20</v>
      </c>
      <c r="S649" s="23">
        <f>(Table13[[#This Row],[Unit Price]]*Table13[[#This Row],[No.of Units]])*18%</f>
        <v>26892</v>
      </c>
      <c r="T649" s="22" t="s">
        <v>1508</v>
      </c>
    </row>
    <row r="650" spans="2:20" x14ac:dyDescent="0.3">
      <c r="B650" s="5" t="s">
        <v>631</v>
      </c>
      <c r="C650" s="1">
        <v>8674741</v>
      </c>
      <c r="D650" s="1">
        <v>45</v>
      </c>
      <c r="E650" s="1" t="s">
        <v>12</v>
      </c>
      <c r="F650" s="16">
        <v>45812</v>
      </c>
      <c r="G650" s="1" t="s">
        <v>1470</v>
      </c>
      <c r="H650" s="1" t="s">
        <v>1471</v>
      </c>
      <c r="I650" s="17" t="s">
        <v>1505</v>
      </c>
      <c r="J650" s="18" t="s">
        <v>23</v>
      </c>
      <c r="K650" s="19" t="s">
        <v>14</v>
      </c>
      <c r="L650" s="19" t="s">
        <v>35</v>
      </c>
      <c r="M650" s="20">
        <v>3</v>
      </c>
      <c r="N650" s="21">
        <v>84999</v>
      </c>
      <c r="O650" s="22">
        <v>12</v>
      </c>
      <c r="P650" s="23">
        <v>224397.36</v>
      </c>
      <c r="Q650" s="22">
        <v>4.5</v>
      </c>
      <c r="R650" s="22">
        <v>20</v>
      </c>
      <c r="S650" s="23">
        <f>(Table13[[#This Row],[Unit Price]]*Table13[[#This Row],[No.of Units]])*18%</f>
        <v>45899.46</v>
      </c>
      <c r="T650" s="22" t="s">
        <v>1508</v>
      </c>
    </row>
    <row r="651" spans="2:20" x14ac:dyDescent="0.3">
      <c r="B651" s="5" t="s">
        <v>631</v>
      </c>
      <c r="C651" s="1">
        <v>8674741</v>
      </c>
      <c r="D651" s="1">
        <v>34</v>
      </c>
      <c r="E651" s="1" t="s">
        <v>12</v>
      </c>
      <c r="F651" s="16">
        <v>45812</v>
      </c>
      <c r="G651" s="1" t="s">
        <v>1470</v>
      </c>
      <c r="H651" s="1" t="s">
        <v>1471</v>
      </c>
      <c r="I651" s="17" t="s">
        <v>1504</v>
      </c>
      <c r="J651" s="18" t="s">
        <v>25</v>
      </c>
      <c r="K651" s="19" t="s">
        <v>26</v>
      </c>
      <c r="L651" s="19" t="s">
        <v>35</v>
      </c>
      <c r="M651" s="20">
        <v>5</v>
      </c>
      <c r="N651" s="21">
        <v>69999</v>
      </c>
      <c r="O651" s="22">
        <v>8</v>
      </c>
      <c r="P651" s="23">
        <v>321995.40000000002</v>
      </c>
      <c r="Q651" s="22">
        <v>4.8</v>
      </c>
      <c r="R651" s="22">
        <v>20</v>
      </c>
      <c r="S651" s="23">
        <f>(Table13[[#This Row],[Unit Price]]*Table13[[#This Row],[No.of Units]])*18%</f>
        <v>62999.1</v>
      </c>
      <c r="T651" s="22" t="s">
        <v>1508</v>
      </c>
    </row>
    <row r="652" spans="2:20" x14ac:dyDescent="0.3">
      <c r="B652" s="5" t="s">
        <v>632</v>
      </c>
      <c r="C652" s="1">
        <v>3961682</v>
      </c>
      <c r="D652" s="1">
        <v>37</v>
      </c>
      <c r="E652" s="1" t="s">
        <v>12</v>
      </c>
      <c r="F652" s="16">
        <v>45812</v>
      </c>
      <c r="G652" s="1" t="s">
        <v>1470</v>
      </c>
      <c r="H652" s="1" t="s">
        <v>1472</v>
      </c>
      <c r="I652" s="17" t="s">
        <v>1503</v>
      </c>
      <c r="J652" s="18" t="s">
        <v>28</v>
      </c>
      <c r="K652" s="19" t="s">
        <v>26</v>
      </c>
      <c r="L652" s="19" t="s">
        <v>35</v>
      </c>
      <c r="M652" s="20">
        <v>11</v>
      </c>
      <c r="N652" s="21">
        <v>42999</v>
      </c>
      <c r="O652" s="22">
        <v>15</v>
      </c>
      <c r="P652" s="23">
        <v>402040.65</v>
      </c>
      <c r="Q652" s="22">
        <v>4.5999999999999996</v>
      </c>
      <c r="R652" s="22">
        <v>20</v>
      </c>
      <c r="S652" s="23">
        <f>(Table13[[#This Row],[Unit Price]]*Table13[[#This Row],[No.of Units]])*18%</f>
        <v>85138.02</v>
      </c>
      <c r="T652" s="22" t="s">
        <v>1508</v>
      </c>
    </row>
    <row r="653" spans="2:20" x14ac:dyDescent="0.3">
      <c r="B653" s="5" t="s">
        <v>632</v>
      </c>
      <c r="C653" s="1">
        <v>3961682</v>
      </c>
      <c r="D653" s="1">
        <v>32</v>
      </c>
      <c r="E653" s="1" t="s">
        <v>12</v>
      </c>
      <c r="F653" s="16">
        <v>45812</v>
      </c>
      <c r="G653" s="1" t="s">
        <v>1470</v>
      </c>
      <c r="H653" s="1" t="s">
        <v>1482</v>
      </c>
      <c r="I653" s="17" t="s">
        <v>1502</v>
      </c>
      <c r="J653" s="18" t="s">
        <v>13</v>
      </c>
      <c r="K653" s="19" t="s">
        <v>14</v>
      </c>
      <c r="L653" s="19" t="s">
        <v>42</v>
      </c>
      <c r="M653" s="20">
        <v>6</v>
      </c>
      <c r="N653" s="21">
        <v>99999</v>
      </c>
      <c r="O653" s="22">
        <v>10</v>
      </c>
      <c r="P653" s="23">
        <v>539994.6</v>
      </c>
      <c r="Q653" s="22">
        <v>4.7</v>
      </c>
      <c r="R653" s="22">
        <v>20</v>
      </c>
      <c r="S653" s="23">
        <f>(Table13[[#This Row],[Unit Price]]*Table13[[#This Row],[No.of Units]])*18%</f>
        <v>107998.92</v>
      </c>
      <c r="T653" s="22" t="s">
        <v>1507</v>
      </c>
    </row>
    <row r="654" spans="2:20" x14ac:dyDescent="0.3">
      <c r="B654" s="5" t="s">
        <v>633</v>
      </c>
      <c r="C654" s="1">
        <v>9993814</v>
      </c>
      <c r="D654" s="1">
        <v>42</v>
      </c>
      <c r="E654" s="1" t="s">
        <v>12</v>
      </c>
      <c r="F654" s="16">
        <v>45812</v>
      </c>
      <c r="G654" s="1" t="s">
        <v>1475</v>
      </c>
      <c r="H654" s="1" t="s">
        <v>1482</v>
      </c>
      <c r="I654" s="17" t="s">
        <v>1503</v>
      </c>
      <c r="J654" s="18" t="s">
        <v>17</v>
      </c>
      <c r="K654" s="19" t="s">
        <v>18</v>
      </c>
      <c r="L654" s="19" t="s">
        <v>42</v>
      </c>
      <c r="M654" s="20">
        <v>39</v>
      </c>
      <c r="N654" s="21">
        <v>4999</v>
      </c>
      <c r="O654" s="22">
        <v>18</v>
      </c>
      <c r="P654" s="23">
        <v>159868.02000000002</v>
      </c>
      <c r="Q654" s="22">
        <v>4.4000000000000004</v>
      </c>
      <c r="R654" s="22">
        <v>20</v>
      </c>
      <c r="S654" s="23">
        <f>(Table13[[#This Row],[Unit Price]]*Table13[[#This Row],[No.of Units]])*18%</f>
        <v>35092.979999999996</v>
      </c>
      <c r="T654" s="22" t="s">
        <v>1507</v>
      </c>
    </row>
    <row r="655" spans="2:20" x14ac:dyDescent="0.3">
      <c r="B655" s="5" t="s">
        <v>634</v>
      </c>
      <c r="C655" s="1">
        <v>1484966</v>
      </c>
      <c r="D655" s="1">
        <v>75</v>
      </c>
      <c r="E655" s="1" t="s">
        <v>20</v>
      </c>
      <c r="F655" s="16">
        <v>45812</v>
      </c>
      <c r="G655" s="1" t="s">
        <v>1470</v>
      </c>
      <c r="H655" s="1" t="s">
        <v>1471</v>
      </c>
      <c r="I655" s="17" t="s">
        <v>1504</v>
      </c>
      <c r="J655" s="18" t="s">
        <v>21</v>
      </c>
      <c r="K655" s="19" t="s">
        <v>18</v>
      </c>
      <c r="L655" s="19" t="s">
        <v>42</v>
      </c>
      <c r="M655" s="20">
        <v>13</v>
      </c>
      <c r="N655" s="21">
        <v>24900</v>
      </c>
      <c r="O655" s="22">
        <v>5</v>
      </c>
      <c r="P655" s="23">
        <v>307515</v>
      </c>
      <c r="Q655" s="22">
        <v>4.8</v>
      </c>
      <c r="R655" s="22">
        <v>20</v>
      </c>
      <c r="S655" s="23">
        <f>(Table13[[#This Row],[Unit Price]]*Table13[[#This Row],[No.of Units]])*18%</f>
        <v>58266</v>
      </c>
      <c r="T655" s="22" t="s">
        <v>1507</v>
      </c>
    </row>
    <row r="656" spans="2:20" x14ac:dyDescent="0.3">
      <c r="B656" s="5" t="s">
        <v>635</v>
      </c>
      <c r="C656" s="1">
        <v>2998401</v>
      </c>
      <c r="D656" s="1">
        <v>25</v>
      </c>
      <c r="E656" s="1" t="s">
        <v>12</v>
      </c>
      <c r="F656" s="16">
        <v>45812</v>
      </c>
      <c r="G656" s="1" t="s">
        <v>1470</v>
      </c>
      <c r="H656" s="1" t="s">
        <v>1483</v>
      </c>
      <c r="I656" s="17" t="s">
        <v>1505</v>
      </c>
      <c r="J656" s="18" t="s">
        <v>23</v>
      </c>
      <c r="K656" s="19" t="s">
        <v>14</v>
      </c>
      <c r="L656" s="19" t="s">
        <v>42</v>
      </c>
      <c r="M656" s="20">
        <v>4</v>
      </c>
      <c r="N656" s="21">
        <v>84999</v>
      </c>
      <c r="O656" s="22">
        <v>12</v>
      </c>
      <c r="P656" s="23">
        <v>299196.48</v>
      </c>
      <c r="Q656" s="22">
        <v>4.5</v>
      </c>
      <c r="R656" s="22">
        <v>20</v>
      </c>
      <c r="S656" s="23">
        <f>(Table13[[#This Row],[Unit Price]]*Table13[[#This Row],[No.of Units]])*18%</f>
        <v>61199.28</v>
      </c>
      <c r="T656" s="22" t="s">
        <v>1508</v>
      </c>
    </row>
    <row r="657" spans="2:20" x14ac:dyDescent="0.3">
      <c r="B657" s="5" t="s">
        <v>636</v>
      </c>
      <c r="C657" s="1">
        <v>443250</v>
      </c>
      <c r="D657" s="1">
        <v>52</v>
      </c>
      <c r="E657" s="1" t="s">
        <v>20</v>
      </c>
      <c r="F657" s="16">
        <v>45812</v>
      </c>
      <c r="G657" s="1" t="s">
        <v>1470</v>
      </c>
      <c r="H657" s="1" t="s">
        <v>1472</v>
      </c>
      <c r="I657" s="17" t="s">
        <v>1504</v>
      </c>
      <c r="J657" s="18" t="s">
        <v>25</v>
      </c>
      <c r="K657" s="19" t="s">
        <v>26</v>
      </c>
      <c r="L657" s="19" t="s">
        <v>42</v>
      </c>
      <c r="M657" s="20">
        <v>5</v>
      </c>
      <c r="N657" s="21">
        <v>69999</v>
      </c>
      <c r="O657" s="22">
        <v>8</v>
      </c>
      <c r="P657" s="23">
        <v>321995.40000000002</v>
      </c>
      <c r="Q657" s="22">
        <v>4.8</v>
      </c>
      <c r="R657" s="22">
        <v>20</v>
      </c>
      <c r="S657" s="23">
        <f>(Table13[[#This Row],[Unit Price]]*Table13[[#This Row],[No.of Units]])*18%</f>
        <v>62999.1</v>
      </c>
      <c r="T657" s="22" t="s">
        <v>1507</v>
      </c>
    </row>
    <row r="658" spans="2:20" x14ac:dyDescent="0.3">
      <c r="B658" s="5" t="s">
        <v>637</v>
      </c>
      <c r="C658" s="1">
        <v>1440632</v>
      </c>
      <c r="D658" s="1">
        <v>23</v>
      </c>
      <c r="E658" s="1" t="s">
        <v>12</v>
      </c>
      <c r="F658" s="16">
        <v>45812</v>
      </c>
      <c r="G658" s="1" t="s">
        <v>1470</v>
      </c>
      <c r="H658" s="1" t="s">
        <v>1482</v>
      </c>
      <c r="I658" s="17" t="s">
        <v>1503</v>
      </c>
      <c r="J658" s="18" t="s">
        <v>28</v>
      </c>
      <c r="K658" s="19" t="s">
        <v>26</v>
      </c>
      <c r="L658" s="19" t="s">
        <v>42</v>
      </c>
      <c r="M658" s="20">
        <v>6</v>
      </c>
      <c r="N658" s="21">
        <v>42999</v>
      </c>
      <c r="O658" s="22">
        <v>15</v>
      </c>
      <c r="P658" s="23">
        <v>219294.9</v>
      </c>
      <c r="Q658" s="22">
        <v>4.5999999999999996</v>
      </c>
      <c r="R658" s="22">
        <v>20</v>
      </c>
      <c r="S658" s="23">
        <f>(Table13[[#This Row],[Unit Price]]*Table13[[#This Row],[No.of Units]])*18%</f>
        <v>46438.92</v>
      </c>
      <c r="T658" s="22" t="s">
        <v>1507</v>
      </c>
    </row>
    <row r="659" spans="2:20" x14ac:dyDescent="0.3">
      <c r="B659" s="5" t="s">
        <v>638</v>
      </c>
      <c r="C659" s="1">
        <v>2943155</v>
      </c>
      <c r="D659" s="1">
        <v>25</v>
      </c>
      <c r="E659" s="1" t="s">
        <v>12</v>
      </c>
      <c r="F659" s="16">
        <v>45812</v>
      </c>
      <c r="G659" s="1" t="s">
        <v>1470</v>
      </c>
      <c r="H659" s="1" t="s">
        <v>1472</v>
      </c>
      <c r="I659" s="17" t="s">
        <v>1502</v>
      </c>
      <c r="J659" s="18" t="s">
        <v>13</v>
      </c>
      <c r="K659" s="19" t="s">
        <v>14</v>
      </c>
      <c r="L659" s="19" t="s">
        <v>49</v>
      </c>
      <c r="M659" s="20">
        <v>4</v>
      </c>
      <c r="N659" s="21">
        <v>99999</v>
      </c>
      <c r="O659" s="22">
        <v>10</v>
      </c>
      <c r="P659" s="23">
        <v>359996.4</v>
      </c>
      <c r="Q659" s="22">
        <v>4.7</v>
      </c>
      <c r="R659" s="22">
        <v>20</v>
      </c>
      <c r="S659" s="23">
        <f>(Table13[[#This Row],[Unit Price]]*Table13[[#This Row],[No.of Units]])*18%</f>
        <v>71999.28</v>
      </c>
      <c r="T659" s="22" t="s">
        <v>1508</v>
      </c>
    </row>
    <row r="660" spans="2:20" x14ac:dyDescent="0.3">
      <c r="B660" s="5" t="s">
        <v>639</v>
      </c>
      <c r="C660" s="1">
        <v>165114</v>
      </c>
      <c r="D660" s="1">
        <v>25</v>
      </c>
      <c r="E660" s="1" t="s">
        <v>12</v>
      </c>
      <c r="F660" s="16">
        <v>45812</v>
      </c>
      <c r="G660" s="1" t="s">
        <v>1470</v>
      </c>
      <c r="H660" s="1" t="s">
        <v>1471</v>
      </c>
      <c r="I660" s="17" t="s">
        <v>1503</v>
      </c>
      <c r="J660" s="18" t="s">
        <v>17</v>
      </c>
      <c r="K660" s="19" t="s">
        <v>18</v>
      </c>
      <c r="L660" s="19" t="s">
        <v>49</v>
      </c>
      <c r="M660" s="20">
        <v>54</v>
      </c>
      <c r="N660" s="21">
        <v>4999</v>
      </c>
      <c r="O660" s="22">
        <v>18</v>
      </c>
      <c r="P660" s="23">
        <v>221355.72</v>
      </c>
      <c r="Q660" s="22">
        <v>4.4000000000000004</v>
      </c>
      <c r="R660" s="22">
        <v>20</v>
      </c>
      <c r="S660" s="23">
        <f>(Table13[[#This Row],[Unit Price]]*Table13[[#This Row],[No.of Units]])*18%</f>
        <v>48590.28</v>
      </c>
      <c r="T660" s="22" t="s">
        <v>1508</v>
      </c>
    </row>
    <row r="661" spans="2:20" x14ac:dyDescent="0.3">
      <c r="B661" s="5" t="s">
        <v>640</v>
      </c>
      <c r="C661" s="1">
        <v>330056</v>
      </c>
      <c r="D661" s="1">
        <v>29</v>
      </c>
      <c r="E661" s="1" t="s">
        <v>12</v>
      </c>
      <c r="F661" s="16">
        <v>45812</v>
      </c>
      <c r="G661" s="1" t="s">
        <v>1470</v>
      </c>
      <c r="H661" s="1" t="s">
        <v>1471</v>
      </c>
      <c r="I661" s="17" t="s">
        <v>1504</v>
      </c>
      <c r="J661" s="18" t="s">
        <v>21</v>
      </c>
      <c r="K661" s="19" t="s">
        <v>18</v>
      </c>
      <c r="L661" s="19" t="s">
        <v>49</v>
      </c>
      <c r="M661" s="20">
        <v>5</v>
      </c>
      <c r="N661" s="21">
        <v>24900</v>
      </c>
      <c r="O661" s="22">
        <v>5</v>
      </c>
      <c r="P661" s="23">
        <v>118275</v>
      </c>
      <c r="Q661" s="22">
        <v>4.8</v>
      </c>
      <c r="R661" s="22">
        <v>20</v>
      </c>
      <c r="S661" s="23">
        <f>(Table13[[#This Row],[Unit Price]]*Table13[[#This Row],[No.of Units]])*18%</f>
        <v>22410</v>
      </c>
      <c r="T661" s="22" t="s">
        <v>1508</v>
      </c>
    </row>
    <row r="662" spans="2:20" x14ac:dyDescent="0.3">
      <c r="B662" s="5" t="s">
        <v>641</v>
      </c>
      <c r="C662" s="1">
        <v>8480814</v>
      </c>
      <c r="D662" s="1">
        <v>64</v>
      </c>
      <c r="E662" s="1" t="s">
        <v>20</v>
      </c>
      <c r="F662" s="16">
        <v>45812</v>
      </c>
      <c r="G662" s="1" t="s">
        <v>1475</v>
      </c>
      <c r="H662" s="1" t="s">
        <v>1481</v>
      </c>
      <c r="I662" s="17" t="s">
        <v>1505</v>
      </c>
      <c r="J662" s="18" t="s">
        <v>23</v>
      </c>
      <c r="K662" s="19" t="s">
        <v>14</v>
      </c>
      <c r="L662" s="19" t="s">
        <v>49</v>
      </c>
      <c r="M662" s="20">
        <v>5</v>
      </c>
      <c r="N662" s="21">
        <v>84999</v>
      </c>
      <c r="O662" s="22">
        <v>12</v>
      </c>
      <c r="P662" s="23">
        <v>373995.6</v>
      </c>
      <c r="Q662" s="22">
        <v>4.5</v>
      </c>
      <c r="R662" s="22">
        <v>20</v>
      </c>
      <c r="S662" s="23">
        <f>(Table13[[#This Row],[Unit Price]]*Table13[[#This Row],[No.of Units]])*18%</f>
        <v>76499.099999999991</v>
      </c>
      <c r="T662" s="22" t="s">
        <v>1508</v>
      </c>
    </row>
    <row r="663" spans="2:20" x14ac:dyDescent="0.3">
      <c r="B663" s="5" t="s">
        <v>642</v>
      </c>
      <c r="C663" s="1">
        <v>9740627</v>
      </c>
      <c r="D663" s="1">
        <v>68</v>
      </c>
      <c r="E663" s="1" t="s">
        <v>20</v>
      </c>
      <c r="F663" s="16">
        <v>45812</v>
      </c>
      <c r="G663" s="1" t="s">
        <v>1470</v>
      </c>
      <c r="H663" s="1" t="s">
        <v>1472</v>
      </c>
      <c r="I663" s="17" t="s">
        <v>1504</v>
      </c>
      <c r="J663" s="18" t="s">
        <v>25</v>
      </c>
      <c r="K663" s="19" t="s">
        <v>26</v>
      </c>
      <c r="L663" s="19" t="s">
        <v>49</v>
      </c>
      <c r="M663" s="20">
        <v>2</v>
      </c>
      <c r="N663" s="21">
        <v>69999</v>
      </c>
      <c r="O663" s="22">
        <v>8</v>
      </c>
      <c r="P663" s="23">
        <v>128798.16</v>
      </c>
      <c r="Q663" s="22">
        <v>4.8</v>
      </c>
      <c r="R663" s="22">
        <v>20</v>
      </c>
      <c r="S663" s="23">
        <f>(Table13[[#This Row],[Unit Price]]*Table13[[#This Row],[No.of Units]])*18%</f>
        <v>25199.64</v>
      </c>
      <c r="T663" s="22" t="s">
        <v>1507</v>
      </c>
    </row>
    <row r="664" spans="2:20" x14ac:dyDescent="0.3">
      <c r="B664" s="5" t="s">
        <v>642</v>
      </c>
      <c r="C664" s="1">
        <v>9740627</v>
      </c>
      <c r="D664" s="1">
        <v>49</v>
      </c>
      <c r="E664" s="1" t="s">
        <v>12</v>
      </c>
      <c r="F664" s="16">
        <v>45812</v>
      </c>
      <c r="G664" s="1" t="s">
        <v>1470</v>
      </c>
      <c r="H664" s="1" t="s">
        <v>1471</v>
      </c>
      <c r="I664" s="17" t="s">
        <v>1503</v>
      </c>
      <c r="J664" s="18" t="s">
        <v>28</v>
      </c>
      <c r="K664" s="19" t="s">
        <v>26</v>
      </c>
      <c r="L664" s="19" t="s">
        <v>49</v>
      </c>
      <c r="M664" s="20">
        <v>6</v>
      </c>
      <c r="N664" s="21">
        <v>42999</v>
      </c>
      <c r="O664" s="22">
        <v>15</v>
      </c>
      <c r="P664" s="23">
        <v>219294.9</v>
      </c>
      <c r="Q664" s="22">
        <v>4.5999999999999996</v>
      </c>
      <c r="R664" s="22">
        <v>20</v>
      </c>
      <c r="S664" s="23">
        <f>(Table13[[#This Row],[Unit Price]]*Table13[[#This Row],[No.of Units]])*18%</f>
        <v>46438.92</v>
      </c>
      <c r="T664" s="22" t="s">
        <v>1508</v>
      </c>
    </row>
    <row r="665" spans="2:20" x14ac:dyDescent="0.3">
      <c r="B665" s="5" t="s">
        <v>643</v>
      </c>
      <c r="C665" s="1">
        <v>9143448</v>
      </c>
      <c r="D665" s="1">
        <v>44</v>
      </c>
      <c r="E665" s="1" t="s">
        <v>12</v>
      </c>
      <c r="F665" s="16">
        <v>45819</v>
      </c>
      <c r="G665" s="1" t="s">
        <v>1470</v>
      </c>
      <c r="H665" s="1" t="s">
        <v>1482</v>
      </c>
      <c r="I665" s="17" t="s">
        <v>1502</v>
      </c>
      <c r="J665" s="18" t="s">
        <v>13</v>
      </c>
      <c r="K665" s="19" t="s">
        <v>14</v>
      </c>
      <c r="L665" s="19" t="s">
        <v>15</v>
      </c>
      <c r="M665" s="20">
        <v>4</v>
      </c>
      <c r="N665" s="21">
        <v>99999</v>
      </c>
      <c r="O665" s="22">
        <v>10</v>
      </c>
      <c r="P665" s="23">
        <v>359996.4</v>
      </c>
      <c r="Q665" s="22">
        <v>4.7</v>
      </c>
      <c r="R665" s="22">
        <v>20</v>
      </c>
      <c r="S665" s="23">
        <f>(Table13[[#This Row],[Unit Price]]*Table13[[#This Row],[No.of Units]])*18%</f>
        <v>71999.28</v>
      </c>
      <c r="T665" s="22" t="s">
        <v>1507</v>
      </c>
    </row>
    <row r="666" spans="2:20" x14ac:dyDescent="0.3">
      <c r="B666" s="5" t="s">
        <v>644</v>
      </c>
      <c r="C666" s="1">
        <v>6604106</v>
      </c>
      <c r="D666" s="1">
        <v>24</v>
      </c>
      <c r="E666" s="1" t="s">
        <v>12</v>
      </c>
      <c r="F666" s="16">
        <v>45819</v>
      </c>
      <c r="G666" s="1" t="s">
        <v>1470</v>
      </c>
      <c r="H666" s="1" t="s">
        <v>1482</v>
      </c>
      <c r="I666" s="17" t="s">
        <v>1503</v>
      </c>
      <c r="J666" s="18" t="s">
        <v>17</v>
      </c>
      <c r="K666" s="19" t="s">
        <v>18</v>
      </c>
      <c r="L666" s="19" t="s">
        <v>15</v>
      </c>
      <c r="M666" s="20">
        <v>42</v>
      </c>
      <c r="N666" s="21">
        <v>4999</v>
      </c>
      <c r="O666" s="22">
        <v>18</v>
      </c>
      <c r="P666" s="23">
        <v>172165.56</v>
      </c>
      <c r="Q666" s="22">
        <v>4.4000000000000004</v>
      </c>
      <c r="R666" s="22">
        <v>20</v>
      </c>
      <c r="S666" s="23">
        <f>(Table13[[#This Row],[Unit Price]]*Table13[[#This Row],[No.of Units]])*18%</f>
        <v>37792.439999999995</v>
      </c>
      <c r="T666" s="22" t="s">
        <v>1507</v>
      </c>
    </row>
    <row r="667" spans="2:20" x14ac:dyDescent="0.3">
      <c r="B667" s="5" t="s">
        <v>645</v>
      </c>
      <c r="C667" s="1">
        <v>9917475</v>
      </c>
      <c r="D667" s="1">
        <v>34</v>
      </c>
      <c r="E667" s="1" t="s">
        <v>12</v>
      </c>
      <c r="F667" s="16">
        <v>45819</v>
      </c>
      <c r="G667" s="1" t="s">
        <v>1470</v>
      </c>
      <c r="H667" s="1" t="s">
        <v>1471</v>
      </c>
      <c r="I667" s="17" t="s">
        <v>1504</v>
      </c>
      <c r="J667" s="18" t="s">
        <v>21</v>
      </c>
      <c r="K667" s="19" t="s">
        <v>18</v>
      </c>
      <c r="L667" s="19" t="s">
        <v>15</v>
      </c>
      <c r="M667" s="20">
        <v>9</v>
      </c>
      <c r="N667" s="21">
        <v>24900</v>
      </c>
      <c r="O667" s="22">
        <v>5</v>
      </c>
      <c r="P667" s="23">
        <v>212895</v>
      </c>
      <c r="Q667" s="22">
        <v>4.8</v>
      </c>
      <c r="R667" s="22">
        <v>20</v>
      </c>
      <c r="S667" s="23">
        <f>(Table13[[#This Row],[Unit Price]]*Table13[[#This Row],[No.of Units]])*18%</f>
        <v>40338</v>
      </c>
      <c r="T667" s="22" t="s">
        <v>1507</v>
      </c>
    </row>
    <row r="668" spans="2:20" x14ac:dyDescent="0.3">
      <c r="B668" s="5" t="s">
        <v>645</v>
      </c>
      <c r="C668" s="1">
        <v>9917475</v>
      </c>
      <c r="D668" s="1">
        <v>28</v>
      </c>
      <c r="E668" s="1" t="s">
        <v>12</v>
      </c>
      <c r="F668" s="16">
        <v>45819</v>
      </c>
      <c r="G668" s="1" t="s">
        <v>1470</v>
      </c>
      <c r="H668" s="1" t="s">
        <v>1482</v>
      </c>
      <c r="I668" s="17" t="s">
        <v>1505</v>
      </c>
      <c r="J668" s="18" t="s">
        <v>23</v>
      </c>
      <c r="K668" s="19" t="s">
        <v>14</v>
      </c>
      <c r="L668" s="19" t="s">
        <v>15</v>
      </c>
      <c r="M668" s="20">
        <v>4</v>
      </c>
      <c r="N668" s="21">
        <v>84999</v>
      </c>
      <c r="O668" s="22">
        <v>12</v>
      </c>
      <c r="P668" s="23">
        <v>299196.48</v>
      </c>
      <c r="Q668" s="22">
        <v>4.5</v>
      </c>
      <c r="R668" s="22">
        <v>20</v>
      </c>
      <c r="S668" s="23">
        <f>(Table13[[#This Row],[Unit Price]]*Table13[[#This Row],[No.of Units]])*18%</f>
        <v>61199.28</v>
      </c>
      <c r="T668" s="22" t="s">
        <v>1507</v>
      </c>
    </row>
    <row r="669" spans="2:20" x14ac:dyDescent="0.3">
      <c r="B669" s="5" t="s">
        <v>646</v>
      </c>
      <c r="C669" s="1">
        <v>8161439</v>
      </c>
      <c r="D669" s="1">
        <v>35</v>
      </c>
      <c r="E669" s="1" t="s">
        <v>12</v>
      </c>
      <c r="F669" s="16">
        <v>45819</v>
      </c>
      <c r="G669" s="1" t="s">
        <v>1470</v>
      </c>
      <c r="H669" s="1" t="s">
        <v>1482</v>
      </c>
      <c r="I669" s="17" t="s">
        <v>1504</v>
      </c>
      <c r="J669" s="18" t="s">
        <v>25</v>
      </c>
      <c r="K669" s="19" t="s">
        <v>26</v>
      </c>
      <c r="L669" s="19" t="s">
        <v>15</v>
      </c>
      <c r="M669" s="20">
        <v>6</v>
      </c>
      <c r="N669" s="21">
        <v>69999</v>
      </c>
      <c r="O669" s="22">
        <v>8</v>
      </c>
      <c r="P669" s="23">
        <v>386394.48</v>
      </c>
      <c r="Q669" s="22">
        <v>4.8</v>
      </c>
      <c r="R669" s="22">
        <v>20</v>
      </c>
      <c r="S669" s="23">
        <f>(Table13[[#This Row],[Unit Price]]*Table13[[#This Row],[No.of Units]])*18%</f>
        <v>75598.92</v>
      </c>
      <c r="T669" s="22" t="s">
        <v>1508</v>
      </c>
    </row>
    <row r="670" spans="2:20" x14ac:dyDescent="0.3">
      <c r="B670" s="5" t="s">
        <v>647</v>
      </c>
      <c r="C670" s="1">
        <v>3946933</v>
      </c>
      <c r="D670" s="1">
        <v>45</v>
      </c>
      <c r="E670" s="1" t="s">
        <v>12</v>
      </c>
      <c r="F670" s="16">
        <v>45819</v>
      </c>
      <c r="G670" s="1" t="s">
        <v>1475</v>
      </c>
      <c r="H670" s="1" t="s">
        <v>1482</v>
      </c>
      <c r="I670" s="17" t="s">
        <v>1503</v>
      </c>
      <c r="J670" s="18" t="s">
        <v>28</v>
      </c>
      <c r="K670" s="19" t="s">
        <v>26</v>
      </c>
      <c r="L670" s="19" t="s">
        <v>15</v>
      </c>
      <c r="M670" s="20">
        <v>7</v>
      </c>
      <c r="N670" s="21">
        <v>42999</v>
      </c>
      <c r="O670" s="22">
        <v>15</v>
      </c>
      <c r="P670" s="23">
        <v>255844.05</v>
      </c>
      <c r="Q670" s="22">
        <v>4.5999999999999996</v>
      </c>
      <c r="R670" s="22">
        <v>20</v>
      </c>
      <c r="S670" s="23">
        <f>(Table13[[#This Row],[Unit Price]]*Table13[[#This Row],[No.of Units]])*18%</f>
        <v>54178.74</v>
      </c>
      <c r="T670" s="22" t="s">
        <v>1507</v>
      </c>
    </row>
    <row r="671" spans="2:20" x14ac:dyDescent="0.3">
      <c r="B671" s="5" t="s">
        <v>648</v>
      </c>
      <c r="C671" s="1">
        <v>3357610</v>
      </c>
      <c r="D671" s="1">
        <v>77</v>
      </c>
      <c r="E671" s="1" t="s">
        <v>20</v>
      </c>
      <c r="F671" s="16">
        <v>45819</v>
      </c>
      <c r="G671" s="1" t="s">
        <v>1470</v>
      </c>
      <c r="H671" s="1" t="s">
        <v>1482</v>
      </c>
      <c r="I671" s="17" t="s">
        <v>1502</v>
      </c>
      <c r="J671" s="18" t="s">
        <v>13</v>
      </c>
      <c r="K671" s="19" t="s">
        <v>14</v>
      </c>
      <c r="L671" s="19" t="s">
        <v>29</v>
      </c>
      <c r="M671" s="20">
        <v>6</v>
      </c>
      <c r="N671" s="21">
        <v>99999</v>
      </c>
      <c r="O671" s="22">
        <v>10</v>
      </c>
      <c r="P671" s="23">
        <v>539994.6</v>
      </c>
      <c r="Q671" s="22">
        <v>4.7</v>
      </c>
      <c r="R671" s="22">
        <v>20</v>
      </c>
      <c r="S671" s="23">
        <f>(Table13[[#This Row],[Unit Price]]*Table13[[#This Row],[No.of Units]])*18%</f>
        <v>107998.92</v>
      </c>
      <c r="T671" s="22" t="s">
        <v>1508</v>
      </c>
    </row>
    <row r="672" spans="2:20" x14ac:dyDescent="0.3">
      <c r="B672" s="5" t="s">
        <v>649</v>
      </c>
      <c r="C672" s="1">
        <v>2411749</v>
      </c>
      <c r="D672" s="1">
        <v>19</v>
      </c>
      <c r="E672" s="1" t="s">
        <v>34</v>
      </c>
      <c r="F672" s="16">
        <v>45819</v>
      </c>
      <c r="G672" s="1" t="s">
        <v>1470</v>
      </c>
      <c r="H672" s="1" t="s">
        <v>1471</v>
      </c>
      <c r="I672" s="17" t="s">
        <v>1503</v>
      </c>
      <c r="J672" s="18" t="s">
        <v>17</v>
      </c>
      <c r="K672" s="19" t="s">
        <v>18</v>
      </c>
      <c r="L672" s="19" t="s">
        <v>29</v>
      </c>
      <c r="M672" s="20">
        <v>46</v>
      </c>
      <c r="N672" s="21">
        <v>4999</v>
      </c>
      <c r="O672" s="22">
        <v>18</v>
      </c>
      <c r="P672" s="23">
        <v>188562.28</v>
      </c>
      <c r="Q672" s="22">
        <v>4.4000000000000004</v>
      </c>
      <c r="R672" s="22">
        <v>20</v>
      </c>
      <c r="S672" s="23">
        <f>(Table13[[#This Row],[Unit Price]]*Table13[[#This Row],[No.of Units]])*18%</f>
        <v>41391.72</v>
      </c>
      <c r="T672" s="22" t="s">
        <v>1508</v>
      </c>
    </row>
    <row r="673" spans="2:20" x14ac:dyDescent="0.3">
      <c r="B673" s="5" t="s">
        <v>650</v>
      </c>
      <c r="C673" s="1">
        <v>5633467</v>
      </c>
      <c r="D673" s="1">
        <v>18</v>
      </c>
      <c r="E673" s="1" t="s">
        <v>34</v>
      </c>
      <c r="F673" s="16">
        <v>45819</v>
      </c>
      <c r="G673" s="1" t="s">
        <v>1470</v>
      </c>
      <c r="H673" s="1" t="s">
        <v>1472</v>
      </c>
      <c r="I673" s="17" t="s">
        <v>1504</v>
      </c>
      <c r="J673" s="18" t="s">
        <v>21</v>
      </c>
      <c r="K673" s="19" t="s">
        <v>18</v>
      </c>
      <c r="L673" s="19" t="s">
        <v>29</v>
      </c>
      <c r="M673" s="20">
        <v>7</v>
      </c>
      <c r="N673" s="21">
        <v>24900</v>
      </c>
      <c r="O673" s="22">
        <v>5</v>
      </c>
      <c r="P673" s="23">
        <v>165585</v>
      </c>
      <c r="Q673" s="22">
        <v>4.8</v>
      </c>
      <c r="R673" s="22">
        <v>20</v>
      </c>
      <c r="S673" s="23">
        <f>(Table13[[#This Row],[Unit Price]]*Table13[[#This Row],[No.of Units]])*18%</f>
        <v>31374</v>
      </c>
      <c r="T673" s="22" t="s">
        <v>1508</v>
      </c>
    </row>
    <row r="674" spans="2:20" x14ac:dyDescent="0.3">
      <c r="B674" s="5" t="s">
        <v>650</v>
      </c>
      <c r="C674" s="1">
        <v>5633467</v>
      </c>
      <c r="D674" s="1">
        <v>34</v>
      </c>
      <c r="E674" s="1" t="s">
        <v>12</v>
      </c>
      <c r="F674" s="16">
        <v>45819</v>
      </c>
      <c r="G674" s="1" t="s">
        <v>1470</v>
      </c>
      <c r="H674" s="1" t="s">
        <v>1471</v>
      </c>
      <c r="I674" s="17" t="s">
        <v>1505</v>
      </c>
      <c r="J674" s="18" t="s">
        <v>23</v>
      </c>
      <c r="K674" s="19" t="s">
        <v>14</v>
      </c>
      <c r="L674" s="19" t="s">
        <v>29</v>
      </c>
      <c r="M674" s="20">
        <v>5</v>
      </c>
      <c r="N674" s="21">
        <v>84999</v>
      </c>
      <c r="O674" s="22">
        <v>12</v>
      </c>
      <c r="P674" s="23">
        <v>373995.6</v>
      </c>
      <c r="Q674" s="22">
        <v>4.5</v>
      </c>
      <c r="R674" s="22">
        <v>20</v>
      </c>
      <c r="S674" s="23">
        <f>(Table13[[#This Row],[Unit Price]]*Table13[[#This Row],[No.of Units]])*18%</f>
        <v>76499.099999999991</v>
      </c>
      <c r="T674" s="22" t="s">
        <v>1508</v>
      </c>
    </row>
    <row r="675" spans="2:20" x14ac:dyDescent="0.3">
      <c r="B675" s="5" t="s">
        <v>651</v>
      </c>
      <c r="C675" s="1">
        <v>3228955</v>
      </c>
      <c r="D675" s="1">
        <v>51</v>
      </c>
      <c r="E675" s="1" t="s">
        <v>20</v>
      </c>
      <c r="F675" s="16">
        <v>45819</v>
      </c>
      <c r="G675" s="1" t="s">
        <v>1474</v>
      </c>
      <c r="H675" s="1" t="s">
        <v>1483</v>
      </c>
      <c r="I675" s="17" t="s">
        <v>1504</v>
      </c>
      <c r="J675" s="18" t="s">
        <v>25</v>
      </c>
      <c r="K675" s="19" t="s">
        <v>26</v>
      </c>
      <c r="L675" s="19" t="s">
        <v>29</v>
      </c>
      <c r="M675" s="20">
        <v>4</v>
      </c>
      <c r="N675" s="21">
        <v>69999</v>
      </c>
      <c r="O675" s="22">
        <v>8</v>
      </c>
      <c r="P675" s="23">
        <v>257596.32</v>
      </c>
      <c r="Q675" s="22">
        <v>4.8</v>
      </c>
      <c r="R675" s="22">
        <v>20</v>
      </c>
      <c r="S675" s="23">
        <f>(Table13[[#This Row],[Unit Price]]*Table13[[#This Row],[No.of Units]])*18%</f>
        <v>50399.28</v>
      </c>
      <c r="T675" s="22" t="s">
        <v>1508</v>
      </c>
    </row>
    <row r="676" spans="2:20" x14ac:dyDescent="0.3">
      <c r="B676" s="5" t="s">
        <v>652</v>
      </c>
      <c r="C676" s="1">
        <v>9973433</v>
      </c>
      <c r="D676" s="1">
        <v>29</v>
      </c>
      <c r="E676" s="1" t="s">
        <v>12</v>
      </c>
      <c r="F676" s="16">
        <v>45819</v>
      </c>
      <c r="G676" s="1" t="s">
        <v>1470</v>
      </c>
      <c r="H676" s="1" t="s">
        <v>1472</v>
      </c>
      <c r="I676" s="17" t="s">
        <v>1503</v>
      </c>
      <c r="J676" s="18" t="s">
        <v>28</v>
      </c>
      <c r="K676" s="19" t="s">
        <v>26</v>
      </c>
      <c r="L676" s="19" t="s">
        <v>29</v>
      </c>
      <c r="M676" s="20">
        <v>8</v>
      </c>
      <c r="N676" s="21">
        <v>42999</v>
      </c>
      <c r="O676" s="22">
        <v>15</v>
      </c>
      <c r="P676" s="23">
        <v>292393.2</v>
      </c>
      <c r="Q676" s="22">
        <v>4.5999999999999996</v>
      </c>
      <c r="R676" s="22">
        <v>20</v>
      </c>
      <c r="S676" s="23">
        <f>(Table13[[#This Row],[Unit Price]]*Table13[[#This Row],[No.of Units]])*18%</f>
        <v>61918.559999999998</v>
      </c>
      <c r="T676" s="22" t="s">
        <v>1507</v>
      </c>
    </row>
    <row r="677" spans="2:20" x14ac:dyDescent="0.3">
      <c r="B677" s="5" t="s">
        <v>653</v>
      </c>
      <c r="C677" s="1">
        <v>1130253</v>
      </c>
      <c r="D677" s="1">
        <v>32</v>
      </c>
      <c r="E677" s="1" t="s">
        <v>12</v>
      </c>
      <c r="F677" s="16">
        <v>45819</v>
      </c>
      <c r="G677" s="1" t="s">
        <v>1470</v>
      </c>
      <c r="H677" s="1" t="s">
        <v>1472</v>
      </c>
      <c r="I677" s="17" t="s">
        <v>1502</v>
      </c>
      <c r="J677" s="18" t="s">
        <v>13</v>
      </c>
      <c r="K677" s="19" t="s">
        <v>14</v>
      </c>
      <c r="L677" s="19" t="s">
        <v>35</v>
      </c>
      <c r="M677" s="20">
        <v>5</v>
      </c>
      <c r="N677" s="21">
        <v>99999</v>
      </c>
      <c r="O677" s="22">
        <v>10</v>
      </c>
      <c r="P677" s="23">
        <v>449995.5</v>
      </c>
      <c r="Q677" s="22">
        <v>4.7</v>
      </c>
      <c r="R677" s="22">
        <v>20</v>
      </c>
      <c r="S677" s="23">
        <f>(Table13[[#This Row],[Unit Price]]*Table13[[#This Row],[No.of Units]])*18%</f>
        <v>89999.099999999991</v>
      </c>
      <c r="T677" s="22" t="s">
        <v>1508</v>
      </c>
    </row>
    <row r="678" spans="2:20" x14ac:dyDescent="0.3">
      <c r="B678" s="5" t="s">
        <v>654</v>
      </c>
      <c r="C678" s="1">
        <v>9716987</v>
      </c>
      <c r="D678" s="1">
        <v>76</v>
      </c>
      <c r="E678" s="1" t="s">
        <v>20</v>
      </c>
      <c r="F678" s="16">
        <v>45819</v>
      </c>
      <c r="G678" s="1" t="s">
        <v>1470</v>
      </c>
      <c r="H678" s="1" t="s">
        <v>1483</v>
      </c>
      <c r="I678" s="17" t="s">
        <v>1503</v>
      </c>
      <c r="J678" s="18" t="s">
        <v>17</v>
      </c>
      <c r="K678" s="19" t="s">
        <v>18</v>
      </c>
      <c r="L678" s="19" t="s">
        <v>35</v>
      </c>
      <c r="M678" s="20">
        <v>34</v>
      </c>
      <c r="N678" s="21">
        <v>4999</v>
      </c>
      <c r="O678" s="22">
        <v>18</v>
      </c>
      <c r="P678" s="23">
        <v>139372.12</v>
      </c>
      <c r="Q678" s="22">
        <v>4.4000000000000004</v>
      </c>
      <c r="R678" s="22">
        <v>20</v>
      </c>
      <c r="S678" s="23">
        <f>(Table13[[#This Row],[Unit Price]]*Table13[[#This Row],[No.of Units]])*18%</f>
        <v>30593.879999999997</v>
      </c>
      <c r="T678" s="22" t="s">
        <v>1507</v>
      </c>
    </row>
    <row r="679" spans="2:20" x14ac:dyDescent="0.3">
      <c r="B679" s="5" t="s">
        <v>655</v>
      </c>
      <c r="C679" s="1">
        <v>1032774</v>
      </c>
      <c r="D679" s="1">
        <v>27</v>
      </c>
      <c r="E679" s="1" t="s">
        <v>12</v>
      </c>
      <c r="F679" s="16">
        <v>45819</v>
      </c>
      <c r="G679" s="1" t="s">
        <v>1470</v>
      </c>
      <c r="H679" s="1" t="s">
        <v>1471</v>
      </c>
      <c r="I679" s="17" t="s">
        <v>1504</v>
      </c>
      <c r="J679" s="18" t="s">
        <v>21</v>
      </c>
      <c r="K679" s="19" t="s">
        <v>18</v>
      </c>
      <c r="L679" s="19" t="s">
        <v>35</v>
      </c>
      <c r="M679" s="20">
        <v>8</v>
      </c>
      <c r="N679" s="21">
        <v>24900</v>
      </c>
      <c r="O679" s="22">
        <v>5</v>
      </c>
      <c r="P679" s="23">
        <v>189240</v>
      </c>
      <c r="Q679" s="22">
        <v>4.8</v>
      </c>
      <c r="R679" s="22">
        <v>20</v>
      </c>
      <c r="S679" s="23">
        <f>(Table13[[#This Row],[Unit Price]]*Table13[[#This Row],[No.of Units]])*18%</f>
        <v>35856</v>
      </c>
      <c r="T679" s="22" t="s">
        <v>1508</v>
      </c>
    </row>
    <row r="680" spans="2:20" x14ac:dyDescent="0.3">
      <c r="B680" s="5" t="s">
        <v>656</v>
      </c>
      <c r="C680" s="1">
        <v>125115</v>
      </c>
      <c r="D680" s="1">
        <v>46</v>
      </c>
      <c r="E680" s="1" t="s">
        <v>12</v>
      </c>
      <c r="F680" s="16">
        <v>45819</v>
      </c>
      <c r="G680" s="1" t="s">
        <v>1470</v>
      </c>
      <c r="H680" s="1" t="s">
        <v>1482</v>
      </c>
      <c r="I680" s="17" t="s">
        <v>1505</v>
      </c>
      <c r="J680" s="18" t="s">
        <v>23</v>
      </c>
      <c r="K680" s="19" t="s">
        <v>14</v>
      </c>
      <c r="L680" s="19" t="s">
        <v>35</v>
      </c>
      <c r="M680" s="20">
        <v>5</v>
      </c>
      <c r="N680" s="21">
        <v>84999</v>
      </c>
      <c r="O680" s="22">
        <v>12</v>
      </c>
      <c r="P680" s="23">
        <v>373995.6</v>
      </c>
      <c r="Q680" s="22">
        <v>4.5</v>
      </c>
      <c r="R680" s="22">
        <v>20</v>
      </c>
      <c r="S680" s="23">
        <f>(Table13[[#This Row],[Unit Price]]*Table13[[#This Row],[No.of Units]])*18%</f>
        <v>76499.099999999991</v>
      </c>
      <c r="T680" s="22" t="s">
        <v>1507</v>
      </c>
    </row>
    <row r="681" spans="2:20" x14ac:dyDescent="0.3">
      <c r="B681" s="5" t="s">
        <v>657</v>
      </c>
      <c r="C681" s="1">
        <v>6537606</v>
      </c>
      <c r="D681" s="1">
        <v>30</v>
      </c>
      <c r="E681" s="1" t="s">
        <v>12</v>
      </c>
      <c r="F681" s="16">
        <v>45819</v>
      </c>
      <c r="G681" s="1" t="s">
        <v>1470</v>
      </c>
      <c r="H681" s="1" t="s">
        <v>1471</v>
      </c>
      <c r="I681" s="17" t="s">
        <v>1504</v>
      </c>
      <c r="J681" s="18" t="s">
        <v>25</v>
      </c>
      <c r="K681" s="19" t="s">
        <v>26</v>
      </c>
      <c r="L681" s="19" t="s">
        <v>35</v>
      </c>
      <c r="M681" s="20">
        <v>4</v>
      </c>
      <c r="N681" s="21">
        <v>69999</v>
      </c>
      <c r="O681" s="22">
        <v>8</v>
      </c>
      <c r="P681" s="23">
        <v>257596.32</v>
      </c>
      <c r="Q681" s="22">
        <v>4.8</v>
      </c>
      <c r="R681" s="22">
        <v>20</v>
      </c>
      <c r="S681" s="23">
        <f>(Table13[[#This Row],[Unit Price]]*Table13[[#This Row],[No.of Units]])*18%</f>
        <v>50399.28</v>
      </c>
      <c r="T681" s="22" t="s">
        <v>1508</v>
      </c>
    </row>
    <row r="682" spans="2:20" x14ac:dyDescent="0.3">
      <c r="B682" s="5" t="s">
        <v>658</v>
      </c>
      <c r="C682" s="1">
        <v>82399</v>
      </c>
      <c r="D682" s="1">
        <v>20</v>
      </c>
      <c r="E682" s="1" t="s">
        <v>12</v>
      </c>
      <c r="F682" s="16">
        <v>45819</v>
      </c>
      <c r="G682" s="1" t="s">
        <v>1473</v>
      </c>
      <c r="H682" s="1" t="s">
        <v>1472</v>
      </c>
      <c r="I682" s="17" t="s">
        <v>1503</v>
      </c>
      <c r="J682" s="18" t="s">
        <v>28</v>
      </c>
      <c r="K682" s="19" t="s">
        <v>26</v>
      </c>
      <c r="L682" s="19" t="s">
        <v>35</v>
      </c>
      <c r="M682" s="20">
        <v>8</v>
      </c>
      <c r="N682" s="21">
        <v>42999</v>
      </c>
      <c r="O682" s="22">
        <v>15</v>
      </c>
      <c r="P682" s="23">
        <v>292393.2</v>
      </c>
      <c r="Q682" s="22">
        <v>4.5999999999999996</v>
      </c>
      <c r="R682" s="22">
        <v>20</v>
      </c>
      <c r="S682" s="23">
        <f>(Table13[[#This Row],[Unit Price]]*Table13[[#This Row],[No.of Units]])*18%</f>
        <v>61918.559999999998</v>
      </c>
      <c r="T682" s="22" t="s">
        <v>1508</v>
      </c>
    </row>
    <row r="683" spans="2:20" x14ac:dyDescent="0.3">
      <c r="B683" s="5" t="s">
        <v>659</v>
      </c>
      <c r="C683" s="1">
        <v>6673630</v>
      </c>
      <c r="D683" s="1">
        <v>21</v>
      </c>
      <c r="E683" s="1" t="s">
        <v>12</v>
      </c>
      <c r="F683" s="16">
        <v>45819</v>
      </c>
      <c r="G683" s="1" t="s">
        <v>1470</v>
      </c>
      <c r="H683" s="1" t="s">
        <v>1482</v>
      </c>
      <c r="I683" s="17" t="s">
        <v>1502</v>
      </c>
      <c r="J683" s="18" t="s">
        <v>13</v>
      </c>
      <c r="K683" s="19" t="s">
        <v>14</v>
      </c>
      <c r="L683" s="19" t="s">
        <v>42</v>
      </c>
      <c r="M683" s="20">
        <v>5</v>
      </c>
      <c r="N683" s="21">
        <v>99999</v>
      </c>
      <c r="O683" s="22">
        <v>10</v>
      </c>
      <c r="P683" s="23">
        <v>449995.5</v>
      </c>
      <c r="Q683" s="22">
        <v>4.7</v>
      </c>
      <c r="R683" s="22">
        <v>20</v>
      </c>
      <c r="S683" s="23">
        <f>(Table13[[#This Row],[Unit Price]]*Table13[[#This Row],[No.of Units]])*18%</f>
        <v>89999.099999999991</v>
      </c>
      <c r="T683" s="22" t="s">
        <v>1508</v>
      </c>
    </row>
    <row r="684" spans="2:20" x14ac:dyDescent="0.3">
      <c r="B684" s="5" t="s">
        <v>659</v>
      </c>
      <c r="C684" s="1">
        <v>6673630</v>
      </c>
      <c r="D684" s="1">
        <v>46</v>
      </c>
      <c r="E684" s="1" t="s">
        <v>12</v>
      </c>
      <c r="F684" s="16">
        <v>45819</v>
      </c>
      <c r="G684" s="1" t="s">
        <v>1470</v>
      </c>
      <c r="H684" s="1" t="s">
        <v>1483</v>
      </c>
      <c r="I684" s="17" t="s">
        <v>1503</v>
      </c>
      <c r="J684" s="18" t="s">
        <v>17</v>
      </c>
      <c r="K684" s="19" t="s">
        <v>18</v>
      </c>
      <c r="L684" s="19" t="s">
        <v>42</v>
      </c>
      <c r="M684" s="20">
        <v>54</v>
      </c>
      <c r="N684" s="21">
        <v>4999</v>
      </c>
      <c r="O684" s="22">
        <v>18</v>
      </c>
      <c r="P684" s="23">
        <v>221355.72</v>
      </c>
      <c r="Q684" s="22">
        <v>4.4000000000000004</v>
      </c>
      <c r="R684" s="22">
        <v>20</v>
      </c>
      <c r="S684" s="23">
        <f>(Table13[[#This Row],[Unit Price]]*Table13[[#This Row],[No.of Units]])*18%</f>
        <v>48590.28</v>
      </c>
      <c r="T684" s="22" t="s">
        <v>1508</v>
      </c>
    </row>
    <row r="685" spans="2:20" x14ac:dyDescent="0.3">
      <c r="B685" s="5" t="s">
        <v>660</v>
      </c>
      <c r="C685" s="1">
        <v>5782801</v>
      </c>
      <c r="D685" s="1">
        <v>48</v>
      </c>
      <c r="E685" s="1" t="s">
        <v>12</v>
      </c>
      <c r="F685" s="16">
        <v>45819</v>
      </c>
      <c r="G685" s="1" t="s">
        <v>1475</v>
      </c>
      <c r="H685" s="1" t="s">
        <v>1482</v>
      </c>
      <c r="I685" s="17" t="s">
        <v>1504</v>
      </c>
      <c r="J685" s="18" t="s">
        <v>21</v>
      </c>
      <c r="K685" s="19" t="s">
        <v>18</v>
      </c>
      <c r="L685" s="19" t="s">
        <v>42</v>
      </c>
      <c r="M685" s="20">
        <v>12</v>
      </c>
      <c r="N685" s="21">
        <v>24900</v>
      </c>
      <c r="O685" s="22">
        <v>5</v>
      </c>
      <c r="P685" s="23">
        <v>283860</v>
      </c>
      <c r="Q685" s="22">
        <v>4.8</v>
      </c>
      <c r="R685" s="22">
        <v>20</v>
      </c>
      <c r="S685" s="23">
        <f>(Table13[[#This Row],[Unit Price]]*Table13[[#This Row],[No.of Units]])*18%</f>
        <v>53784</v>
      </c>
      <c r="T685" s="22" t="s">
        <v>1508</v>
      </c>
    </row>
    <row r="686" spans="2:20" x14ac:dyDescent="0.3">
      <c r="B686" s="5" t="s">
        <v>661</v>
      </c>
      <c r="C686" s="1">
        <v>5183329</v>
      </c>
      <c r="D686" s="1">
        <v>66</v>
      </c>
      <c r="E686" s="1" t="s">
        <v>20</v>
      </c>
      <c r="F686" s="16">
        <v>45819</v>
      </c>
      <c r="G686" s="1" t="s">
        <v>1470</v>
      </c>
      <c r="H686" s="1" t="s">
        <v>1471</v>
      </c>
      <c r="I686" s="17" t="s">
        <v>1505</v>
      </c>
      <c r="J686" s="18" t="s">
        <v>23</v>
      </c>
      <c r="K686" s="19" t="s">
        <v>14</v>
      </c>
      <c r="L686" s="19" t="s">
        <v>42</v>
      </c>
      <c r="M686" s="20">
        <v>2</v>
      </c>
      <c r="N686" s="21">
        <v>84999</v>
      </c>
      <c r="O686" s="22">
        <v>12</v>
      </c>
      <c r="P686" s="23">
        <v>149598.24</v>
      </c>
      <c r="Q686" s="22">
        <v>4.5</v>
      </c>
      <c r="R686" s="22">
        <v>20</v>
      </c>
      <c r="S686" s="23">
        <f>(Table13[[#This Row],[Unit Price]]*Table13[[#This Row],[No.of Units]])*18%</f>
        <v>30599.64</v>
      </c>
      <c r="T686" s="22" t="s">
        <v>1507</v>
      </c>
    </row>
    <row r="687" spans="2:20" x14ac:dyDescent="0.3">
      <c r="B687" s="5" t="s">
        <v>662</v>
      </c>
      <c r="C687" s="1">
        <v>8426061</v>
      </c>
      <c r="D687" s="1">
        <v>18</v>
      </c>
      <c r="E687" s="1" t="s">
        <v>34</v>
      </c>
      <c r="F687" s="16">
        <v>45819</v>
      </c>
      <c r="G687" s="1" t="s">
        <v>1470</v>
      </c>
      <c r="H687" s="1" t="s">
        <v>1472</v>
      </c>
      <c r="I687" s="17" t="s">
        <v>1504</v>
      </c>
      <c r="J687" s="18" t="s">
        <v>25</v>
      </c>
      <c r="K687" s="19" t="s">
        <v>26</v>
      </c>
      <c r="L687" s="19" t="s">
        <v>42</v>
      </c>
      <c r="M687" s="20">
        <v>4</v>
      </c>
      <c r="N687" s="21">
        <v>69999</v>
      </c>
      <c r="O687" s="22">
        <v>8</v>
      </c>
      <c r="P687" s="23">
        <v>257596.32</v>
      </c>
      <c r="Q687" s="22">
        <v>4.8</v>
      </c>
      <c r="R687" s="22">
        <v>20</v>
      </c>
      <c r="S687" s="23">
        <f>(Table13[[#This Row],[Unit Price]]*Table13[[#This Row],[No.of Units]])*18%</f>
        <v>50399.28</v>
      </c>
      <c r="T687" s="22" t="s">
        <v>1508</v>
      </c>
    </row>
    <row r="688" spans="2:20" x14ac:dyDescent="0.3">
      <c r="B688" s="5" t="s">
        <v>663</v>
      </c>
      <c r="C688" s="1">
        <v>7753431</v>
      </c>
      <c r="D688" s="1">
        <v>22</v>
      </c>
      <c r="E688" s="1" t="s">
        <v>12</v>
      </c>
      <c r="F688" s="16">
        <v>45819</v>
      </c>
      <c r="G688" s="1" t="s">
        <v>1470</v>
      </c>
      <c r="H688" s="1" t="s">
        <v>1483</v>
      </c>
      <c r="I688" s="17" t="s">
        <v>1503</v>
      </c>
      <c r="J688" s="18" t="s">
        <v>28</v>
      </c>
      <c r="K688" s="19" t="s">
        <v>26</v>
      </c>
      <c r="L688" s="19" t="s">
        <v>42</v>
      </c>
      <c r="M688" s="20">
        <v>9</v>
      </c>
      <c r="N688" s="21">
        <v>42999</v>
      </c>
      <c r="O688" s="22">
        <v>15</v>
      </c>
      <c r="P688" s="23">
        <v>328942.34999999998</v>
      </c>
      <c r="Q688" s="22">
        <v>4.5999999999999996</v>
      </c>
      <c r="R688" s="22">
        <v>20</v>
      </c>
      <c r="S688" s="23">
        <f>(Table13[[#This Row],[Unit Price]]*Table13[[#This Row],[No.of Units]])*18%</f>
        <v>69658.38</v>
      </c>
      <c r="T688" s="22" t="s">
        <v>1507</v>
      </c>
    </row>
    <row r="689" spans="2:20" x14ac:dyDescent="0.3">
      <c r="B689" s="5" t="s">
        <v>664</v>
      </c>
      <c r="C689" s="1">
        <v>9159324</v>
      </c>
      <c r="D689" s="1">
        <v>18</v>
      </c>
      <c r="E689" s="1" t="s">
        <v>34</v>
      </c>
      <c r="F689" s="16">
        <v>45819</v>
      </c>
      <c r="G689" s="1" t="s">
        <v>1470</v>
      </c>
      <c r="H689" s="1" t="s">
        <v>1483</v>
      </c>
      <c r="I689" s="17" t="s">
        <v>1502</v>
      </c>
      <c r="J689" s="18" t="s">
        <v>13</v>
      </c>
      <c r="K689" s="19" t="s">
        <v>14</v>
      </c>
      <c r="L689" s="19" t="s">
        <v>49</v>
      </c>
      <c r="M689" s="20">
        <v>6</v>
      </c>
      <c r="N689" s="21">
        <v>99999</v>
      </c>
      <c r="O689" s="22">
        <v>10</v>
      </c>
      <c r="P689" s="23">
        <v>539994.6</v>
      </c>
      <c r="Q689" s="22">
        <v>4.7</v>
      </c>
      <c r="R689" s="22">
        <v>20</v>
      </c>
      <c r="S689" s="23">
        <f>(Table13[[#This Row],[Unit Price]]*Table13[[#This Row],[No.of Units]])*18%</f>
        <v>107998.92</v>
      </c>
      <c r="T689" s="22" t="s">
        <v>1507</v>
      </c>
    </row>
    <row r="690" spans="2:20" x14ac:dyDescent="0.3">
      <c r="B690" s="5" t="s">
        <v>665</v>
      </c>
      <c r="C690" s="1">
        <v>3646143</v>
      </c>
      <c r="D690" s="1">
        <v>36</v>
      </c>
      <c r="E690" s="1" t="s">
        <v>12</v>
      </c>
      <c r="F690" s="16">
        <v>45819</v>
      </c>
      <c r="G690" s="1" t="s">
        <v>1470</v>
      </c>
      <c r="H690" s="1" t="s">
        <v>1471</v>
      </c>
      <c r="I690" s="17" t="s">
        <v>1503</v>
      </c>
      <c r="J690" s="18" t="s">
        <v>17</v>
      </c>
      <c r="K690" s="19" t="s">
        <v>18</v>
      </c>
      <c r="L690" s="19" t="s">
        <v>49</v>
      </c>
      <c r="M690" s="20">
        <v>53</v>
      </c>
      <c r="N690" s="21">
        <v>4999</v>
      </c>
      <c r="O690" s="22">
        <v>18</v>
      </c>
      <c r="P690" s="23">
        <v>217256.54</v>
      </c>
      <c r="Q690" s="22">
        <v>4.4000000000000004</v>
      </c>
      <c r="R690" s="22">
        <v>20</v>
      </c>
      <c r="S690" s="23">
        <f>(Table13[[#This Row],[Unit Price]]*Table13[[#This Row],[No.of Units]])*18%</f>
        <v>47690.46</v>
      </c>
      <c r="T690" s="22" t="s">
        <v>1507</v>
      </c>
    </row>
    <row r="691" spans="2:20" x14ac:dyDescent="0.3">
      <c r="B691" s="5" t="s">
        <v>666</v>
      </c>
      <c r="C691" s="1">
        <v>805366</v>
      </c>
      <c r="D691" s="1">
        <v>41</v>
      </c>
      <c r="E691" s="1" t="s">
        <v>12</v>
      </c>
      <c r="F691" s="16">
        <v>45819</v>
      </c>
      <c r="G691" s="1" t="s">
        <v>1470</v>
      </c>
      <c r="H691" s="1" t="s">
        <v>1483</v>
      </c>
      <c r="I691" s="17" t="s">
        <v>1504</v>
      </c>
      <c r="J691" s="18" t="s">
        <v>21</v>
      </c>
      <c r="K691" s="19" t="s">
        <v>18</v>
      </c>
      <c r="L691" s="19" t="s">
        <v>49</v>
      </c>
      <c r="M691" s="20">
        <v>12</v>
      </c>
      <c r="N691" s="21">
        <v>24900</v>
      </c>
      <c r="O691" s="22">
        <v>5</v>
      </c>
      <c r="P691" s="23">
        <v>283860</v>
      </c>
      <c r="Q691" s="22">
        <v>4.8</v>
      </c>
      <c r="R691" s="22">
        <v>20</v>
      </c>
      <c r="S691" s="23">
        <f>(Table13[[#This Row],[Unit Price]]*Table13[[#This Row],[No.of Units]])*18%</f>
        <v>53784</v>
      </c>
      <c r="T691" s="22" t="s">
        <v>1508</v>
      </c>
    </row>
    <row r="692" spans="2:20" x14ac:dyDescent="0.3">
      <c r="B692" s="5" t="s">
        <v>667</v>
      </c>
      <c r="C692" s="1">
        <v>6120035</v>
      </c>
      <c r="D692" s="1">
        <v>29</v>
      </c>
      <c r="E692" s="1" t="s">
        <v>12</v>
      </c>
      <c r="F692" s="16">
        <v>45819</v>
      </c>
      <c r="G692" s="1" t="s">
        <v>1470</v>
      </c>
      <c r="H692" s="1" t="s">
        <v>1471</v>
      </c>
      <c r="I692" s="17" t="s">
        <v>1505</v>
      </c>
      <c r="J692" s="18" t="s">
        <v>23</v>
      </c>
      <c r="K692" s="19" t="s">
        <v>14</v>
      </c>
      <c r="L692" s="19" t="s">
        <v>49</v>
      </c>
      <c r="M692" s="20">
        <v>6</v>
      </c>
      <c r="N692" s="21">
        <v>84999</v>
      </c>
      <c r="O692" s="22">
        <v>12</v>
      </c>
      <c r="P692" s="23">
        <v>448794.72</v>
      </c>
      <c r="Q692" s="22">
        <v>4.5</v>
      </c>
      <c r="R692" s="22">
        <v>20</v>
      </c>
      <c r="S692" s="23">
        <f>(Table13[[#This Row],[Unit Price]]*Table13[[#This Row],[No.of Units]])*18%</f>
        <v>91798.92</v>
      </c>
      <c r="T692" s="22" t="s">
        <v>1508</v>
      </c>
    </row>
    <row r="693" spans="2:20" x14ac:dyDescent="0.3">
      <c r="B693" s="5" t="s">
        <v>668</v>
      </c>
      <c r="C693" s="1">
        <v>1702986</v>
      </c>
      <c r="D693" s="1">
        <v>56</v>
      </c>
      <c r="E693" s="1" t="s">
        <v>20</v>
      </c>
      <c r="F693" s="16">
        <v>45819</v>
      </c>
      <c r="G693" s="1" t="s">
        <v>1475</v>
      </c>
      <c r="H693" s="1" t="s">
        <v>1482</v>
      </c>
      <c r="I693" s="17" t="s">
        <v>1504</v>
      </c>
      <c r="J693" s="18" t="s">
        <v>25</v>
      </c>
      <c r="K693" s="19" t="s">
        <v>26</v>
      </c>
      <c r="L693" s="19" t="s">
        <v>49</v>
      </c>
      <c r="M693" s="20">
        <v>5</v>
      </c>
      <c r="N693" s="21">
        <v>69999</v>
      </c>
      <c r="O693" s="22">
        <v>8</v>
      </c>
      <c r="P693" s="23">
        <v>321995.40000000002</v>
      </c>
      <c r="Q693" s="22">
        <v>4.8</v>
      </c>
      <c r="R693" s="22">
        <v>20</v>
      </c>
      <c r="S693" s="23">
        <f>(Table13[[#This Row],[Unit Price]]*Table13[[#This Row],[No.of Units]])*18%</f>
        <v>62999.1</v>
      </c>
      <c r="T693" s="22" t="s">
        <v>1508</v>
      </c>
    </row>
    <row r="694" spans="2:20" x14ac:dyDescent="0.3">
      <c r="B694" s="5" t="s">
        <v>669</v>
      </c>
      <c r="C694" s="1">
        <v>8413071</v>
      </c>
      <c r="D694" s="1">
        <v>46</v>
      </c>
      <c r="E694" s="1" t="s">
        <v>12</v>
      </c>
      <c r="F694" s="16">
        <v>45819</v>
      </c>
      <c r="G694" s="1" t="s">
        <v>1470</v>
      </c>
      <c r="H694" s="1" t="s">
        <v>1472</v>
      </c>
      <c r="I694" s="17" t="s">
        <v>1503</v>
      </c>
      <c r="J694" s="18" t="s">
        <v>28</v>
      </c>
      <c r="K694" s="19" t="s">
        <v>26</v>
      </c>
      <c r="L694" s="19" t="s">
        <v>49</v>
      </c>
      <c r="M694" s="20">
        <v>7</v>
      </c>
      <c r="N694" s="21">
        <v>42999</v>
      </c>
      <c r="O694" s="22">
        <v>15</v>
      </c>
      <c r="P694" s="23">
        <v>255844.05</v>
      </c>
      <c r="Q694" s="22">
        <v>4.5999999999999996</v>
      </c>
      <c r="R694" s="22">
        <v>20</v>
      </c>
      <c r="S694" s="23">
        <f>(Table13[[#This Row],[Unit Price]]*Table13[[#This Row],[No.of Units]])*18%</f>
        <v>54178.74</v>
      </c>
      <c r="T694" s="22" t="s">
        <v>1508</v>
      </c>
    </row>
    <row r="695" spans="2:20" x14ac:dyDescent="0.3">
      <c r="B695" s="5" t="s">
        <v>670</v>
      </c>
      <c r="C695" s="1">
        <v>3883141</v>
      </c>
      <c r="D695" s="1">
        <v>55</v>
      </c>
      <c r="E695" s="1" t="s">
        <v>20</v>
      </c>
      <c r="F695" s="16">
        <v>45826</v>
      </c>
      <c r="G695" s="1" t="s">
        <v>1470</v>
      </c>
      <c r="H695" s="1" t="s">
        <v>1471</v>
      </c>
      <c r="I695" s="17" t="s">
        <v>1502</v>
      </c>
      <c r="J695" s="18" t="s">
        <v>13</v>
      </c>
      <c r="K695" s="19" t="s">
        <v>14</v>
      </c>
      <c r="L695" s="19" t="s">
        <v>15</v>
      </c>
      <c r="M695" s="20">
        <v>4</v>
      </c>
      <c r="N695" s="21">
        <v>99999</v>
      </c>
      <c r="O695" s="22">
        <v>10</v>
      </c>
      <c r="P695" s="23">
        <v>359996.4</v>
      </c>
      <c r="Q695" s="22">
        <v>4.7</v>
      </c>
      <c r="R695" s="22">
        <v>20</v>
      </c>
      <c r="S695" s="23">
        <f>(Table13[[#This Row],[Unit Price]]*Table13[[#This Row],[No.of Units]])*18%</f>
        <v>71999.28</v>
      </c>
      <c r="T695" s="22" t="s">
        <v>1507</v>
      </c>
    </row>
    <row r="696" spans="2:20" x14ac:dyDescent="0.3">
      <c r="B696" s="5" t="s">
        <v>671</v>
      </c>
      <c r="C696" s="1">
        <v>4815236</v>
      </c>
      <c r="D696" s="1">
        <v>44</v>
      </c>
      <c r="E696" s="1" t="s">
        <v>12</v>
      </c>
      <c r="F696" s="16">
        <v>45826</v>
      </c>
      <c r="G696" s="1" t="s">
        <v>1470</v>
      </c>
      <c r="H696" s="1" t="s">
        <v>1481</v>
      </c>
      <c r="I696" s="17" t="s">
        <v>1503</v>
      </c>
      <c r="J696" s="18" t="s">
        <v>17</v>
      </c>
      <c r="K696" s="19" t="s">
        <v>18</v>
      </c>
      <c r="L696" s="19" t="s">
        <v>15</v>
      </c>
      <c r="M696" s="20">
        <v>49</v>
      </c>
      <c r="N696" s="21">
        <v>4999</v>
      </c>
      <c r="O696" s="22">
        <v>18</v>
      </c>
      <c r="P696" s="23">
        <v>200859.82</v>
      </c>
      <c r="Q696" s="22">
        <v>4.4000000000000004</v>
      </c>
      <c r="R696" s="22">
        <v>20</v>
      </c>
      <c r="S696" s="23">
        <f>(Table13[[#This Row],[Unit Price]]*Table13[[#This Row],[No.of Units]])*18%</f>
        <v>44091.18</v>
      </c>
      <c r="T696" s="22" t="s">
        <v>1508</v>
      </c>
    </row>
    <row r="697" spans="2:20" x14ac:dyDescent="0.3">
      <c r="B697" s="5" t="s">
        <v>672</v>
      </c>
      <c r="C697" s="1">
        <v>1811551</v>
      </c>
      <c r="D697" s="1">
        <v>40</v>
      </c>
      <c r="E697" s="1" t="s">
        <v>12</v>
      </c>
      <c r="F697" s="16">
        <v>45826</v>
      </c>
      <c r="G697" s="1" t="s">
        <v>1470</v>
      </c>
      <c r="H697" s="1" t="s">
        <v>1471</v>
      </c>
      <c r="I697" s="17" t="s">
        <v>1504</v>
      </c>
      <c r="J697" s="18" t="s">
        <v>21</v>
      </c>
      <c r="K697" s="19" t="s">
        <v>18</v>
      </c>
      <c r="L697" s="19" t="s">
        <v>15</v>
      </c>
      <c r="M697" s="20">
        <v>7</v>
      </c>
      <c r="N697" s="21">
        <v>24900</v>
      </c>
      <c r="O697" s="22">
        <v>5</v>
      </c>
      <c r="P697" s="23">
        <v>165585</v>
      </c>
      <c r="Q697" s="22">
        <v>4.8</v>
      </c>
      <c r="R697" s="22">
        <v>20</v>
      </c>
      <c r="S697" s="23">
        <f>(Table13[[#This Row],[Unit Price]]*Table13[[#This Row],[No.of Units]])*18%</f>
        <v>31374</v>
      </c>
      <c r="T697" s="22" t="s">
        <v>1508</v>
      </c>
    </row>
    <row r="698" spans="2:20" x14ac:dyDescent="0.3">
      <c r="B698" s="5" t="s">
        <v>673</v>
      </c>
      <c r="C698" s="1">
        <v>6885401</v>
      </c>
      <c r="D698" s="1">
        <v>44</v>
      </c>
      <c r="E698" s="1" t="s">
        <v>12</v>
      </c>
      <c r="F698" s="16">
        <v>45826</v>
      </c>
      <c r="G698" s="1" t="s">
        <v>1470</v>
      </c>
      <c r="H698" s="1" t="s">
        <v>1472</v>
      </c>
      <c r="I698" s="17" t="s">
        <v>1505</v>
      </c>
      <c r="J698" s="18" t="s">
        <v>23</v>
      </c>
      <c r="K698" s="19" t="s">
        <v>14</v>
      </c>
      <c r="L698" s="19" t="s">
        <v>15</v>
      </c>
      <c r="M698" s="20">
        <v>2</v>
      </c>
      <c r="N698" s="21">
        <v>84999</v>
      </c>
      <c r="O698" s="22">
        <v>12</v>
      </c>
      <c r="P698" s="23">
        <v>149598.24</v>
      </c>
      <c r="Q698" s="22">
        <v>4.5</v>
      </c>
      <c r="R698" s="22">
        <v>20</v>
      </c>
      <c r="S698" s="23">
        <f>(Table13[[#This Row],[Unit Price]]*Table13[[#This Row],[No.of Units]])*18%</f>
        <v>30599.64</v>
      </c>
      <c r="T698" s="22" t="s">
        <v>1508</v>
      </c>
    </row>
    <row r="699" spans="2:20" x14ac:dyDescent="0.3">
      <c r="B699" s="5" t="s">
        <v>673</v>
      </c>
      <c r="C699" s="1">
        <v>6885401</v>
      </c>
      <c r="D699" s="1">
        <v>34</v>
      </c>
      <c r="E699" s="1" t="s">
        <v>12</v>
      </c>
      <c r="F699" s="16">
        <v>45826</v>
      </c>
      <c r="G699" s="1" t="s">
        <v>1470</v>
      </c>
      <c r="H699" s="1" t="s">
        <v>1472</v>
      </c>
      <c r="I699" s="17" t="s">
        <v>1504</v>
      </c>
      <c r="J699" s="18" t="s">
        <v>25</v>
      </c>
      <c r="K699" s="19" t="s">
        <v>26</v>
      </c>
      <c r="L699" s="19" t="s">
        <v>15</v>
      </c>
      <c r="M699" s="20">
        <v>6</v>
      </c>
      <c r="N699" s="21">
        <v>69999</v>
      </c>
      <c r="O699" s="22">
        <v>8</v>
      </c>
      <c r="P699" s="23">
        <v>386394.48</v>
      </c>
      <c r="Q699" s="22">
        <v>4.8</v>
      </c>
      <c r="R699" s="22">
        <v>20</v>
      </c>
      <c r="S699" s="23">
        <f>(Table13[[#This Row],[Unit Price]]*Table13[[#This Row],[No.of Units]])*18%</f>
        <v>75598.92</v>
      </c>
      <c r="T699" s="22" t="s">
        <v>1508</v>
      </c>
    </row>
    <row r="700" spans="2:20" x14ac:dyDescent="0.3">
      <c r="B700" s="5" t="s">
        <v>673</v>
      </c>
      <c r="C700" s="1">
        <v>6885401</v>
      </c>
      <c r="D700" s="1">
        <v>35</v>
      </c>
      <c r="E700" s="1" t="s">
        <v>12</v>
      </c>
      <c r="F700" s="16">
        <v>45826</v>
      </c>
      <c r="G700" s="1" t="s">
        <v>1470</v>
      </c>
      <c r="H700" s="1" t="s">
        <v>1471</v>
      </c>
      <c r="I700" s="17" t="s">
        <v>1503</v>
      </c>
      <c r="J700" s="18" t="s">
        <v>28</v>
      </c>
      <c r="K700" s="19" t="s">
        <v>26</v>
      </c>
      <c r="L700" s="19" t="s">
        <v>15</v>
      </c>
      <c r="M700" s="20">
        <v>7</v>
      </c>
      <c r="N700" s="21">
        <v>42999</v>
      </c>
      <c r="O700" s="22">
        <v>15</v>
      </c>
      <c r="P700" s="23">
        <v>255844.05</v>
      </c>
      <c r="Q700" s="22">
        <v>4.5999999999999996</v>
      </c>
      <c r="R700" s="22">
        <v>20</v>
      </c>
      <c r="S700" s="23">
        <f>(Table13[[#This Row],[Unit Price]]*Table13[[#This Row],[No.of Units]])*18%</f>
        <v>54178.74</v>
      </c>
      <c r="T700" s="22" t="s">
        <v>1508</v>
      </c>
    </row>
    <row r="701" spans="2:20" x14ac:dyDescent="0.3">
      <c r="B701" s="5" t="s">
        <v>673</v>
      </c>
      <c r="C701" s="1">
        <v>6885401</v>
      </c>
      <c r="D701" s="1">
        <v>61</v>
      </c>
      <c r="E701" s="1" t="s">
        <v>20</v>
      </c>
      <c r="F701" s="16">
        <v>45826</v>
      </c>
      <c r="G701" s="1" t="s">
        <v>1470</v>
      </c>
      <c r="H701" s="1" t="s">
        <v>1471</v>
      </c>
      <c r="I701" s="17" t="s">
        <v>1502</v>
      </c>
      <c r="J701" s="18" t="s">
        <v>13</v>
      </c>
      <c r="K701" s="19" t="s">
        <v>14</v>
      </c>
      <c r="L701" s="19" t="s">
        <v>29</v>
      </c>
      <c r="M701" s="20">
        <v>3</v>
      </c>
      <c r="N701" s="21">
        <v>99999</v>
      </c>
      <c r="O701" s="22">
        <v>10</v>
      </c>
      <c r="P701" s="23">
        <v>269997.3</v>
      </c>
      <c r="Q701" s="22">
        <v>4.7</v>
      </c>
      <c r="R701" s="22">
        <v>20</v>
      </c>
      <c r="S701" s="23">
        <f>(Table13[[#This Row],[Unit Price]]*Table13[[#This Row],[No.of Units]])*18%</f>
        <v>53999.46</v>
      </c>
      <c r="T701" s="22" t="s">
        <v>1508</v>
      </c>
    </row>
    <row r="702" spans="2:20" x14ac:dyDescent="0.3">
      <c r="B702" s="5" t="s">
        <v>674</v>
      </c>
      <c r="C702" s="1">
        <v>4554912</v>
      </c>
      <c r="D702" s="1">
        <v>23</v>
      </c>
      <c r="E702" s="1" t="s">
        <v>12</v>
      </c>
      <c r="F702" s="16">
        <v>45826</v>
      </c>
      <c r="G702" s="1" t="s">
        <v>1470</v>
      </c>
      <c r="H702" s="1" t="s">
        <v>1472</v>
      </c>
      <c r="I702" s="17" t="s">
        <v>1503</v>
      </c>
      <c r="J702" s="18" t="s">
        <v>17</v>
      </c>
      <c r="K702" s="19" t="s">
        <v>18</v>
      </c>
      <c r="L702" s="19" t="s">
        <v>29</v>
      </c>
      <c r="M702" s="20">
        <v>35</v>
      </c>
      <c r="N702" s="21">
        <v>4999</v>
      </c>
      <c r="O702" s="22">
        <v>18</v>
      </c>
      <c r="P702" s="23">
        <v>143471.29999999999</v>
      </c>
      <c r="Q702" s="22">
        <v>4.4000000000000004</v>
      </c>
      <c r="R702" s="22">
        <v>20</v>
      </c>
      <c r="S702" s="23">
        <f>(Table13[[#This Row],[Unit Price]]*Table13[[#This Row],[No.of Units]])*18%</f>
        <v>31493.699999999997</v>
      </c>
      <c r="T702" s="22" t="s">
        <v>1508</v>
      </c>
    </row>
    <row r="703" spans="2:20" x14ac:dyDescent="0.3">
      <c r="B703" s="5" t="s">
        <v>675</v>
      </c>
      <c r="C703" s="1">
        <v>4700451</v>
      </c>
      <c r="D703" s="1">
        <v>43</v>
      </c>
      <c r="E703" s="1" t="s">
        <v>12</v>
      </c>
      <c r="F703" s="16">
        <v>45826</v>
      </c>
      <c r="G703" s="1" t="s">
        <v>1470</v>
      </c>
      <c r="H703" s="1" t="s">
        <v>1481</v>
      </c>
      <c r="I703" s="17" t="s">
        <v>1504</v>
      </c>
      <c r="J703" s="18" t="s">
        <v>21</v>
      </c>
      <c r="K703" s="19" t="s">
        <v>18</v>
      </c>
      <c r="L703" s="19" t="s">
        <v>29</v>
      </c>
      <c r="M703" s="20">
        <v>9</v>
      </c>
      <c r="N703" s="21">
        <v>24900</v>
      </c>
      <c r="O703" s="22">
        <v>5</v>
      </c>
      <c r="P703" s="23">
        <v>212895</v>
      </c>
      <c r="Q703" s="22">
        <v>4.8</v>
      </c>
      <c r="R703" s="22">
        <v>20</v>
      </c>
      <c r="S703" s="23">
        <f>(Table13[[#This Row],[Unit Price]]*Table13[[#This Row],[No.of Units]])*18%</f>
        <v>40338</v>
      </c>
      <c r="T703" s="22" t="s">
        <v>1508</v>
      </c>
    </row>
    <row r="704" spans="2:20" x14ac:dyDescent="0.3">
      <c r="B704" s="5" t="s">
        <v>676</v>
      </c>
      <c r="C704" s="1">
        <v>9857388</v>
      </c>
      <c r="D704" s="1">
        <v>21</v>
      </c>
      <c r="E704" s="1" t="s">
        <v>12</v>
      </c>
      <c r="F704" s="16">
        <v>45826</v>
      </c>
      <c r="G704" s="1" t="s">
        <v>1470</v>
      </c>
      <c r="H704" s="1" t="s">
        <v>1483</v>
      </c>
      <c r="I704" s="17" t="s">
        <v>1505</v>
      </c>
      <c r="J704" s="18" t="s">
        <v>23</v>
      </c>
      <c r="K704" s="19" t="s">
        <v>14</v>
      </c>
      <c r="L704" s="19" t="s">
        <v>29</v>
      </c>
      <c r="M704" s="20">
        <v>6</v>
      </c>
      <c r="N704" s="21">
        <v>84999</v>
      </c>
      <c r="O704" s="22">
        <v>12</v>
      </c>
      <c r="P704" s="23">
        <v>448794.72</v>
      </c>
      <c r="Q704" s="22">
        <v>4.5</v>
      </c>
      <c r="R704" s="22">
        <v>20</v>
      </c>
      <c r="S704" s="23">
        <f>(Table13[[#This Row],[Unit Price]]*Table13[[#This Row],[No.of Units]])*18%</f>
        <v>91798.92</v>
      </c>
      <c r="T704" s="22" t="s">
        <v>1507</v>
      </c>
    </row>
    <row r="705" spans="2:20" x14ac:dyDescent="0.3">
      <c r="B705" s="5" t="s">
        <v>677</v>
      </c>
      <c r="C705" s="1">
        <v>663102</v>
      </c>
      <c r="D705" s="1">
        <v>70</v>
      </c>
      <c r="E705" s="1" t="s">
        <v>20</v>
      </c>
      <c r="F705" s="16">
        <v>45826</v>
      </c>
      <c r="G705" s="1" t="s">
        <v>1470</v>
      </c>
      <c r="H705" s="1" t="s">
        <v>1472</v>
      </c>
      <c r="I705" s="17" t="s">
        <v>1504</v>
      </c>
      <c r="J705" s="18" t="s">
        <v>25</v>
      </c>
      <c r="K705" s="19" t="s">
        <v>26</v>
      </c>
      <c r="L705" s="19" t="s">
        <v>29</v>
      </c>
      <c r="M705" s="20">
        <v>3</v>
      </c>
      <c r="N705" s="21">
        <v>69999</v>
      </c>
      <c r="O705" s="22">
        <v>8</v>
      </c>
      <c r="P705" s="23">
        <v>193197.24</v>
      </c>
      <c r="Q705" s="22">
        <v>4.8</v>
      </c>
      <c r="R705" s="22">
        <v>20</v>
      </c>
      <c r="S705" s="23">
        <f>(Table13[[#This Row],[Unit Price]]*Table13[[#This Row],[No.of Units]])*18%</f>
        <v>37799.46</v>
      </c>
      <c r="T705" s="22" t="s">
        <v>1507</v>
      </c>
    </row>
    <row r="706" spans="2:20" x14ac:dyDescent="0.3">
      <c r="B706" s="5" t="s">
        <v>678</v>
      </c>
      <c r="C706" s="1">
        <v>5836547</v>
      </c>
      <c r="D706" s="1">
        <v>28</v>
      </c>
      <c r="E706" s="1" t="s">
        <v>12</v>
      </c>
      <c r="F706" s="16">
        <v>45826</v>
      </c>
      <c r="G706" s="1" t="s">
        <v>1470</v>
      </c>
      <c r="H706" s="1" t="s">
        <v>1471</v>
      </c>
      <c r="I706" s="17" t="s">
        <v>1503</v>
      </c>
      <c r="J706" s="18" t="s">
        <v>28</v>
      </c>
      <c r="K706" s="19" t="s">
        <v>26</v>
      </c>
      <c r="L706" s="19" t="s">
        <v>29</v>
      </c>
      <c r="M706" s="20">
        <v>5</v>
      </c>
      <c r="N706" s="21">
        <v>42999</v>
      </c>
      <c r="O706" s="22">
        <v>15</v>
      </c>
      <c r="P706" s="23">
        <v>182745.75</v>
      </c>
      <c r="Q706" s="22">
        <v>4.5999999999999996</v>
      </c>
      <c r="R706" s="22">
        <v>20</v>
      </c>
      <c r="S706" s="23">
        <f>(Table13[[#This Row],[Unit Price]]*Table13[[#This Row],[No.of Units]])*18%</f>
        <v>38699.1</v>
      </c>
      <c r="T706" s="22" t="s">
        <v>1508</v>
      </c>
    </row>
    <row r="707" spans="2:20" x14ac:dyDescent="0.3">
      <c r="B707" s="5" t="s">
        <v>679</v>
      </c>
      <c r="C707" s="1">
        <v>289403</v>
      </c>
      <c r="D707" s="1">
        <v>47</v>
      </c>
      <c r="E707" s="1" t="s">
        <v>12</v>
      </c>
      <c r="F707" s="16">
        <v>45826</v>
      </c>
      <c r="G707" s="1" t="s">
        <v>1470</v>
      </c>
      <c r="H707" s="1" t="s">
        <v>1471</v>
      </c>
      <c r="I707" s="17" t="s">
        <v>1502</v>
      </c>
      <c r="J707" s="18" t="s">
        <v>13</v>
      </c>
      <c r="K707" s="19" t="s">
        <v>14</v>
      </c>
      <c r="L707" s="19" t="s">
        <v>35</v>
      </c>
      <c r="M707" s="20">
        <v>4</v>
      </c>
      <c r="N707" s="21">
        <v>99999</v>
      </c>
      <c r="O707" s="22">
        <v>10</v>
      </c>
      <c r="P707" s="23">
        <v>359996.4</v>
      </c>
      <c r="Q707" s="22">
        <v>4.7</v>
      </c>
      <c r="R707" s="22">
        <v>20</v>
      </c>
      <c r="S707" s="23">
        <f>(Table13[[#This Row],[Unit Price]]*Table13[[#This Row],[No.of Units]])*18%</f>
        <v>71999.28</v>
      </c>
      <c r="T707" s="22" t="s">
        <v>1507</v>
      </c>
    </row>
    <row r="708" spans="2:20" x14ac:dyDescent="0.3">
      <c r="B708" s="5" t="s">
        <v>680</v>
      </c>
      <c r="C708" s="1">
        <v>3997749</v>
      </c>
      <c r="D708" s="1">
        <v>43</v>
      </c>
      <c r="E708" s="1" t="s">
        <v>12</v>
      </c>
      <c r="F708" s="16">
        <v>45826</v>
      </c>
      <c r="G708" s="1" t="s">
        <v>1470</v>
      </c>
      <c r="H708" s="1" t="s">
        <v>1472</v>
      </c>
      <c r="I708" s="17" t="s">
        <v>1503</v>
      </c>
      <c r="J708" s="18" t="s">
        <v>17</v>
      </c>
      <c r="K708" s="19" t="s">
        <v>18</v>
      </c>
      <c r="L708" s="19" t="s">
        <v>35</v>
      </c>
      <c r="M708" s="20">
        <v>51</v>
      </c>
      <c r="N708" s="21">
        <v>4999</v>
      </c>
      <c r="O708" s="22">
        <v>18</v>
      </c>
      <c r="P708" s="23">
        <v>209058.18</v>
      </c>
      <c r="Q708" s="22">
        <v>4.4000000000000004</v>
      </c>
      <c r="R708" s="22">
        <v>20</v>
      </c>
      <c r="S708" s="23">
        <f>(Table13[[#This Row],[Unit Price]]*Table13[[#This Row],[No.of Units]])*18%</f>
        <v>45890.82</v>
      </c>
      <c r="T708" s="22" t="s">
        <v>1508</v>
      </c>
    </row>
    <row r="709" spans="2:20" x14ac:dyDescent="0.3">
      <c r="B709" s="5" t="s">
        <v>681</v>
      </c>
      <c r="C709" s="1">
        <v>3035696</v>
      </c>
      <c r="D709" s="1">
        <v>22</v>
      </c>
      <c r="E709" s="1" t="s">
        <v>12</v>
      </c>
      <c r="F709" s="16">
        <v>45826</v>
      </c>
      <c r="G709" s="1" t="s">
        <v>1470</v>
      </c>
      <c r="H709" s="1" t="s">
        <v>1482</v>
      </c>
      <c r="I709" s="17" t="s">
        <v>1504</v>
      </c>
      <c r="J709" s="18" t="s">
        <v>21</v>
      </c>
      <c r="K709" s="19" t="s">
        <v>18</v>
      </c>
      <c r="L709" s="19" t="s">
        <v>35</v>
      </c>
      <c r="M709" s="20">
        <v>10</v>
      </c>
      <c r="N709" s="21">
        <v>24900</v>
      </c>
      <c r="O709" s="22">
        <v>5</v>
      </c>
      <c r="P709" s="23">
        <v>236550</v>
      </c>
      <c r="Q709" s="22">
        <v>4.8</v>
      </c>
      <c r="R709" s="22">
        <v>20</v>
      </c>
      <c r="S709" s="23">
        <f>(Table13[[#This Row],[Unit Price]]*Table13[[#This Row],[No.of Units]])*18%</f>
        <v>44820</v>
      </c>
      <c r="T709" s="22" t="s">
        <v>1508</v>
      </c>
    </row>
    <row r="710" spans="2:20" x14ac:dyDescent="0.3">
      <c r="B710" s="5" t="s">
        <v>682</v>
      </c>
      <c r="C710" s="1">
        <v>3958289</v>
      </c>
      <c r="D710" s="1">
        <v>73</v>
      </c>
      <c r="E710" s="1" t="s">
        <v>20</v>
      </c>
      <c r="F710" s="16">
        <v>45826</v>
      </c>
      <c r="G710" s="1" t="s">
        <v>1470</v>
      </c>
      <c r="H710" s="1" t="s">
        <v>1482</v>
      </c>
      <c r="I710" s="17" t="s">
        <v>1505</v>
      </c>
      <c r="J710" s="18" t="s">
        <v>23</v>
      </c>
      <c r="K710" s="19" t="s">
        <v>14</v>
      </c>
      <c r="L710" s="19" t="s">
        <v>35</v>
      </c>
      <c r="M710" s="20">
        <v>6</v>
      </c>
      <c r="N710" s="21">
        <v>84999</v>
      </c>
      <c r="O710" s="22">
        <v>12</v>
      </c>
      <c r="P710" s="23">
        <v>448794.72</v>
      </c>
      <c r="Q710" s="22">
        <v>4.5</v>
      </c>
      <c r="R710" s="22">
        <v>20</v>
      </c>
      <c r="S710" s="23">
        <f>(Table13[[#This Row],[Unit Price]]*Table13[[#This Row],[No.of Units]])*18%</f>
        <v>91798.92</v>
      </c>
      <c r="T710" s="22" t="s">
        <v>1507</v>
      </c>
    </row>
    <row r="711" spans="2:20" x14ac:dyDescent="0.3">
      <c r="B711" s="5" t="s">
        <v>683</v>
      </c>
      <c r="C711" s="1">
        <v>9939687</v>
      </c>
      <c r="D711" s="1">
        <v>25</v>
      </c>
      <c r="E711" s="1" t="s">
        <v>12</v>
      </c>
      <c r="F711" s="16">
        <v>45826</v>
      </c>
      <c r="G711" s="1" t="s">
        <v>1470</v>
      </c>
      <c r="H711" s="1" t="s">
        <v>1482</v>
      </c>
      <c r="I711" s="17" t="s">
        <v>1504</v>
      </c>
      <c r="J711" s="18" t="s">
        <v>25</v>
      </c>
      <c r="K711" s="19" t="s">
        <v>26</v>
      </c>
      <c r="L711" s="19" t="s">
        <v>35</v>
      </c>
      <c r="M711" s="20">
        <v>4</v>
      </c>
      <c r="N711" s="21">
        <v>69999</v>
      </c>
      <c r="O711" s="22">
        <v>8</v>
      </c>
      <c r="P711" s="23">
        <v>257596.32</v>
      </c>
      <c r="Q711" s="22">
        <v>4.8</v>
      </c>
      <c r="R711" s="22">
        <v>20</v>
      </c>
      <c r="S711" s="23">
        <f>(Table13[[#This Row],[Unit Price]]*Table13[[#This Row],[No.of Units]])*18%</f>
        <v>50399.28</v>
      </c>
      <c r="T711" s="22" t="s">
        <v>1508</v>
      </c>
    </row>
    <row r="712" spans="2:20" x14ac:dyDescent="0.3">
      <c r="B712" s="5" t="s">
        <v>684</v>
      </c>
      <c r="C712" s="1">
        <v>742597</v>
      </c>
      <c r="D712" s="1">
        <v>35</v>
      </c>
      <c r="E712" s="1" t="s">
        <v>12</v>
      </c>
      <c r="F712" s="16">
        <v>45826</v>
      </c>
      <c r="G712" s="1" t="s">
        <v>1470</v>
      </c>
      <c r="H712" s="1" t="s">
        <v>1472</v>
      </c>
      <c r="I712" s="17" t="s">
        <v>1503</v>
      </c>
      <c r="J712" s="18" t="s">
        <v>28</v>
      </c>
      <c r="K712" s="19" t="s">
        <v>26</v>
      </c>
      <c r="L712" s="19" t="s">
        <v>35</v>
      </c>
      <c r="M712" s="20">
        <v>6</v>
      </c>
      <c r="N712" s="21">
        <v>42999</v>
      </c>
      <c r="O712" s="22">
        <v>15</v>
      </c>
      <c r="P712" s="23">
        <v>219294.9</v>
      </c>
      <c r="Q712" s="22">
        <v>4.5999999999999996</v>
      </c>
      <c r="R712" s="22">
        <v>20</v>
      </c>
      <c r="S712" s="23">
        <f>(Table13[[#This Row],[Unit Price]]*Table13[[#This Row],[No.of Units]])*18%</f>
        <v>46438.92</v>
      </c>
      <c r="T712" s="22" t="s">
        <v>1507</v>
      </c>
    </row>
    <row r="713" spans="2:20" x14ac:dyDescent="0.3">
      <c r="B713" s="5" t="s">
        <v>685</v>
      </c>
      <c r="C713" s="1">
        <v>7435000</v>
      </c>
      <c r="D713" s="1">
        <v>47</v>
      </c>
      <c r="E713" s="1" t="s">
        <v>12</v>
      </c>
      <c r="F713" s="16">
        <v>45826</v>
      </c>
      <c r="G713" s="1" t="s">
        <v>1470</v>
      </c>
      <c r="H713" s="1" t="s">
        <v>1472</v>
      </c>
      <c r="I713" s="17" t="s">
        <v>1502</v>
      </c>
      <c r="J713" s="18" t="s">
        <v>13</v>
      </c>
      <c r="K713" s="19" t="s">
        <v>14</v>
      </c>
      <c r="L713" s="19" t="s">
        <v>42</v>
      </c>
      <c r="M713" s="20">
        <v>4</v>
      </c>
      <c r="N713" s="21">
        <v>99999</v>
      </c>
      <c r="O713" s="22">
        <v>10</v>
      </c>
      <c r="P713" s="23">
        <v>359996.4</v>
      </c>
      <c r="Q713" s="22">
        <v>4.7</v>
      </c>
      <c r="R713" s="22">
        <v>20</v>
      </c>
      <c r="S713" s="23">
        <f>(Table13[[#This Row],[Unit Price]]*Table13[[#This Row],[No.of Units]])*18%</f>
        <v>71999.28</v>
      </c>
      <c r="T713" s="22" t="s">
        <v>1507</v>
      </c>
    </row>
    <row r="714" spans="2:20" x14ac:dyDescent="0.3">
      <c r="B714" s="5" t="s">
        <v>686</v>
      </c>
      <c r="C714" s="1">
        <v>9495841</v>
      </c>
      <c r="D714" s="1">
        <v>62</v>
      </c>
      <c r="E714" s="1" t="s">
        <v>20</v>
      </c>
      <c r="F714" s="16">
        <v>45826</v>
      </c>
      <c r="G714" s="1" t="s">
        <v>1470</v>
      </c>
      <c r="H714" s="1" t="s">
        <v>1472</v>
      </c>
      <c r="I714" s="17" t="s">
        <v>1503</v>
      </c>
      <c r="J714" s="18" t="s">
        <v>17</v>
      </c>
      <c r="K714" s="19" t="s">
        <v>18</v>
      </c>
      <c r="L714" s="19" t="s">
        <v>42</v>
      </c>
      <c r="M714" s="20">
        <v>43</v>
      </c>
      <c r="N714" s="21">
        <v>4999</v>
      </c>
      <c r="O714" s="22">
        <v>18</v>
      </c>
      <c r="P714" s="23">
        <v>176264.74</v>
      </c>
      <c r="Q714" s="22">
        <v>4.4000000000000004</v>
      </c>
      <c r="R714" s="22">
        <v>20</v>
      </c>
      <c r="S714" s="23">
        <f>(Table13[[#This Row],[Unit Price]]*Table13[[#This Row],[No.of Units]])*18%</f>
        <v>38692.26</v>
      </c>
      <c r="T714" s="22" t="s">
        <v>1508</v>
      </c>
    </row>
    <row r="715" spans="2:20" x14ac:dyDescent="0.3">
      <c r="B715" s="5" t="s">
        <v>687</v>
      </c>
      <c r="C715" s="1">
        <v>9612837</v>
      </c>
      <c r="D715" s="1">
        <v>55</v>
      </c>
      <c r="E715" s="1" t="s">
        <v>20</v>
      </c>
      <c r="F715" s="16">
        <v>45826</v>
      </c>
      <c r="G715" s="1" t="s">
        <v>1470</v>
      </c>
      <c r="H715" s="1" t="s">
        <v>1471</v>
      </c>
      <c r="I715" s="17" t="s">
        <v>1504</v>
      </c>
      <c r="J715" s="18" t="s">
        <v>21</v>
      </c>
      <c r="K715" s="19" t="s">
        <v>18</v>
      </c>
      <c r="L715" s="19" t="s">
        <v>42</v>
      </c>
      <c r="M715" s="20">
        <v>9</v>
      </c>
      <c r="N715" s="21">
        <v>24900</v>
      </c>
      <c r="O715" s="22">
        <v>5</v>
      </c>
      <c r="P715" s="23">
        <v>212895</v>
      </c>
      <c r="Q715" s="22">
        <v>4.8</v>
      </c>
      <c r="R715" s="22">
        <v>20</v>
      </c>
      <c r="S715" s="23">
        <f>(Table13[[#This Row],[Unit Price]]*Table13[[#This Row],[No.of Units]])*18%</f>
        <v>40338</v>
      </c>
      <c r="T715" s="22" t="s">
        <v>1508</v>
      </c>
    </row>
    <row r="716" spans="2:20" x14ac:dyDescent="0.3">
      <c r="B716" s="5" t="s">
        <v>687</v>
      </c>
      <c r="C716" s="1">
        <v>9612837</v>
      </c>
      <c r="D716" s="1">
        <v>31</v>
      </c>
      <c r="E716" s="1" t="s">
        <v>12</v>
      </c>
      <c r="F716" s="16">
        <v>45826</v>
      </c>
      <c r="G716" s="1" t="s">
        <v>1470</v>
      </c>
      <c r="H716" s="1" t="s">
        <v>1483</v>
      </c>
      <c r="I716" s="17" t="s">
        <v>1505</v>
      </c>
      <c r="J716" s="18" t="s">
        <v>23</v>
      </c>
      <c r="K716" s="19" t="s">
        <v>14</v>
      </c>
      <c r="L716" s="19" t="s">
        <v>42</v>
      </c>
      <c r="M716" s="20">
        <v>6</v>
      </c>
      <c r="N716" s="21">
        <v>84999</v>
      </c>
      <c r="O716" s="22">
        <v>12</v>
      </c>
      <c r="P716" s="23">
        <v>448794.72</v>
      </c>
      <c r="Q716" s="22">
        <v>4.5</v>
      </c>
      <c r="R716" s="22">
        <v>20</v>
      </c>
      <c r="S716" s="23">
        <f>(Table13[[#This Row],[Unit Price]]*Table13[[#This Row],[No.of Units]])*18%</f>
        <v>91798.92</v>
      </c>
      <c r="T716" s="22" t="s">
        <v>1507</v>
      </c>
    </row>
    <row r="717" spans="2:20" x14ac:dyDescent="0.3">
      <c r="B717" s="5" t="s">
        <v>688</v>
      </c>
      <c r="C717" s="1">
        <v>2001002</v>
      </c>
      <c r="D717" s="1">
        <v>48</v>
      </c>
      <c r="E717" s="1" t="s">
        <v>12</v>
      </c>
      <c r="F717" s="16">
        <v>45826</v>
      </c>
      <c r="G717" s="1" t="s">
        <v>1470</v>
      </c>
      <c r="H717" s="1" t="s">
        <v>1481</v>
      </c>
      <c r="I717" s="17" t="s">
        <v>1504</v>
      </c>
      <c r="J717" s="18" t="s">
        <v>25</v>
      </c>
      <c r="K717" s="19" t="s">
        <v>26</v>
      </c>
      <c r="L717" s="19" t="s">
        <v>42</v>
      </c>
      <c r="M717" s="20">
        <v>6</v>
      </c>
      <c r="N717" s="21">
        <v>69999</v>
      </c>
      <c r="O717" s="22">
        <v>8</v>
      </c>
      <c r="P717" s="23">
        <v>386394.48</v>
      </c>
      <c r="Q717" s="22">
        <v>4.8</v>
      </c>
      <c r="R717" s="22">
        <v>20</v>
      </c>
      <c r="S717" s="23">
        <f>(Table13[[#This Row],[Unit Price]]*Table13[[#This Row],[No.of Units]])*18%</f>
        <v>75598.92</v>
      </c>
      <c r="T717" s="22" t="s">
        <v>1507</v>
      </c>
    </row>
    <row r="718" spans="2:20" x14ac:dyDescent="0.3">
      <c r="B718" s="5" t="s">
        <v>689</v>
      </c>
      <c r="C718" s="1">
        <v>9992014</v>
      </c>
      <c r="D718" s="1">
        <v>52</v>
      </c>
      <c r="E718" s="1" t="s">
        <v>20</v>
      </c>
      <c r="F718" s="16">
        <v>45826</v>
      </c>
      <c r="G718" s="1" t="s">
        <v>1470</v>
      </c>
      <c r="H718" s="1" t="s">
        <v>1480</v>
      </c>
      <c r="I718" s="17" t="s">
        <v>1503</v>
      </c>
      <c r="J718" s="18" t="s">
        <v>28</v>
      </c>
      <c r="K718" s="19" t="s">
        <v>26</v>
      </c>
      <c r="L718" s="19" t="s">
        <v>42</v>
      </c>
      <c r="M718" s="20">
        <v>10</v>
      </c>
      <c r="N718" s="21">
        <v>42999</v>
      </c>
      <c r="O718" s="22">
        <v>15</v>
      </c>
      <c r="P718" s="23">
        <v>365491.5</v>
      </c>
      <c r="Q718" s="22">
        <v>4.5999999999999996</v>
      </c>
      <c r="R718" s="22">
        <v>20</v>
      </c>
      <c r="S718" s="23">
        <f>(Table13[[#This Row],[Unit Price]]*Table13[[#This Row],[No.of Units]])*18%</f>
        <v>77398.2</v>
      </c>
      <c r="T718" s="22" t="s">
        <v>1508</v>
      </c>
    </row>
    <row r="719" spans="2:20" x14ac:dyDescent="0.3">
      <c r="B719" s="5" t="s">
        <v>690</v>
      </c>
      <c r="C719" s="1">
        <v>2298965</v>
      </c>
      <c r="D719" s="1">
        <v>42</v>
      </c>
      <c r="E719" s="1" t="s">
        <v>12</v>
      </c>
      <c r="F719" s="16">
        <v>45826</v>
      </c>
      <c r="G719" s="1" t="s">
        <v>1470</v>
      </c>
      <c r="H719" s="1" t="s">
        <v>1471</v>
      </c>
      <c r="I719" s="17" t="s">
        <v>1502</v>
      </c>
      <c r="J719" s="18" t="s">
        <v>13</v>
      </c>
      <c r="K719" s="19" t="s">
        <v>14</v>
      </c>
      <c r="L719" s="19" t="s">
        <v>49</v>
      </c>
      <c r="M719" s="20">
        <v>3</v>
      </c>
      <c r="N719" s="21">
        <v>99999</v>
      </c>
      <c r="O719" s="22">
        <v>10</v>
      </c>
      <c r="P719" s="23">
        <v>269997.3</v>
      </c>
      <c r="Q719" s="22">
        <v>4.7</v>
      </c>
      <c r="R719" s="22">
        <v>20</v>
      </c>
      <c r="S719" s="23">
        <f>(Table13[[#This Row],[Unit Price]]*Table13[[#This Row],[No.of Units]])*18%</f>
        <v>53999.46</v>
      </c>
      <c r="T719" s="22" t="s">
        <v>1508</v>
      </c>
    </row>
    <row r="720" spans="2:20" x14ac:dyDescent="0.3">
      <c r="B720" s="5" t="s">
        <v>691</v>
      </c>
      <c r="C720" s="1">
        <v>6229533</v>
      </c>
      <c r="D720" s="1">
        <v>26</v>
      </c>
      <c r="E720" s="1" t="s">
        <v>12</v>
      </c>
      <c r="F720" s="16">
        <v>45826</v>
      </c>
      <c r="G720" s="1" t="s">
        <v>1470</v>
      </c>
      <c r="H720" s="1" t="s">
        <v>1472</v>
      </c>
      <c r="I720" s="17" t="s">
        <v>1503</v>
      </c>
      <c r="J720" s="18" t="s">
        <v>17</v>
      </c>
      <c r="K720" s="19" t="s">
        <v>18</v>
      </c>
      <c r="L720" s="19" t="s">
        <v>49</v>
      </c>
      <c r="M720" s="20">
        <v>51</v>
      </c>
      <c r="N720" s="21">
        <v>4999</v>
      </c>
      <c r="O720" s="22">
        <v>18</v>
      </c>
      <c r="P720" s="23">
        <v>209058.18</v>
      </c>
      <c r="Q720" s="22">
        <v>4.4000000000000004</v>
      </c>
      <c r="R720" s="22">
        <v>20</v>
      </c>
      <c r="S720" s="23">
        <f>(Table13[[#This Row],[Unit Price]]*Table13[[#This Row],[No.of Units]])*18%</f>
        <v>45890.82</v>
      </c>
      <c r="T720" s="22" t="s">
        <v>1508</v>
      </c>
    </row>
    <row r="721" spans="2:20" x14ac:dyDescent="0.3">
      <c r="B721" s="5" t="s">
        <v>692</v>
      </c>
      <c r="C721" s="1">
        <v>9396326</v>
      </c>
      <c r="D721" s="1">
        <v>18</v>
      </c>
      <c r="E721" s="1" t="s">
        <v>34</v>
      </c>
      <c r="F721" s="16">
        <v>45826</v>
      </c>
      <c r="G721" s="1" t="s">
        <v>1470</v>
      </c>
      <c r="H721" s="1" t="s">
        <v>1482</v>
      </c>
      <c r="I721" s="17" t="s">
        <v>1504</v>
      </c>
      <c r="J721" s="18" t="s">
        <v>21</v>
      </c>
      <c r="K721" s="19" t="s">
        <v>18</v>
      </c>
      <c r="L721" s="19" t="s">
        <v>49</v>
      </c>
      <c r="M721" s="20">
        <v>8</v>
      </c>
      <c r="N721" s="21">
        <v>24900</v>
      </c>
      <c r="O721" s="22">
        <v>5</v>
      </c>
      <c r="P721" s="23">
        <v>189240</v>
      </c>
      <c r="Q721" s="22">
        <v>4.8</v>
      </c>
      <c r="R721" s="22">
        <v>20</v>
      </c>
      <c r="S721" s="23">
        <f>(Table13[[#This Row],[Unit Price]]*Table13[[#This Row],[No.of Units]])*18%</f>
        <v>35856</v>
      </c>
      <c r="T721" s="22" t="s">
        <v>1508</v>
      </c>
    </row>
    <row r="722" spans="2:20" x14ac:dyDescent="0.3">
      <c r="B722" s="5" t="s">
        <v>693</v>
      </c>
      <c r="C722" s="1">
        <v>9923260</v>
      </c>
      <c r="D722" s="1">
        <v>56</v>
      </c>
      <c r="E722" s="1" t="s">
        <v>20</v>
      </c>
      <c r="F722" s="16">
        <v>45826</v>
      </c>
      <c r="G722" s="1" t="s">
        <v>1473</v>
      </c>
      <c r="H722" s="1" t="s">
        <v>1482</v>
      </c>
      <c r="I722" s="17" t="s">
        <v>1505</v>
      </c>
      <c r="J722" s="18" t="s">
        <v>23</v>
      </c>
      <c r="K722" s="19" t="s">
        <v>14</v>
      </c>
      <c r="L722" s="19" t="s">
        <v>49</v>
      </c>
      <c r="M722" s="20">
        <v>2</v>
      </c>
      <c r="N722" s="21">
        <v>84999</v>
      </c>
      <c r="O722" s="22">
        <v>12</v>
      </c>
      <c r="P722" s="23">
        <v>149598.24</v>
      </c>
      <c r="Q722" s="22">
        <v>4.5</v>
      </c>
      <c r="R722" s="22">
        <v>20</v>
      </c>
      <c r="S722" s="23">
        <f>(Table13[[#This Row],[Unit Price]]*Table13[[#This Row],[No.of Units]])*18%</f>
        <v>30599.64</v>
      </c>
      <c r="T722" s="22" t="s">
        <v>1507</v>
      </c>
    </row>
    <row r="723" spans="2:20" x14ac:dyDescent="0.3">
      <c r="B723" s="5" t="s">
        <v>694</v>
      </c>
      <c r="C723" s="1">
        <v>3220216</v>
      </c>
      <c r="D723" s="1">
        <v>74</v>
      </c>
      <c r="E723" s="1" t="s">
        <v>20</v>
      </c>
      <c r="F723" s="16">
        <v>45826</v>
      </c>
      <c r="G723" s="1" t="s">
        <v>1470</v>
      </c>
      <c r="H723" s="1" t="s">
        <v>1472</v>
      </c>
      <c r="I723" s="17" t="s">
        <v>1504</v>
      </c>
      <c r="J723" s="18" t="s">
        <v>25</v>
      </c>
      <c r="K723" s="19" t="s">
        <v>26</v>
      </c>
      <c r="L723" s="19" t="s">
        <v>49</v>
      </c>
      <c r="M723" s="20">
        <v>4</v>
      </c>
      <c r="N723" s="21">
        <v>69999</v>
      </c>
      <c r="O723" s="22">
        <v>8</v>
      </c>
      <c r="P723" s="23">
        <v>257596.32</v>
      </c>
      <c r="Q723" s="22">
        <v>4.8</v>
      </c>
      <c r="R723" s="22">
        <v>20</v>
      </c>
      <c r="S723" s="23">
        <f>(Table13[[#This Row],[Unit Price]]*Table13[[#This Row],[No.of Units]])*18%</f>
        <v>50399.28</v>
      </c>
      <c r="T723" s="22" t="s">
        <v>1508</v>
      </c>
    </row>
    <row r="724" spans="2:20" x14ac:dyDescent="0.3">
      <c r="B724" s="5" t="s">
        <v>695</v>
      </c>
      <c r="C724" s="1">
        <v>9096009</v>
      </c>
      <c r="D724" s="1">
        <v>37</v>
      </c>
      <c r="E724" s="1" t="s">
        <v>12</v>
      </c>
      <c r="F724" s="16">
        <v>45826</v>
      </c>
      <c r="G724" s="1" t="s">
        <v>1475</v>
      </c>
      <c r="H724" s="1" t="s">
        <v>1472</v>
      </c>
      <c r="I724" s="17" t="s">
        <v>1503</v>
      </c>
      <c r="J724" s="18" t="s">
        <v>28</v>
      </c>
      <c r="K724" s="19" t="s">
        <v>26</v>
      </c>
      <c r="L724" s="19" t="s">
        <v>49</v>
      </c>
      <c r="M724" s="20">
        <v>9</v>
      </c>
      <c r="N724" s="21">
        <v>42999</v>
      </c>
      <c r="O724" s="22">
        <v>15</v>
      </c>
      <c r="P724" s="23">
        <v>328942.34999999998</v>
      </c>
      <c r="Q724" s="22">
        <v>4.5999999999999996</v>
      </c>
      <c r="R724" s="22">
        <v>20</v>
      </c>
      <c r="S724" s="23">
        <f>(Table13[[#This Row],[Unit Price]]*Table13[[#This Row],[No.of Units]])*18%</f>
        <v>69658.38</v>
      </c>
      <c r="T724" s="22" t="s">
        <v>1507</v>
      </c>
    </row>
    <row r="725" spans="2:20" x14ac:dyDescent="0.3">
      <c r="B725" s="5" t="s">
        <v>696</v>
      </c>
      <c r="C725" s="1">
        <v>1123100</v>
      </c>
      <c r="D725" s="1">
        <v>31</v>
      </c>
      <c r="E725" s="1" t="s">
        <v>12</v>
      </c>
      <c r="F725" s="16">
        <v>45833</v>
      </c>
      <c r="G725" s="1" t="s">
        <v>1470</v>
      </c>
      <c r="H725" s="1" t="s">
        <v>1483</v>
      </c>
      <c r="I725" s="17" t="s">
        <v>1502</v>
      </c>
      <c r="J725" s="18" t="s">
        <v>13</v>
      </c>
      <c r="K725" s="19" t="s">
        <v>14</v>
      </c>
      <c r="L725" s="19" t="s">
        <v>15</v>
      </c>
      <c r="M725" s="20">
        <v>6</v>
      </c>
      <c r="N725" s="21">
        <v>99999</v>
      </c>
      <c r="O725" s="22">
        <v>10</v>
      </c>
      <c r="P725" s="23">
        <v>539994.6</v>
      </c>
      <c r="Q725" s="22">
        <v>4.7</v>
      </c>
      <c r="R725" s="22">
        <v>20</v>
      </c>
      <c r="S725" s="23">
        <f>(Table13[[#This Row],[Unit Price]]*Table13[[#This Row],[No.of Units]])*18%</f>
        <v>107998.92</v>
      </c>
      <c r="T725" s="22" t="s">
        <v>1507</v>
      </c>
    </row>
    <row r="726" spans="2:20" x14ac:dyDescent="0.3">
      <c r="B726" s="5" t="s">
        <v>697</v>
      </c>
      <c r="C726" s="1">
        <v>6297503</v>
      </c>
      <c r="D726" s="1">
        <v>22</v>
      </c>
      <c r="E726" s="1" t="s">
        <v>12</v>
      </c>
      <c r="F726" s="16">
        <v>45833</v>
      </c>
      <c r="G726" s="1" t="s">
        <v>1470</v>
      </c>
      <c r="H726" s="1" t="s">
        <v>1471</v>
      </c>
      <c r="I726" s="17" t="s">
        <v>1503</v>
      </c>
      <c r="J726" s="18" t="s">
        <v>17</v>
      </c>
      <c r="K726" s="19" t="s">
        <v>18</v>
      </c>
      <c r="L726" s="19" t="s">
        <v>15</v>
      </c>
      <c r="M726" s="20">
        <v>43</v>
      </c>
      <c r="N726" s="21">
        <v>4999</v>
      </c>
      <c r="O726" s="22">
        <v>18</v>
      </c>
      <c r="P726" s="23">
        <v>176264.74</v>
      </c>
      <c r="Q726" s="22">
        <v>4.4000000000000004</v>
      </c>
      <c r="R726" s="22">
        <v>20</v>
      </c>
      <c r="S726" s="23">
        <f>(Table13[[#This Row],[Unit Price]]*Table13[[#This Row],[No.of Units]])*18%</f>
        <v>38692.26</v>
      </c>
      <c r="T726" s="22" t="s">
        <v>1508</v>
      </c>
    </row>
    <row r="727" spans="2:20" x14ac:dyDescent="0.3">
      <c r="B727" s="5" t="s">
        <v>698</v>
      </c>
      <c r="C727" s="1">
        <v>6558831</v>
      </c>
      <c r="D727" s="1">
        <v>31</v>
      </c>
      <c r="E727" s="1" t="s">
        <v>12</v>
      </c>
      <c r="F727" s="16">
        <v>45833</v>
      </c>
      <c r="G727" s="1" t="s">
        <v>1470</v>
      </c>
      <c r="H727" s="1" t="s">
        <v>1471</v>
      </c>
      <c r="I727" s="17" t="s">
        <v>1504</v>
      </c>
      <c r="J727" s="18" t="s">
        <v>21</v>
      </c>
      <c r="K727" s="19" t="s">
        <v>18</v>
      </c>
      <c r="L727" s="19" t="s">
        <v>15</v>
      </c>
      <c r="M727" s="20">
        <v>11</v>
      </c>
      <c r="N727" s="21">
        <v>24900</v>
      </c>
      <c r="O727" s="22">
        <v>5</v>
      </c>
      <c r="P727" s="23">
        <v>260205</v>
      </c>
      <c r="Q727" s="22">
        <v>4.8</v>
      </c>
      <c r="R727" s="22">
        <v>20</v>
      </c>
      <c r="S727" s="23">
        <f>(Table13[[#This Row],[Unit Price]]*Table13[[#This Row],[No.of Units]])*18%</f>
        <v>49302</v>
      </c>
      <c r="T727" s="22" t="s">
        <v>1507</v>
      </c>
    </row>
    <row r="728" spans="2:20" x14ac:dyDescent="0.3">
      <c r="B728" s="5" t="s">
        <v>699</v>
      </c>
      <c r="C728" s="1">
        <v>8089991</v>
      </c>
      <c r="D728" s="1">
        <v>28</v>
      </c>
      <c r="E728" s="1" t="s">
        <v>12</v>
      </c>
      <c r="F728" s="16">
        <v>45833</v>
      </c>
      <c r="G728" s="1" t="s">
        <v>1470</v>
      </c>
      <c r="H728" s="1" t="s">
        <v>1472</v>
      </c>
      <c r="I728" s="17" t="s">
        <v>1505</v>
      </c>
      <c r="J728" s="18" t="s">
        <v>23</v>
      </c>
      <c r="K728" s="19" t="s">
        <v>14</v>
      </c>
      <c r="L728" s="19" t="s">
        <v>15</v>
      </c>
      <c r="M728" s="20">
        <v>6</v>
      </c>
      <c r="N728" s="21">
        <v>84999</v>
      </c>
      <c r="O728" s="22">
        <v>12</v>
      </c>
      <c r="P728" s="23">
        <v>448794.72</v>
      </c>
      <c r="Q728" s="22">
        <v>4.5</v>
      </c>
      <c r="R728" s="22">
        <v>20</v>
      </c>
      <c r="S728" s="23">
        <f>(Table13[[#This Row],[Unit Price]]*Table13[[#This Row],[No.of Units]])*18%</f>
        <v>91798.92</v>
      </c>
      <c r="T728" s="22" t="s">
        <v>1508</v>
      </c>
    </row>
    <row r="729" spans="2:20" x14ac:dyDescent="0.3">
      <c r="B729" s="5" t="s">
        <v>700</v>
      </c>
      <c r="C729" s="1">
        <v>812377</v>
      </c>
      <c r="D729" s="1">
        <v>64</v>
      </c>
      <c r="E729" s="1" t="s">
        <v>20</v>
      </c>
      <c r="F729" s="16">
        <v>45833</v>
      </c>
      <c r="G729" s="1" t="s">
        <v>1470</v>
      </c>
      <c r="H729" s="1" t="s">
        <v>1472</v>
      </c>
      <c r="I729" s="17" t="s">
        <v>1504</v>
      </c>
      <c r="J729" s="18" t="s">
        <v>25</v>
      </c>
      <c r="K729" s="19" t="s">
        <v>26</v>
      </c>
      <c r="L729" s="19" t="s">
        <v>15</v>
      </c>
      <c r="M729" s="20">
        <v>2</v>
      </c>
      <c r="N729" s="21">
        <v>69999</v>
      </c>
      <c r="O729" s="22">
        <v>8</v>
      </c>
      <c r="P729" s="23">
        <v>128798.16</v>
      </c>
      <c r="Q729" s="22">
        <v>4.8</v>
      </c>
      <c r="R729" s="22">
        <v>20</v>
      </c>
      <c r="S729" s="23">
        <f>(Table13[[#This Row],[Unit Price]]*Table13[[#This Row],[No.of Units]])*18%</f>
        <v>25199.64</v>
      </c>
      <c r="T729" s="22" t="s">
        <v>1508</v>
      </c>
    </row>
    <row r="730" spans="2:20" x14ac:dyDescent="0.3">
      <c r="B730" s="5" t="s">
        <v>701</v>
      </c>
      <c r="C730" s="1">
        <v>5421512</v>
      </c>
      <c r="D730" s="1">
        <v>39</v>
      </c>
      <c r="E730" s="1" t="s">
        <v>12</v>
      </c>
      <c r="F730" s="16">
        <v>45833</v>
      </c>
      <c r="G730" s="1" t="s">
        <v>1470</v>
      </c>
      <c r="H730" s="1" t="s">
        <v>1472</v>
      </c>
      <c r="I730" s="17" t="s">
        <v>1503</v>
      </c>
      <c r="J730" s="18" t="s">
        <v>28</v>
      </c>
      <c r="K730" s="19" t="s">
        <v>26</v>
      </c>
      <c r="L730" s="19" t="s">
        <v>15</v>
      </c>
      <c r="M730" s="20">
        <v>7</v>
      </c>
      <c r="N730" s="21">
        <v>42999</v>
      </c>
      <c r="O730" s="22">
        <v>15</v>
      </c>
      <c r="P730" s="23">
        <v>255844.05</v>
      </c>
      <c r="Q730" s="22">
        <v>4.5999999999999996</v>
      </c>
      <c r="R730" s="22">
        <v>20</v>
      </c>
      <c r="S730" s="23">
        <f>(Table13[[#This Row],[Unit Price]]*Table13[[#This Row],[No.of Units]])*18%</f>
        <v>54178.74</v>
      </c>
      <c r="T730" s="22" t="s">
        <v>1508</v>
      </c>
    </row>
    <row r="731" spans="2:20" x14ac:dyDescent="0.3">
      <c r="B731" s="5" t="s">
        <v>702</v>
      </c>
      <c r="C731" s="1">
        <v>1249390</v>
      </c>
      <c r="D731" s="1">
        <v>78</v>
      </c>
      <c r="E731" s="1" t="s">
        <v>20</v>
      </c>
      <c r="F731" s="16">
        <v>45833</v>
      </c>
      <c r="G731" s="1" t="s">
        <v>1470</v>
      </c>
      <c r="H731" s="1" t="s">
        <v>1471</v>
      </c>
      <c r="I731" s="17" t="s">
        <v>1502</v>
      </c>
      <c r="J731" s="18" t="s">
        <v>13</v>
      </c>
      <c r="K731" s="19" t="s">
        <v>14</v>
      </c>
      <c r="L731" s="19" t="s">
        <v>29</v>
      </c>
      <c r="M731" s="20">
        <v>5</v>
      </c>
      <c r="N731" s="21">
        <v>99999</v>
      </c>
      <c r="O731" s="22">
        <v>10</v>
      </c>
      <c r="P731" s="23">
        <v>449995.5</v>
      </c>
      <c r="Q731" s="22">
        <v>4.7</v>
      </c>
      <c r="R731" s="22">
        <v>20</v>
      </c>
      <c r="S731" s="23">
        <f>(Table13[[#This Row],[Unit Price]]*Table13[[#This Row],[No.of Units]])*18%</f>
        <v>89999.099999999991</v>
      </c>
      <c r="T731" s="22" t="s">
        <v>1508</v>
      </c>
    </row>
    <row r="732" spans="2:20" x14ac:dyDescent="0.3">
      <c r="B732" s="5" t="s">
        <v>703</v>
      </c>
      <c r="C732" s="1">
        <v>2502357</v>
      </c>
      <c r="D732" s="1">
        <v>25</v>
      </c>
      <c r="E732" s="1" t="s">
        <v>12</v>
      </c>
      <c r="F732" s="16">
        <v>45833</v>
      </c>
      <c r="G732" s="1" t="s">
        <v>1470</v>
      </c>
      <c r="H732" s="1" t="s">
        <v>1482</v>
      </c>
      <c r="I732" s="17" t="s">
        <v>1503</v>
      </c>
      <c r="J732" s="18" t="s">
        <v>17</v>
      </c>
      <c r="K732" s="19" t="s">
        <v>18</v>
      </c>
      <c r="L732" s="19" t="s">
        <v>29</v>
      </c>
      <c r="M732" s="20">
        <v>42</v>
      </c>
      <c r="N732" s="21">
        <v>4999</v>
      </c>
      <c r="O732" s="22">
        <v>18</v>
      </c>
      <c r="P732" s="23">
        <v>172165.56</v>
      </c>
      <c r="Q732" s="22">
        <v>4.4000000000000004</v>
      </c>
      <c r="R732" s="22">
        <v>20</v>
      </c>
      <c r="S732" s="23">
        <f>(Table13[[#This Row],[Unit Price]]*Table13[[#This Row],[No.of Units]])*18%</f>
        <v>37792.439999999995</v>
      </c>
      <c r="T732" s="22" t="s">
        <v>1508</v>
      </c>
    </row>
    <row r="733" spans="2:20" x14ac:dyDescent="0.3">
      <c r="B733" s="5" t="s">
        <v>703</v>
      </c>
      <c r="C733" s="1">
        <v>2502357</v>
      </c>
      <c r="D733" s="1">
        <v>33</v>
      </c>
      <c r="E733" s="1" t="s">
        <v>12</v>
      </c>
      <c r="F733" s="16">
        <v>45833</v>
      </c>
      <c r="G733" s="1" t="s">
        <v>1470</v>
      </c>
      <c r="H733" s="1" t="s">
        <v>1472</v>
      </c>
      <c r="I733" s="17" t="s">
        <v>1504</v>
      </c>
      <c r="J733" s="18" t="s">
        <v>21</v>
      </c>
      <c r="K733" s="19" t="s">
        <v>18</v>
      </c>
      <c r="L733" s="19" t="s">
        <v>29</v>
      </c>
      <c r="M733" s="20">
        <v>6</v>
      </c>
      <c r="N733" s="21">
        <v>24900</v>
      </c>
      <c r="O733" s="22">
        <v>5</v>
      </c>
      <c r="P733" s="23">
        <v>141930</v>
      </c>
      <c r="Q733" s="22">
        <v>4.8</v>
      </c>
      <c r="R733" s="22">
        <v>20</v>
      </c>
      <c r="S733" s="23">
        <f>(Table13[[#This Row],[Unit Price]]*Table13[[#This Row],[No.of Units]])*18%</f>
        <v>26892</v>
      </c>
      <c r="T733" s="22" t="s">
        <v>1508</v>
      </c>
    </row>
    <row r="734" spans="2:20" x14ac:dyDescent="0.3">
      <c r="B734" s="5" t="s">
        <v>704</v>
      </c>
      <c r="C734" s="1">
        <v>1922681</v>
      </c>
      <c r="D734" s="1">
        <v>75</v>
      </c>
      <c r="E734" s="1" t="s">
        <v>20</v>
      </c>
      <c r="F734" s="16">
        <v>45833</v>
      </c>
      <c r="G734" s="1" t="s">
        <v>1470</v>
      </c>
      <c r="H734" s="1" t="s">
        <v>1472</v>
      </c>
      <c r="I734" s="17" t="s">
        <v>1505</v>
      </c>
      <c r="J734" s="18" t="s">
        <v>23</v>
      </c>
      <c r="K734" s="19" t="s">
        <v>14</v>
      </c>
      <c r="L734" s="19" t="s">
        <v>29</v>
      </c>
      <c r="M734" s="20">
        <v>2</v>
      </c>
      <c r="N734" s="21">
        <v>84999</v>
      </c>
      <c r="O734" s="22">
        <v>12</v>
      </c>
      <c r="P734" s="23">
        <v>149598.24</v>
      </c>
      <c r="Q734" s="22">
        <v>4.5</v>
      </c>
      <c r="R734" s="22">
        <v>20</v>
      </c>
      <c r="S734" s="23">
        <f>(Table13[[#This Row],[Unit Price]]*Table13[[#This Row],[No.of Units]])*18%</f>
        <v>30599.64</v>
      </c>
      <c r="T734" s="22" t="s">
        <v>1508</v>
      </c>
    </row>
    <row r="735" spans="2:20" x14ac:dyDescent="0.3">
      <c r="B735" s="5" t="s">
        <v>704</v>
      </c>
      <c r="C735" s="1">
        <v>1922681</v>
      </c>
      <c r="D735" s="1">
        <v>24</v>
      </c>
      <c r="E735" s="1" t="s">
        <v>12</v>
      </c>
      <c r="F735" s="16">
        <v>45833</v>
      </c>
      <c r="G735" s="1" t="s">
        <v>1470</v>
      </c>
      <c r="H735" s="1" t="s">
        <v>1482</v>
      </c>
      <c r="I735" s="17" t="s">
        <v>1504</v>
      </c>
      <c r="J735" s="18" t="s">
        <v>25</v>
      </c>
      <c r="K735" s="19" t="s">
        <v>26</v>
      </c>
      <c r="L735" s="19" t="s">
        <v>29</v>
      </c>
      <c r="M735" s="20">
        <v>3</v>
      </c>
      <c r="N735" s="21">
        <v>69999</v>
      </c>
      <c r="O735" s="22">
        <v>8</v>
      </c>
      <c r="P735" s="23">
        <v>193197.24</v>
      </c>
      <c r="Q735" s="22">
        <v>4.8</v>
      </c>
      <c r="R735" s="22">
        <v>20</v>
      </c>
      <c r="S735" s="23">
        <f>(Table13[[#This Row],[Unit Price]]*Table13[[#This Row],[No.of Units]])*18%</f>
        <v>37799.46</v>
      </c>
      <c r="T735" s="22" t="s">
        <v>1508</v>
      </c>
    </row>
    <row r="736" spans="2:20" x14ac:dyDescent="0.3">
      <c r="B736" s="5" t="s">
        <v>705</v>
      </c>
      <c r="C736" s="1">
        <v>8366587</v>
      </c>
      <c r="D736" s="1">
        <v>21</v>
      </c>
      <c r="E736" s="1" t="s">
        <v>12</v>
      </c>
      <c r="F736" s="16">
        <v>45833</v>
      </c>
      <c r="G736" s="1" t="s">
        <v>1470</v>
      </c>
      <c r="H736" s="1" t="s">
        <v>1482</v>
      </c>
      <c r="I736" s="17" t="s">
        <v>1503</v>
      </c>
      <c r="J736" s="18" t="s">
        <v>28</v>
      </c>
      <c r="K736" s="19" t="s">
        <v>26</v>
      </c>
      <c r="L736" s="19" t="s">
        <v>29</v>
      </c>
      <c r="M736" s="20">
        <v>11</v>
      </c>
      <c r="N736" s="21">
        <v>42999</v>
      </c>
      <c r="O736" s="22">
        <v>15</v>
      </c>
      <c r="P736" s="23">
        <v>402040.65</v>
      </c>
      <c r="Q736" s="22">
        <v>4.5999999999999996</v>
      </c>
      <c r="R736" s="22">
        <v>20</v>
      </c>
      <c r="S736" s="23">
        <f>(Table13[[#This Row],[Unit Price]]*Table13[[#This Row],[No.of Units]])*18%</f>
        <v>85138.02</v>
      </c>
      <c r="T736" s="22" t="s">
        <v>1508</v>
      </c>
    </row>
    <row r="737" spans="2:20" x14ac:dyDescent="0.3">
      <c r="B737" s="5" t="s">
        <v>706</v>
      </c>
      <c r="C737" s="1">
        <v>8607134</v>
      </c>
      <c r="D737" s="1">
        <v>31</v>
      </c>
      <c r="E737" s="1" t="s">
        <v>12</v>
      </c>
      <c r="F737" s="16">
        <v>45833</v>
      </c>
      <c r="G737" s="1" t="s">
        <v>1475</v>
      </c>
      <c r="H737" s="1" t="s">
        <v>1471</v>
      </c>
      <c r="I737" s="17" t="s">
        <v>1502</v>
      </c>
      <c r="J737" s="18" t="s">
        <v>13</v>
      </c>
      <c r="K737" s="19" t="s">
        <v>14</v>
      </c>
      <c r="L737" s="19" t="s">
        <v>35</v>
      </c>
      <c r="M737" s="20">
        <v>4</v>
      </c>
      <c r="N737" s="21">
        <v>99999</v>
      </c>
      <c r="O737" s="22">
        <v>10</v>
      </c>
      <c r="P737" s="23">
        <v>359996.4</v>
      </c>
      <c r="Q737" s="22">
        <v>4.7</v>
      </c>
      <c r="R737" s="22">
        <v>20</v>
      </c>
      <c r="S737" s="23">
        <f>(Table13[[#This Row],[Unit Price]]*Table13[[#This Row],[No.of Units]])*18%</f>
        <v>71999.28</v>
      </c>
      <c r="T737" s="22" t="s">
        <v>1508</v>
      </c>
    </row>
    <row r="738" spans="2:20" x14ac:dyDescent="0.3">
      <c r="B738" s="5" t="s">
        <v>707</v>
      </c>
      <c r="C738" s="1">
        <v>227495</v>
      </c>
      <c r="D738" s="1">
        <v>32</v>
      </c>
      <c r="E738" s="1" t="s">
        <v>12</v>
      </c>
      <c r="F738" s="16">
        <v>45833</v>
      </c>
      <c r="G738" s="1" t="s">
        <v>1470</v>
      </c>
      <c r="H738" s="1" t="s">
        <v>1472</v>
      </c>
      <c r="I738" s="17" t="s">
        <v>1503</v>
      </c>
      <c r="J738" s="18" t="s">
        <v>17</v>
      </c>
      <c r="K738" s="19" t="s">
        <v>18</v>
      </c>
      <c r="L738" s="19" t="s">
        <v>35</v>
      </c>
      <c r="M738" s="20">
        <v>56</v>
      </c>
      <c r="N738" s="21">
        <v>4999</v>
      </c>
      <c r="O738" s="22">
        <v>18</v>
      </c>
      <c r="P738" s="23">
        <v>229554.08000000002</v>
      </c>
      <c r="Q738" s="22">
        <v>4.4000000000000004</v>
      </c>
      <c r="R738" s="22">
        <v>20</v>
      </c>
      <c r="S738" s="23">
        <f>(Table13[[#This Row],[Unit Price]]*Table13[[#This Row],[No.of Units]])*18%</f>
        <v>50389.919999999998</v>
      </c>
      <c r="T738" s="22" t="s">
        <v>1508</v>
      </c>
    </row>
    <row r="739" spans="2:20" x14ac:dyDescent="0.3">
      <c r="B739" s="5" t="s">
        <v>708</v>
      </c>
      <c r="C739" s="1">
        <v>103011</v>
      </c>
      <c r="D739" s="1">
        <v>65</v>
      </c>
      <c r="E739" s="1" t="s">
        <v>20</v>
      </c>
      <c r="F739" s="16">
        <v>45833</v>
      </c>
      <c r="G739" s="1" t="s">
        <v>1470</v>
      </c>
      <c r="H739" s="1" t="s">
        <v>1483</v>
      </c>
      <c r="I739" s="17" t="s">
        <v>1504</v>
      </c>
      <c r="J739" s="18" t="s">
        <v>21</v>
      </c>
      <c r="K739" s="19" t="s">
        <v>18</v>
      </c>
      <c r="L739" s="19" t="s">
        <v>35</v>
      </c>
      <c r="M739" s="20">
        <v>9</v>
      </c>
      <c r="N739" s="21">
        <v>24900</v>
      </c>
      <c r="O739" s="22">
        <v>5</v>
      </c>
      <c r="P739" s="23">
        <v>212895</v>
      </c>
      <c r="Q739" s="22">
        <v>4.8</v>
      </c>
      <c r="R739" s="22">
        <v>20</v>
      </c>
      <c r="S739" s="23">
        <f>(Table13[[#This Row],[Unit Price]]*Table13[[#This Row],[No.of Units]])*18%</f>
        <v>40338</v>
      </c>
      <c r="T739" s="22" t="s">
        <v>1507</v>
      </c>
    </row>
    <row r="740" spans="2:20" x14ac:dyDescent="0.3">
      <c r="B740" s="5" t="s">
        <v>709</v>
      </c>
      <c r="C740" s="1">
        <v>2795018</v>
      </c>
      <c r="D740" s="1">
        <v>38</v>
      </c>
      <c r="E740" s="1" t="s">
        <v>12</v>
      </c>
      <c r="F740" s="16">
        <v>45833</v>
      </c>
      <c r="G740" s="1" t="s">
        <v>1470</v>
      </c>
      <c r="H740" s="1" t="s">
        <v>1471</v>
      </c>
      <c r="I740" s="17" t="s">
        <v>1505</v>
      </c>
      <c r="J740" s="18" t="s">
        <v>23</v>
      </c>
      <c r="K740" s="19" t="s">
        <v>14</v>
      </c>
      <c r="L740" s="19" t="s">
        <v>35</v>
      </c>
      <c r="M740" s="20">
        <v>3</v>
      </c>
      <c r="N740" s="21">
        <v>84999</v>
      </c>
      <c r="O740" s="22">
        <v>12</v>
      </c>
      <c r="P740" s="23">
        <v>224397.36</v>
      </c>
      <c r="Q740" s="22">
        <v>4.5</v>
      </c>
      <c r="R740" s="22">
        <v>20</v>
      </c>
      <c r="S740" s="23">
        <f>(Table13[[#This Row],[Unit Price]]*Table13[[#This Row],[No.of Units]])*18%</f>
        <v>45899.46</v>
      </c>
      <c r="T740" s="22" t="s">
        <v>1508</v>
      </c>
    </row>
    <row r="741" spans="2:20" x14ac:dyDescent="0.3">
      <c r="B741" s="5" t="s">
        <v>710</v>
      </c>
      <c r="C741" s="1">
        <v>6445472</v>
      </c>
      <c r="D741" s="1">
        <v>39</v>
      </c>
      <c r="E741" s="1" t="s">
        <v>12</v>
      </c>
      <c r="F741" s="16">
        <v>45833</v>
      </c>
      <c r="G741" s="1" t="s">
        <v>1470</v>
      </c>
      <c r="H741" s="1" t="s">
        <v>1480</v>
      </c>
      <c r="I741" s="17" t="s">
        <v>1504</v>
      </c>
      <c r="J741" s="18" t="s">
        <v>25</v>
      </c>
      <c r="K741" s="19" t="s">
        <v>26</v>
      </c>
      <c r="L741" s="19" t="s">
        <v>35</v>
      </c>
      <c r="M741" s="20">
        <v>4</v>
      </c>
      <c r="N741" s="21">
        <v>69999</v>
      </c>
      <c r="O741" s="22">
        <v>8</v>
      </c>
      <c r="P741" s="23">
        <v>257596.32</v>
      </c>
      <c r="Q741" s="22">
        <v>4.8</v>
      </c>
      <c r="R741" s="22">
        <v>20</v>
      </c>
      <c r="S741" s="23">
        <f>(Table13[[#This Row],[Unit Price]]*Table13[[#This Row],[No.of Units]])*18%</f>
        <v>50399.28</v>
      </c>
      <c r="T741" s="22" t="s">
        <v>1507</v>
      </c>
    </row>
    <row r="742" spans="2:20" x14ac:dyDescent="0.3">
      <c r="B742" s="5" t="s">
        <v>711</v>
      </c>
      <c r="C742" s="1">
        <v>7957175</v>
      </c>
      <c r="D742" s="1">
        <v>41</v>
      </c>
      <c r="E742" s="1" t="s">
        <v>12</v>
      </c>
      <c r="F742" s="16">
        <v>45833</v>
      </c>
      <c r="G742" s="1" t="s">
        <v>1470</v>
      </c>
      <c r="H742" s="1" t="s">
        <v>1482</v>
      </c>
      <c r="I742" s="17" t="s">
        <v>1503</v>
      </c>
      <c r="J742" s="18" t="s">
        <v>28</v>
      </c>
      <c r="K742" s="19" t="s">
        <v>26</v>
      </c>
      <c r="L742" s="19" t="s">
        <v>35</v>
      </c>
      <c r="M742" s="20">
        <v>11</v>
      </c>
      <c r="N742" s="21">
        <v>42999</v>
      </c>
      <c r="O742" s="22">
        <v>15</v>
      </c>
      <c r="P742" s="23">
        <v>402040.65</v>
      </c>
      <c r="Q742" s="22">
        <v>4.5999999999999996</v>
      </c>
      <c r="R742" s="22">
        <v>20</v>
      </c>
      <c r="S742" s="23">
        <f>(Table13[[#This Row],[Unit Price]]*Table13[[#This Row],[No.of Units]])*18%</f>
        <v>85138.02</v>
      </c>
      <c r="T742" s="22" t="s">
        <v>1508</v>
      </c>
    </row>
    <row r="743" spans="2:20" x14ac:dyDescent="0.3">
      <c r="B743" s="5" t="s">
        <v>712</v>
      </c>
      <c r="C743" s="1">
        <v>9856168</v>
      </c>
      <c r="D743" s="1">
        <v>35</v>
      </c>
      <c r="E743" s="1" t="s">
        <v>12</v>
      </c>
      <c r="F743" s="16">
        <v>45833</v>
      </c>
      <c r="G743" s="1" t="s">
        <v>1470</v>
      </c>
      <c r="H743" s="1" t="s">
        <v>1480</v>
      </c>
      <c r="I743" s="17" t="s">
        <v>1502</v>
      </c>
      <c r="J743" s="18" t="s">
        <v>13</v>
      </c>
      <c r="K743" s="19" t="s">
        <v>14</v>
      </c>
      <c r="L743" s="19" t="s">
        <v>42</v>
      </c>
      <c r="M743" s="20">
        <v>6</v>
      </c>
      <c r="N743" s="21">
        <v>99999</v>
      </c>
      <c r="O743" s="22">
        <v>10</v>
      </c>
      <c r="P743" s="23">
        <v>539994.6</v>
      </c>
      <c r="Q743" s="22">
        <v>4.7</v>
      </c>
      <c r="R743" s="22">
        <v>20</v>
      </c>
      <c r="S743" s="23">
        <f>(Table13[[#This Row],[Unit Price]]*Table13[[#This Row],[No.of Units]])*18%</f>
        <v>107998.92</v>
      </c>
      <c r="T743" s="22" t="s">
        <v>1508</v>
      </c>
    </row>
    <row r="744" spans="2:20" x14ac:dyDescent="0.3">
      <c r="B744" s="5" t="s">
        <v>712</v>
      </c>
      <c r="C744" s="1">
        <v>9856168</v>
      </c>
      <c r="D744" s="1">
        <v>39</v>
      </c>
      <c r="E744" s="1" t="s">
        <v>12</v>
      </c>
      <c r="F744" s="16">
        <v>45833</v>
      </c>
      <c r="G744" s="1" t="s">
        <v>1470</v>
      </c>
      <c r="H744" s="1" t="s">
        <v>1482</v>
      </c>
      <c r="I744" s="17" t="s">
        <v>1503</v>
      </c>
      <c r="J744" s="18" t="s">
        <v>17</v>
      </c>
      <c r="K744" s="19" t="s">
        <v>18</v>
      </c>
      <c r="L744" s="19" t="s">
        <v>42</v>
      </c>
      <c r="M744" s="20">
        <v>53</v>
      </c>
      <c r="N744" s="21">
        <v>4999</v>
      </c>
      <c r="O744" s="22">
        <v>18</v>
      </c>
      <c r="P744" s="23">
        <v>217256.54</v>
      </c>
      <c r="Q744" s="22">
        <v>4.4000000000000004</v>
      </c>
      <c r="R744" s="22">
        <v>20</v>
      </c>
      <c r="S744" s="23">
        <f>(Table13[[#This Row],[Unit Price]]*Table13[[#This Row],[No.of Units]])*18%</f>
        <v>47690.46</v>
      </c>
      <c r="T744" s="22" t="s">
        <v>1507</v>
      </c>
    </row>
    <row r="745" spans="2:20" x14ac:dyDescent="0.3">
      <c r="B745" s="5" t="s">
        <v>713</v>
      </c>
      <c r="C745" s="1">
        <v>419767</v>
      </c>
      <c r="D745" s="1">
        <v>67</v>
      </c>
      <c r="E745" s="1" t="s">
        <v>20</v>
      </c>
      <c r="F745" s="16">
        <v>45833</v>
      </c>
      <c r="G745" s="1" t="s">
        <v>1470</v>
      </c>
      <c r="H745" s="1" t="s">
        <v>1482</v>
      </c>
      <c r="I745" s="17" t="s">
        <v>1504</v>
      </c>
      <c r="J745" s="18" t="s">
        <v>21</v>
      </c>
      <c r="K745" s="19" t="s">
        <v>18</v>
      </c>
      <c r="L745" s="19" t="s">
        <v>42</v>
      </c>
      <c r="M745" s="20">
        <v>13</v>
      </c>
      <c r="N745" s="21">
        <v>24900</v>
      </c>
      <c r="O745" s="22">
        <v>5</v>
      </c>
      <c r="P745" s="23">
        <v>307515</v>
      </c>
      <c r="Q745" s="22">
        <v>4.8</v>
      </c>
      <c r="R745" s="22">
        <v>20</v>
      </c>
      <c r="S745" s="23">
        <f>(Table13[[#This Row],[Unit Price]]*Table13[[#This Row],[No.of Units]])*18%</f>
        <v>58266</v>
      </c>
      <c r="T745" s="22" t="s">
        <v>1508</v>
      </c>
    </row>
    <row r="746" spans="2:20" x14ac:dyDescent="0.3">
      <c r="B746" s="5" t="s">
        <v>714</v>
      </c>
      <c r="C746" s="1">
        <v>4237412</v>
      </c>
      <c r="D746" s="1">
        <v>36</v>
      </c>
      <c r="E746" s="1" t="s">
        <v>12</v>
      </c>
      <c r="F746" s="16">
        <v>45833</v>
      </c>
      <c r="G746" s="1" t="s">
        <v>1470</v>
      </c>
      <c r="H746" s="1" t="s">
        <v>1471</v>
      </c>
      <c r="I746" s="17" t="s">
        <v>1505</v>
      </c>
      <c r="J746" s="18" t="s">
        <v>23</v>
      </c>
      <c r="K746" s="19" t="s">
        <v>14</v>
      </c>
      <c r="L746" s="19" t="s">
        <v>42</v>
      </c>
      <c r="M746" s="20">
        <v>2</v>
      </c>
      <c r="N746" s="21">
        <v>84999</v>
      </c>
      <c r="O746" s="22">
        <v>12</v>
      </c>
      <c r="P746" s="23">
        <v>149598.24</v>
      </c>
      <c r="Q746" s="22">
        <v>4.5</v>
      </c>
      <c r="R746" s="22">
        <v>20</v>
      </c>
      <c r="S746" s="23">
        <f>(Table13[[#This Row],[Unit Price]]*Table13[[#This Row],[No.of Units]])*18%</f>
        <v>30599.64</v>
      </c>
      <c r="T746" s="22" t="s">
        <v>1508</v>
      </c>
    </row>
    <row r="747" spans="2:20" x14ac:dyDescent="0.3">
      <c r="B747" s="5" t="s">
        <v>715</v>
      </c>
      <c r="C747" s="1">
        <v>4852879</v>
      </c>
      <c r="D747" s="1">
        <v>18</v>
      </c>
      <c r="E747" s="1" t="s">
        <v>34</v>
      </c>
      <c r="F747" s="16">
        <v>45833</v>
      </c>
      <c r="G747" s="1" t="s">
        <v>1470</v>
      </c>
      <c r="H747" s="1" t="s">
        <v>1480</v>
      </c>
      <c r="I747" s="17" t="s">
        <v>1504</v>
      </c>
      <c r="J747" s="18" t="s">
        <v>25</v>
      </c>
      <c r="K747" s="19" t="s">
        <v>26</v>
      </c>
      <c r="L747" s="19" t="s">
        <v>42</v>
      </c>
      <c r="M747" s="20">
        <v>6</v>
      </c>
      <c r="N747" s="21">
        <v>69999</v>
      </c>
      <c r="O747" s="22">
        <v>8</v>
      </c>
      <c r="P747" s="23">
        <v>386394.48</v>
      </c>
      <c r="Q747" s="22">
        <v>4.8</v>
      </c>
      <c r="R747" s="22">
        <v>20</v>
      </c>
      <c r="S747" s="23">
        <f>(Table13[[#This Row],[Unit Price]]*Table13[[#This Row],[No.of Units]])*18%</f>
        <v>75598.92</v>
      </c>
      <c r="T747" s="22" t="s">
        <v>1507</v>
      </c>
    </row>
    <row r="748" spans="2:20" x14ac:dyDescent="0.3">
      <c r="B748" s="5" t="s">
        <v>716</v>
      </c>
      <c r="C748" s="1">
        <v>1405445</v>
      </c>
      <c r="D748" s="1">
        <v>67</v>
      </c>
      <c r="E748" s="1" t="s">
        <v>20</v>
      </c>
      <c r="F748" s="16">
        <v>45833</v>
      </c>
      <c r="G748" s="1" t="s">
        <v>1470</v>
      </c>
      <c r="H748" s="1" t="s">
        <v>1472</v>
      </c>
      <c r="I748" s="17" t="s">
        <v>1503</v>
      </c>
      <c r="J748" s="18" t="s">
        <v>28</v>
      </c>
      <c r="K748" s="19" t="s">
        <v>26</v>
      </c>
      <c r="L748" s="19" t="s">
        <v>42</v>
      </c>
      <c r="M748" s="20">
        <v>6</v>
      </c>
      <c r="N748" s="21">
        <v>42999</v>
      </c>
      <c r="O748" s="22">
        <v>15</v>
      </c>
      <c r="P748" s="23">
        <v>219294.9</v>
      </c>
      <c r="Q748" s="22">
        <v>4.5999999999999996</v>
      </c>
      <c r="R748" s="22">
        <v>20</v>
      </c>
      <c r="S748" s="23">
        <f>(Table13[[#This Row],[Unit Price]]*Table13[[#This Row],[No.of Units]])*18%</f>
        <v>46438.92</v>
      </c>
      <c r="T748" s="22" t="s">
        <v>1508</v>
      </c>
    </row>
    <row r="749" spans="2:20" x14ac:dyDescent="0.3">
      <c r="B749" s="5" t="s">
        <v>717</v>
      </c>
      <c r="C749" s="1">
        <v>6884354</v>
      </c>
      <c r="D749" s="1">
        <v>23</v>
      </c>
      <c r="E749" s="1" t="s">
        <v>12</v>
      </c>
      <c r="F749" s="16">
        <v>45833</v>
      </c>
      <c r="G749" s="1" t="s">
        <v>1470</v>
      </c>
      <c r="H749" s="1" t="s">
        <v>1482</v>
      </c>
      <c r="I749" s="17" t="s">
        <v>1502</v>
      </c>
      <c r="J749" s="18" t="s">
        <v>13</v>
      </c>
      <c r="K749" s="19" t="s">
        <v>14</v>
      </c>
      <c r="L749" s="19" t="s">
        <v>49</v>
      </c>
      <c r="M749" s="20">
        <v>3</v>
      </c>
      <c r="N749" s="21">
        <v>99999</v>
      </c>
      <c r="O749" s="22">
        <v>10</v>
      </c>
      <c r="P749" s="23">
        <v>269997.3</v>
      </c>
      <c r="Q749" s="22">
        <v>4.7</v>
      </c>
      <c r="R749" s="22">
        <v>20</v>
      </c>
      <c r="S749" s="23">
        <f>(Table13[[#This Row],[Unit Price]]*Table13[[#This Row],[No.of Units]])*18%</f>
        <v>53999.46</v>
      </c>
      <c r="T749" s="22" t="s">
        <v>1508</v>
      </c>
    </row>
    <row r="750" spans="2:20" x14ac:dyDescent="0.3">
      <c r="B750" s="5" t="s">
        <v>718</v>
      </c>
      <c r="C750" s="1">
        <v>8622174</v>
      </c>
      <c r="D750" s="1">
        <v>40</v>
      </c>
      <c r="E750" s="1" t="s">
        <v>12</v>
      </c>
      <c r="F750" s="16">
        <v>45833</v>
      </c>
      <c r="G750" s="1" t="s">
        <v>1470</v>
      </c>
      <c r="H750" s="1" t="s">
        <v>1480</v>
      </c>
      <c r="I750" s="17" t="s">
        <v>1503</v>
      </c>
      <c r="J750" s="18" t="s">
        <v>17</v>
      </c>
      <c r="K750" s="19" t="s">
        <v>18</v>
      </c>
      <c r="L750" s="19" t="s">
        <v>49</v>
      </c>
      <c r="M750" s="20">
        <v>37</v>
      </c>
      <c r="N750" s="21">
        <v>4999</v>
      </c>
      <c r="O750" s="22">
        <v>18</v>
      </c>
      <c r="P750" s="23">
        <v>151669.66</v>
      </c>
      <c r="Q750" s="22">
        <v>4.4000000000000004</v>
      </c>
      <c r="R750" s="22">
        <v>20</v>
      </c>
      <c r="S750" s="23">
        <f>(Table13[[#This Row],[Unit Price]]*Table13[[#This Row],[No.of Units]])*18%</f>
        <v>33293.339999999997</v>
      </c>
      <c r="T750" s="22" t="s">
        <v>1507</v>
      </c>
    </row>
    <row r="751" spans="2:20" x14ac:dyDescent="0.3">
      <c r="B751" s="5" t="s">
        <v>719</v>
      </c>
      <c r="C751" s="1">
        <v>2722780</v>
      </c>
      <c r="D751" s="1">
        <v>49</v>
      </c>
      <c r="E751" s="1" t="s">
        <v>12</v>
      </c>
      <c r="F751" s="16">
        <v>45833</v>
      </c>
      <c r="G751" s="1" t="s">
        <v>1470</v>
      </c>
      <c r="H751" s="1" t="s">
        <v>1472</v>
      </c>
      <c r="I751" s="17" t="s">
        <v>1504</v>
      </c>
      <c r="J751" s="18" t="s">
        <v>21</v>
      </c>
      <c r="K751" s="19" t="s">
        <v>18</v>
      </c>
      <c r="L751" s="19" t="s">
        <v>49</v>
      </c>
      <c r="M751" s="20">
        <v>12</v>
      </c>
      <c r="N751" s="21">
        <v>24900</v>
      </c>
      <c r="O751" s="22">
        <v>5</v>
      </c>
      <c r="P751" s="23">
        <v>283860</v>
      </c>
      <c r="Q751" s="22">
        <v>4.8</v>
      </c>
      <c r="R751" s="22">
        <v>20</v>
      </c>
      <c r="S751" s="23">
        <f>(Table13[[#This Row],[Unit Price]]*Table13[[#This Row],[No.of Units]])*18%</f>
        <v>53784</v>
      </c>
      <c r="T751" s="22" t="s">
        <v>1507</v>
      </c>
    </row>
    <row r="752" spans="2:20" x14ac:dyDescent="0.3">
      <c r="B752" s="5" t="s">
        <v>720</v>
      </c>
      <c r="C752" s="1">
        <v>5335990</v>
      </c>
      <c r="D752" s="1">
        <v>26</v>
      </c>
      <c r="E752" s="1" t="s">
        <v>12</v>
      </c>
      <c r="F752" s="16">
        <v>45833</v>
      </c>
      <c r="G752" s="1" t="s">
        <v>1470</v>
      </c>
      <c r="H752" s="1" t="s">
        <v>1472</v>
      </c>
      <c r="I752" s="17" t="s">
        <v>1505</v>
      </c>
      <c r="J752" s="18" t="s">
        <v>23</v>
      </c>
      <c r="K752" s="19" t="s">
        <v>14</v>
      </c>
      <c r="L752" s="19" t="s">
        <v>49</v>
      </c>
      <c r="M752" s="20">
        <v>6</v>
      </c>
      <c r="N752" s="21">
        <v>84999</v>
      </c>
      <c r="O752" s="22">
        <v>12</v>
      </c>
      <c r="P752" s="23">
        <v>448794.72</v>
      </c>
      <c r="Q752" s="22">
        <v>4.5</v>
      </c>
      <c r="R752" s="22">
        <v>20</v>
      </c>
      <c r="S752" s="23">
        <f>(Table13[[#This Row],[Unit Price]]*Table13[[#This Row],[No.of Units]])*18%</f>
        <v>91798.92</v>
      </c>
      <c r="T752" s="22" t="s">
        <v>1508</v>
      </c>
    </row>
    <row r="753" spans="2:20" x14ac:dyDescent="0.3">
      <c r="B753" s="5" t="s">
        <v>721</v>
      </c>
      <c r="C753" s="1">
        <v>7826950</v>
      </c>
      <c r="D753" s="1">
        <v>33</v>
      </c>
      <c r="E753" s="1" t="s">
        <v>12</v>
      </c>
      <c r="F753" s="16">
        <v>45833</v>
      </c>
      <c r="G753" s="1" t="s">
        <v>1470</v>
      </c>
      <c r="H753" s="1" t="s">
        <v>1483</v>
      </c>
      <c r="I753" s="17" t="s">
        <v>1504</v>
      </c>
      <c r="J753" s="18" t="s">
        <v>25</v>
      </c>
      <c r="K753" s="19" t="s">
        <v>26</v>
      </c>
      <c r="L753" s="19" t="s">
        <v>49</v>
      </c>
      <c r="M753" s="20">
        <v>4</v>
      </c>
      <c r="N753" s="21">
        <v>69999</v>
      </c>
      <c r="O753" s="22">
        <v>8</v>
      </c>
      <c r="P753" s="23">
        <v>257596.32</v>
      </c>
      <c r="Q753" s="22">
        <v>4.8</v>
      </c>
      <c r="R753" s="22">
        <v>20</v>
      </c>
      <c r="S753" s="23">
        <f>(Table13[[#This Row],[Unit Price]]*Table13[[#This Row],[No.of Units]])*18%</f>
        <v>50399.28</v>
      </c>
      <c r="T753" s="22" t="s">
        <v>1507</v>
      </c>
    </row>
    <row r="754" spans="2:20" x14ac:dyDescent="0.3">
      <c r="B754" s="5" t="s">
        <v>722</v>
      </c>
      <c r="C754" s="1">
        <v>5059217</v>
      </c>
      <c r="D754" s="1">
        <v>26</v>
      </c>
      <c r="E754" s="1" t="s">
        <v>12</v>
      </c>
      <c r="F754" s="16">
        <v>45833</v>
      </c>
      <c r="G754" s="1" t="s">
        <v>1470</v>
      </c>
      <c r="H754" s="1" t="s">
        <v>1480</v>
      </c>
      <c r="I754" s="17" t="s">
        <v>1503</v>
      </c>
      <c r="J754" s="18" t="s">
        <v>28</v>
      </c>
      <c r="K754" s="19" t="s">
        <v>26</v>
      </c>
      <c r="L754" s="19" t="s">
        <v>49</v>
      </c>
      <c r="M754" s="20">
        <v>10</v>
      </c>
      <c r="N754" s="21">
        <v>42999</v>
      </c>
      <c r="O754" s="22">
        <v>15</v>
      </c>
      <c r="P754" s="23">
        <v>365491.5</v>
      </c>
      <c r="Q754" s="22">
        <v>4.5999999999999996</v>
      </c>
      <c r="R754" s="22">
        <v>20</v>
      </c>
      <c r="S754" s="23">
        <f>(Table13[[#This Row],[Unit Price]]*Table13[[#This Row],[No.of Units]])*18%</f>
        <v>77398.2</v>
      </c>
      <c r="T754" s="22" t="s">
        <v>1508</v>
      </c>
    </row>
    <row r="755" spans="2:20" x14ac:dyDescent="0.3">
      <c r="B755" s="5" t="s">
        <v>723</v>
      </c>
      <c r="C755" s="1">
        <v>494347</v>
      </c>
      <c r="D755" s="1">
        <v>62</v>
      </c>
      <c r="E755" s="1" t="s">
        <v>20</v>
      </c>
      <c r="F755" s="16">
        <v>45840</v>
      </c>
      <c r="G755" s="1" t="s">
        <v>1470</v>
      </c>
      <c r="H755" s="1" t="s">
        <v>1472</v>
      </c>
      <c r="I755" s="17" t="s">
        <v>1502</v>
      </c>
      <c r="J755" s="18" t="s">
        <v>13</v>
      </c>
      <c r="K755" s="19" t="s">
        <v>14</v>
      </c>
      <c r="L755" s="19" t="s">
        <v>15</v>
      </c>
      <c r="M755" s="20">
        <v>3</v>
      </c>
      <c r="N755" s="21">
        <v>99999</v>
      </c>
      <c r="O755" s="22">
        <v>10</v>
      </c>
      <c r="P755" s="23">
        <v>269997.3</v>
      </c>
      <c r="Q755" s="22">
        <v>4.7</v>
      </c>
      <c r="R755" s="22">
        <v>20</v>
      </c>
      <c r="S755" s="23">
        <f>(Table13[[#This Row],[Unit Price]]*Table13[[#This Row],[No.of Units]])*18%</f>
        <v>53999.46</v>
      </c>
      <c r="T755" s="22" t="s">
        <v>1507</v>
      </c>
    </row>
    <row r="756" spans="2:20" x14ac:dyDescent="0.3">
      <c r="B756" s="5" t="s">
        <v>724</v>
      </c>
      <c r="C756" s="1">
        <v>2719685</v>
      </c>
      <c r="D756" s="1">
        <v>69</v>
      </c>
      <c r="E756" s="1" t="s">
        <v>20</v>
      </c>
      <c r="F756" s="16">
        <v>45840</v>
      </c>
      <c r="G756" s="1" t="s">
        <v>1470</v>
      </c>
      <c r="H756" s="1" t="s">
        <v>1472</v>
      </c>
      <c r="I756" s="17" t="s">
        <v>1503</v>
      </c>
      <c r="J756" s="18" t="s">
        <v>17</v>
      </c>
      <c r="K756" s="19" t="s">
        <v>18</v>
      </c>
      <c r="L756" s="19" t="s">
        <v>15</v>
      </c>
      <c r="M756" s="20">
        <v>38</v>
      </c>
      <c r="N756" s="21">
        <v>4999</v>
      </c>
      <c r="O756" s="22">
        <v>18</v>
      </c>
      <c r="P756" s="23">
        <v>155768.84</v>
      </c>
      <c r="Q756" s="22">
        <v>4.4000000000000004</v>
      </c>
      <c r="R756" s="22">
        <v>20</v>
      </c>
      <c r="S756" s="23">
        <f>(Table13[[#This Row],[Unit Price]]*Table13[[#This Row],[No.of Units]])*18%</f>
        <v>34193.159999999996</v>
      </c>
      <c r="T756" s="22" t="s">
        <v>1508</v>
      </c>
    </row>
    <row r="757" spans="2:20" x14ac:dyDescent="0.3">
      <c r="B757" s="5" t="s">
        <v>725</v>
      </c>
      <c r="C757" s="1">
        <v>2095200</v>
      </c>
      <c r="D757" s="1">
        <v>67</v>
      </c>
      <c r="E757" s="1" t="s">
        <v>20</v>
      </c>
      <c r="F757" s="16">
        <v>45840</v>
      </c>
      <c r="G757" s="1" t="s">
        <v>1470</v>
      </c>
      <c r="H757" s="1" t="s">
        <v>1481</v>
      </c>
      <c r="I757" s="17" t="s">
        <v>1504</v>
      </c>
      <c r="J757" s="18" t="s">
        <v>21</v>
      </c>
      <c r="K757" s="19" t="s">
        <v>18</v>
      </c>
      <c r="L757" s="19" t="s">
        <v>15</v>
      </c>
      <c r="M757" s="20">
        <v>14</v>
      </c>
      <c r="N757" s="21">
        <v>24900</v>
      </c>
      <c r="O757" s="22">
        <v>5</v>
      </c>
      <c r="P757" s="23">
        <v>331170</v>
      </c>
      <c r="Q757" s="22">
        <v>4.8</v>
      </c>
      <c r="R757" s="22">
        <v>20</v>
      </c>
      <c r="S757" s="23">
        <f>(Table13[[#This Row],[Unit Price]]*Table13[[#This Row],[No.of Units]])*18%</f>
        <v>62748</v>
      </c>
      <c r="T757" s="22" t="s">
        <v>1508</v>
      </c>
    </row>
    <row r="758" spans="2:20" x14ac:dyDescent="0.3">
      <c r="B758" s="5" t="s">
        <v>725</v>
      </c>
      <c r="C758" s="1">
        <v>2095200</v>
      </c>
      <c r="D758" s="1">
        <v>59</v>
      </c>
      <c r="E758" s="1" t="s">
        <v>20</v>
      </c>
      <c r="F758" s="16">
        <v>45840</v>
      </c>
      <c r="G758" s="1" t="s">
        <v>1470</v>
      </c>
      <c r="H758" s="1" t="s">
        <v>1472</v>
      </c>
      <c r="I758" s="17" t="s">
        <v>1505</v>
      </c>
      <c r="J758" s="18" t="s">
        <v>23</v>
      </c>
      <c r="K758" s="19" t="s">
        <v>14</v>
      </c>
      <c r="L758" s="19" t="s">
        <v>15</v>
      </c>
      <c r="M758" s="20">
        <v>6</v>
      </c>
      <c r="N758" s="21">
        <v>84999</v>
      </c>
      <c r="O758" s="22">
        <v>12</v>
      </c>
      <c r="P758" s="23">
        <v>448794.72</v>
      </c>
      <c r="Q758" s="22">
        <v>4.5</v>
      </c>
      <c r="R758" s="22">
        <v>20</v>
      </c>
      <c r="S758" s="23">
        <f>(Table13[[#This Row],[Unit Price]]*Table13[[#This Row],[No.of Units]])*18%</f>
        <v>91798.92</v>
      </c>
      <c r="T758" s="22" t="s">
        <v>1508</v>
      </c>
    </row>
    <row r="759" spans="2:20" x14ac:dyDescent="0.3">
      <c r="B759" s="5" t="s">
        <v>726</v>
      </c>
      <c r="C759" s="1">
        <v>2454836</v>
      </c>
      <c r="D759" s="1">
        <v>64</v>
      </c>
      <c r="E759" s="1" t="s">
        <v>20</v>
      </c>
      <c r="F759" s="16">
        <v>45840</v>
      </c>
      <c r="G759" s="1" t="s">
        <v>1470</v>
      </c>
      <c r="H759" s="1" t="s">
        <v>1471</v>
      </c>
      <c r="I759" s="17" t="s">
        <v>1504</v>
      </c>
      <c r="J759" s="18" t="s">
        <v>25</v>
      </c>
      <c r="K759" s="19" t="s">
        <v>26</v>
      </c>
      <c r="L759" s="19" t="s">
        <v>15</v>
      </c>
      <c r="M759" s="20">
        <v>3</v>
      </c>
      <c r="N759" s="21">
        <v>69999</v>
      </c>
      <c r="O759" s="22">
        <v>8</v>
      </c>
      <c r="P759" s="23">
        <v>193197.24</v>
      </c>
      <c r="Q759" s="22">
        <v>4.8</v>
      </c>
      <c r="R759" s="22">
        <v>20</v>
      </c>
      <c r="S759" s="23">
        <f>(Table13[[#This Row],[Unit Price]]*Table13[[#This Row],[No.of Units]])*18%</f>
        <v>37799.46</v>
      </c>
      <c r="T759" s="22" t="s">
        <v>1507</v>
      </c>
    </row>
    <row r="760" spans="2:20" x14ac:dyDescent="0.3">
      <c r="B760" s="5" t="s">
        <v>726</v>
      </c>
      <c r="C760" s="1">
        <v>2454836</v>
      </c>
      <c r="D760" s="1">
        <v>23</v>
      </c>
      <c r="E760" s="1" t="s">
        <v>12</v>
      </c>
      <c r="F760" s="16">
        <v>45840</v>
      </c>
      <c r="G760" s="1" t="s">
        <v>1470</v>
      </c>
      <c r="H760" s="1" t="s">
        <v>1482</v>
      </c>
      <c r="I760" s="17" t="s">
        <v>1503</v>
      </c>
      <c r="J760" s="18" t="s">
        <v>28</v>
      </c>
      <c r="K760" s="19" t="s">
        <v>26</v>
      </c>
      <c r="L760" s="19" t="s">
        <v>15</v>
      </c>
      <c r="M760" s="20">
        <v>11</v>
      </c>
      <c r="N760" s="21">
        <v>42999</v>
      </c>
      <c r="O760" s="22">
        <v>15</v>
      </c>
      <c r="P760" s="23">
        <v>402040.65</v>
      </c>
      <c r="Q760" s="22">
        <v>4.5999999999999996</v>
      </c>
      <c r="R760" s="22">
        <v>20</v>
      </c>
      <c r="S760" s="23">
        <f>(Table13[[#This Row],[Unit Price]]*Table13[[#This Row],[No.of Units]])*18%</f>
        <v>85138.02</v>
      </c>
      <c r="T760" s="22" t="s">
        <v>1508</v>
      </c>
    </row>
    <row r="761" spans="2:20" x14ac:dyDescent="0.3">
      <c r="B761" s="5" t="s">
        <v>727</v>
      </c>
      <c r="C761" s="1">
        <v>6200433</v>
      </c>
      <c r="D761" s="1">
        <v>52</v>
      </c>
      <c r="E761" s="1" t="s">
        <v>20</v>
      </c>
      <c r="F761" s="16">
        <v>45840</v>
      </c>
      <c r="G761" s="1" t="s">
        <v>1470</v>
      </c>
      <c r="H761" s="1" t="s">
        <v>1471</v>
      </c>
      <c r="I761" s="17" t="s">
        <v>1502</v>
      </c>
      <c r="J761" s="18" t="s">
        <v>13</v>
      </c>
      <c r="K761" s="19" t="s">
        <v>14</v>
      </c>
      <c r="L761" s="19" t="s">
        <v>29</v>
      </c>
      <c r="M761" s="20">
        <v>5</v>
      </c>
      <c r="N761" s="21">
        <v>99999</v>
      </c>
      <c r="O761" s="22">
        <v>10</v>
      </c>
      <c r="P761" s="23">
        <v>449995.5</v>
      </c>
      <c r="Q761" s="22">
        <v>4.7</v>
      </c>
      <c r="R761" s="22">
        <v>20</v>
      </c>
      <c r="S761" s="23">
        <f>(Table13[[#This Row],[Unit Price]]*Table13[[#This Row],[No.of Units]])*18%</f>
        <v>89999.099999999991</v>
      </c>
      <c r="T761" s="22" t="s">
        <v>1508</v>
      </c>
    </row>
    <row r="762" spans="2:20" x14ac:dyDescent="0.3">
      <c r="B762" s="5" t="s">
        <v>728</v>
      </c>
      <c r="C762" s="1">
        <v>5499856</v>
      </c>
      <c r="D762" s="1">
        <v>53</v>
      </c>
      <c r="E762" s="1" t="s">
        <v>20</v>
      </c>
      <c r="F762" s="16">
        <v>45840</v>
      </c>
      <c r="G762" s="1" t="s">
        <v>1470</v>
      </c>
      <c r="H762" s="1" t="s">
        <v>1481</v>
      </c>
      <c r="I762" s="17" t="s">
        <v>1503</v>
      </c>
      <c r="J762" s="18" t="s">
        <v>17</v>
      </c>
      <c r="K762" s="19" t="s">
        <v>18</v>
      </c>
      <c r="L762" s="19" t="s">
        <v>29</v>
      </c>
      <c r="M762" s="20">
        <v>44</v>
      </c>
      <c r="N762" s="21">
        <v>4999</v>
      </c>
      <c r="O762" s="22">
        <v>18</v>
      </c>
      <c r="P762" s="23">
        <v>180363.91999999998</v>
      </c>
      <c r="Q762" s="22">
        <v>4.4000000000000004</v>
      </c>
      <c r="R762" s="22">
        <v>20</v>
      </c>
      <c r="S762" s="23">
        <f>(Table13[[#This Row],[Unit Price]]*Table13[[#This Row],[No.of Units]])*18%</f>
        <v>39592.080000000002</v>
      </c>
      <c r="T762" s="22" t="s">
        <v>1508</v>
      </c>
    </row>
    <row r="763" spans="2:20" x14ac:dyDescent="0.3">
      <c r="B763" s="5" t="s">
        <v>729</v>
      </c>
      <c r="C763" s="1">
        <v>7665140</v>
      </c>
      <c r="D763" s="1">
        <v>28</v>
      </c>
      <c r="E763" s="1" t="s">
        <v>12</v>
      </c>
      <c r="F763" s="16">
        <v>45840</v>
      </c>
      <c r="G763" s="1" t="s">
        <v>1470</v>
      </c>
      <c r="H763" s="1" t="s">
        <v>1471</v>
      </c>
      <c r="I763" s="17" t="s">
        <v>1504</v>
      </c>
      <c r="J763" s="18" t="s">
        <v>21</v>
      </c>
      <c r="K763" s="19" t="s">
        <v>18</v>
      </c>
      <c r="L763" s="19" t="s">
        <v>29</v>
      </c>
      <c r="M763" s="20">
        <v>11</v>
      </c>
      <c r="N763" s="21">
        <v>24900</v>
      </c>
      <c r="O763" s="22">
        <v>5</v>
      </c>
      <c r="P763" s="23">
        <v>260205</v>
      </c>
      <c r="Q763" s="22">
        <v>4.8</v>
      </c>
      <c r="R763" s="22">
        <v>20</v>
      </c>
      <c r="S763" s="23">
        <f>(Table13[[#This Row],[Unit Price]]*Table13[[#This Row],[No.of Units]])*18%</f>
        <v>49302</v>
      </c>
      <c r="T763" s="22" t="s">
        <v>1508</v>
      </c>
    </row>
    <row r="764" spans="2:20" x14ac:dyDescent="0.3">
      <c r="B764" s="5" t="s">
        <v>730</v>
      </c>
      <c r="C764" s="1">
        <v>2440471</v>
      </c>
      <c r="D764" s="1">
        <v>33</v>
      </c>
      <c r="E764" s="1" t="s">
        <v>12</v>
      </c>
      <c r="F764" s="16">
        <v>45840</v>
      </c>
      <c r="G764" s="1" t="s">
        <v>1470</v>
      </c>
      <c r="H764" s="1" t="s">
        <v>1471</v>
      </c>
      <c r="I764" s="17" t="s">
        <v>1505</v>
      </c>
      <c r="J764" s="18" t="s">
        <v>23</v>
      </c>
      <c r="K764" s="19" t="s">
        <v>14</v>
      </c>
      <c r="L764" s="19" t="s">
        <v>29</v>
      </c>
      <c r="M764" s="20">
        <v>5</v>
      </c>
      <c r="N764" s="21">
        <v>84999</v>
      </c>
      <c r="O764" s="22">
        <v>12</v>
      </c>
      <c r="P764" s="23">
        <v>373995.6</v>
      </c>
      <c r="Q764" s="22">
        <v>4.5</v>
      </c>
      <c r="R764" s="22">
        <v>20</v>
      </c>
      <c r="S764" s="23">
        <f>(Table13[[#This Row],[Unit Price]]*Table13[[#This Row],[No.of Units]])*18%</f>
        <v>76499.099999999991</v>
      </c>
      <c r="T764" s="22" t="s">
        <v>1507</v>
      </c>
    </row>
    <row r="765" spans="2:20" x14ac:dyDescent="0.3">
      <c r="B765" s="5" t="s">
        <v>731</v>
      </c>
      <c r="C765" s="1">
        <v>3006045</v>
      </c>
      <c r="D765" s="1">
        <v>32</v>
      </c>
      <c r="E765" s="1" t="s">
        <v>12</v>
      </c>
      <c r="F765" s="16">
        <v>45840</v>
      </c>
      <c r="G765" s="1" t="s">
        <v>1475</v>
      </c>
      <c r="H765" s="1" t="s">
        <v>1472</v>
      </c>
      <c r="I765" s="17" t="s">
        <v>1504</v>
      </c>
      <c r="J765" s="18" t="s">
        <v>25</v>
      </c>
      <c r="K765" s="19" t="s">
        <v>26</v>
      </c>
      <c r="L765" s="19" t="s">
        <v>29</v>
      </c>
      <c r="M765" s="20">
        <v>5</v>
      </c>
      <c r="N765" s="21">
        <v>69999</v>
      </c>
      <c r="O765" s="22">
        <v>8</v>
      </c>
      <c r="P765" s="23">
        <v>321995.40000000002</v>
      </c>
      <c r="Q765" s="22">
        <v>4.8</v>
      </c>
      <c r="R765" s="22">
        <v>20</v>
      </c>
      <c r="S765" s="23">
        <f>(Table13[[#This Row],[Unit Price]]*Table13[[#This Row],[No.of Units]])*18%</f>
        <v>62999.1</v>
      </c>
      <c r="T765" s="22" t="s">
        <v>1508</v>
      </c>
    </row>
    <row r="766" spans="2:20" x14ac:dyDescent="0.3">
      <c r="B766" s="5" t="s">
        <v>732</v>
      </c>
      <c r="C766" s="1">
        <v>8395290</v>
      </c>
      <c r="D766" s="1">
        <v>46</v>
      </c>
      <c r="E766" s="1" t="s">
        <v>12</v>
      </c>
      <c r="F766" s="16">
        <v>45840</v>
      </c>
      <c r="G766" s="1" t="s">
        <v>1470</v>
      </c>
      <c r="H766" s="1" t="s">
        <v>1482</v>
      </c>
      <c r="I766" s="17" t="s">
        <v>1503</v>
      </c>
      <c r="J766" s="18" t="s">
        <v>28</v>
      </c>
      <c r="K766" s="19" t="s">
        <v>26</v>
      </c>
      <c r="L766" s="19" t="s">
        <v>29</v>
      </c>
      <c r="M766" s="20">
        <v>7</v>
      </c>
      <c r="N766" s="21">
        <v>42999</v>
      </c>
      <c r="O766" s="22">
        <v>15</v>
      </c>
      <c r="P766" s="23">
        <v>255844.05</v>
      </c>
      <c r="Q766" s="22">
        <v>4.5999999999999996</v>
      </c>
      <c r="R766" s="22">
        <v>20</v>
      </c>
      <c r="S766" s="23">
        <f>(Table13[[#This Row],[Unit Price]]*Table13[[#This Row],[No.of Units]])*18%</f>
        <v>54178.74</v>
      </c>
      <c r="T766" s="22" t="s">
        <v>1508</v>
      </c>
    </row>
    <row r="767" spans="2:20" x14ac:dyDescent="0.3">
      <c r="B767" s="5" t="s">
        <v>733</v>
      </c>
      <c r="C767" s="1">
        <v>946941</v>
      </c>
      <c r="D767" s="1">
        <v>36</v>
      </c>
      <c r="E767" s="1" t="s">
        <v>12</v>
      </c>
      <c r="F767" s="16">
        <v>45840</v>
      </c>
      <c r="G767" s="1" t="s">
        <v>1470</v>
      </c>
      <c r="H767" s="1" t="s">
        <v>1471</v>
      </c>
      <c r="I767" s="17" t="s">
        <v>1502</v>
      </c>
      <c r="J767" s="18" t="s">
        <v>13</v>
      </c>
      <c r="K767" s="19" t="s">
        <v>14</v>
      </c>
      <c r="L767" s="19" t="s">
        <v>35</v>
      </c>
      <c r="M767" s="20">
        <v>3</v>
      </c>
      <c r="N767" s="21">
        <v>99999</v>
      </c>
      <c r="O767" s="22">
        <v>10</v>
      </c>
      <c r="P767" s="23">
        <v>269997.3</v>
      </c>
      <c r="Q767" s="22">
        <v>4.7</v>
      </c>
      <c r="R767" s="22">
        <v>20</v>
      </c>
      <c r="S767" s="23">
        <f>(Table13[[#This Row],[Unit Price]]*Table13[[#This Row],[No.of Units]])*18%</f>
        <v>53999.46</v>
      </c>
      <c r="T767" s="22" t="s">
        <v>1508</v>
      </c>
    </row>
    <row r="768" spans="2:20" x14ac:dyDescent="0.3">
      <c r="B768" s="5" t="s">
        <v>734</v>
      </c>
      <c r="C768" s="1">
        <v>1458563</v>
      </c>
      <c r="D768" s="1">
        <v>46</v>
      </c>
      <c r="E768" s="1" t="s">
        <v>12</v>
      </c>
      <c r="F768" s="16">
        <v>45840</v>
      </c>
      <c r="G768" s="1" t="s">
        <v>1470</v>
      </c>
      <c r="H768" s="1" t="s">
        <v>1471</v>
      </c>
      <c r="I768" s="17" t="s">
        <v>1503</v>
      </c>
      <c r="J768" s="18" t="s">
        <v>17</v>
      </c>
      <c r="K768" s="19" t="s">
        <v>18</v>
      </c>
      <c r="L768" s="19" t="s">
        <v>35</v>
      </c>
      <c r="M768" s="20">
        <v>56</v>
      </c>
      <c r="N768" s="21">
        <v>4999</v>
      </c>
      <c r="O768" s="22">
        <v>18</v>
      </c>
      <c r="P768" s="23">
        <v>229554.08000000002</v>
      </c>
      <c r="Q768" s="22">
        <v>4.4000000000000004</v>
      </c>
      <c r="R768" s="22">
        <v>20</v>
      </c>
      <c r="S768" s="23">
        <f>(Table13[[#This Row],[Unit Price]]*Table13[[#This Row],[No.of Units]])*18%</f>
        <v>50389.919999999998</v>
      </c>
      <c r="T768" s="22" t="s">
        <v>1508</v>
      </c>
    </row>
    <row r="769" spans="2:20" x14ac:dyDescent="0.3">
      <c r="B769" s="5" t="s">
        <v>735</v>
      </c>
      <c r="C769" s="1">
        <v>6352387</v>
      </c>
      <c r="D769" s="1">
        <v>61</v>
      </c>
      <c r="E769" s="1" t="s">
        <v>20</v>
      </c>
      <c r="F769" s="16">
        <v>45840</v>
      </c>
      <c r="G769" s="1" t="s">
        <v>1470</v>
      </c>
      <c r="H769" s="1" t="s">
        <v>1471</v>
      </c>
      <c r="I769" s="17" t="s">
        <v>1504</v>
      </c>
      <c r="J769" s="18" t="s">
        <v>21</v>
      </c>
      <c r="K769" s="19" t="s">
        <v>18</v>
      </c>
      <c r="L769" s="19" t="s">
        <v>35</v>
      </c>
      <c r="M769" s="20">
        <v>7</v>
      </c>
      <c r="N769" s="21">
        <v>24900</v>
      </c>
      <c r="O769" s="22">
        <v>5</v>
      </c>
      <c r="P769" s="23">
        <v>165585</v>
      </c>
      <c r="Q769" s="22">
        <v>4.8</v>
      </c>
      <c r="R769" s="22">
        <v>20</v>
      </c>
      <c r="S769" s="23">
        <f>(Table13[[#This Row],[Unit Price]]*Table13[[#This Row],[No.of Units]])*18%</f>
        <v>31374</v>
      </c>
      <c r="T769" s="22" t="s">
        <v>1507</v>
      </c>
    </row>
    <row r="770" spans="2:20" x14ac:dyDescent="0.3">
      <c r="B770" s="5" t="s">
        <v>736</v>
      </c>
      <c r="C770" s="1">
        <v>3994643</v>
      </c>
      <c r="D770" s="1">
        <v>19</v>
      </c>
      <c r="E770" s="1" t="s">
        <v>34</v>
      </c>
      <c r="F770" s="16">
        <v>45840</v>
      </c>
      <c r="G770" s="1" t="s">
        <v>1470</v>
      </c>
      <c r="H770" s="1" t="s">
        <v>1471</v>
      </c>
      <c r="I770" s="17" t="s">
        <v>1505</v>
      </c>
      <c r="J770" s="18" t="s">
        <v>23</v>
      </c>
      <c r="K770" s="19" t="s">
        <v>14</v>
      </c>
      <c r="L770" s="19" t="s">
        <v>35</v>
      </c>
      <c r="M770" s="20">
        <v>5</v>
      </c>
      <c r="N770" s="21">
        <v>84999</v>
      </c>
      <c r="O770" s="22">
        <v>12</v>
      </c>
      <c r="P770" s="23">
        <v>373995.6</v>
      </c>
      <c r="Q770" s="22">
        <v>4.5</v>
      </c>
      <c r="R770" s="22">
        <v>20</v>
      </c>
      <c r="S770" s="23">
        <f>(Table13[[#This Row],[Unit Price]]*Table13[[#This Row],[No.of Units]])*18%</f>
        <v>76499.099999999991</v>
      </c>
      <c r="T770" s="22" t="s">
        <v>1507</v>
      </c>
    </row>
    <row r="771" spans="2:20" x14ac:dyDescent="0.3">
      <c r="B771" s="5" t="s">
        <v>737</v>
      </c>
      <c r="C771" s="1">
        <v>1301703</v>
      </c>
      <c r="D771" s="1">
        <v>35</v>
      </c>
      <c r="E771" s="1" t="s">
        <v>12</v>
      </c>
      <c r="F771" s="16">
        <v>45840</v>
      </c>
      <c r="G771" s="1" t="s">
        <v>1470</v>
      </c>
      <c r="H771" s="1" t="s">
        <v>1482</v>
      </c>
      <c r="I771" s="17" t="s">
        <v>1504</v>
      </c>
      <c r="J771" s="18" t="s">
        <v>25</v>
      </c>
      <c r="K771" s="19" t="s">
        <v>26</v>
      </c>
      <c r="L771" s="19" t="s">
        <v>35</v>
      </c>
      <c r="M771" s="20">
        <v>6</v>
      </c>
      <c r="N771" s="21">
        <v>69999</v>
      </c>
      <c r="O771" s="22">
        <v>8</v>
      </c>
      <c r="P771" s="23">
        <v>386394.48</v>
      </c>
      <c r="Q771" s="22">
        <v>4.8</v>
      </c>
      <c r="R771" s="22">
        <v>20</v>
      </c>
      <c r="S771" s="23">
        <f>(Table13[[#This Row],[Unit Price]]*Table13[[#This Row],[No.of Units]])*18%</f>
        <v>75598.92</v>
      </c>
      <c r="T771" s="22" t="s">
        <v>1508</v>
      </c>
    </row>
    <row r="772" spans="2:20" x14ac:dyDescent="0.3">
      <c r="B772" s="5" t="s">
        <v>738</v>
      </c>
      <c r="C772" s="1">
        <v>9479330</v>
      </c>
      <c r="D772" s="1">
        <v>29</v>
      </c>
      <c r="E772" s="1" t="s">
        <v>12</v>
      </c>
      <c r="F772" s="16">
        <v>45840</v>
      </c>
      <c r="G772" s="1" t="s">
        <v>1470</v>
      </c>
      <c r="H772" s="1" t="s">
        <v>1471</v>
      </c>
      <c r="I772" s="17" t="s">
        <v>1503</v>
      </c>
      <c r="J772" s="18" t="s">
        <v>28</v>
      </c>
      <c r="K772" s="19" t="s">
        <v>26</v>
      </c>
      <c r="L772" s="19" t="s">
        <v>35</v>
      </c>
      <c r="M772" s="20">
        <v>8</v>
      </c>
      <c r="N772" s="21">
        <v>42999</v>
      </c>
      <c r="O772" s="22">
        <v>15</v>
      </c>
      <c r="P772" s="23">
        <v>292393.2</v>
      </c>
      <c r="Q772" s="22">
        <v>4.5999999999999996</v>
      </c>
      <c r="R772" s="22">
        <v>20</v>
      </c>
      <c r="S772" s="23">
        <f>(Table13[[#This Row],[Unit Price]]*Table13[[#This Row],[No.of Units]])*18%</f>
        <v>61918.559999999998</v>
      </c>
      <c r="T772" s="22" t="s">
        <v>1508</v>
      </c>
    </row>
    <row r="773" spans="2:20" x14ac:dyDescent="0.3">
      <c r="B773" s="5" t="s">
        <v>739</v>
      </c>
      <c r="C773" s="1">
        <v>3896864</v>
      </c>
      <c r="D773" s="1">
        <v>37</v>
      </c>
      <c r="E773" s="1" t="s">
        <v>12</v>
      </c>
      <c r="F773" s="16">
        <v>45840</v>
      </c>
      <c r="G773" s="1" t="s">
        <v>1470</v>
      </c>
      <c r="H773" s="1" t="s">
        <v>1472</v>
      </c>
      <c r="I773" s="17" t="s">
        <v>1502</v>
      </c>
      <c r="J773" s="18" t="s">
        <v>13</v>
      </c>
      <c r="K773" s="19" t="s">
        <v>14</v>
      </c>
      <c r="L773" s="19" t="s">
        <v>42</v>
      </c>
      <c r="M773" s="20">
        <v>6</v>
      </c>
      <c r="N773" s="21">
        <v>99999</v>
      </c>
      <c r="O773" s="22">
        <v>10</v>
      </c>
      <c r="P773" s="23">
        <v>539994.6</v>
      </c>
      <c r="Q773" s="22">
        <v>4.7</v>
      </c>
      <c r="R773" s="22">
        <v>20</v>
      </c>
      <c r="S773" s="23">
        <f>(Table13[[#This Row],[Unit Price]]*Table13[[#This Row],[No.of Units]])*18%</f>
        <v>107998.92</v>
      </c>
      <c r="T773" s="22" t="s">
        <v>1508</v>
      </c>
    </row>
    <row r="774" spans="2:20" x14ac:dyDescent="0.3">
      <c r="B774" s="5" t="s">
        <v>740</v>
      </c>
      <c r="C774" s="1">
        <v>1345584</v>
      </c>
      <c r="D774" s="1">
        <v>46</v>
      </c>
      <c r="E774" s="1" t="s">
        <v>12</v>
      </c>
      <c r="F774" s="16">
        <v>45840</v>
      </c>
      <c r="G774" s="1" t="s">
        <v>1470</v>
      </c>
      <c r="H774" s="1" t="s">
        <v>1472</v>
      </c>
      <c r="I774" s="17" t="s">
        <v>1503</v>
      </c>
      <c r="J774" s="18" t="s">
        <v>17</v>
      </c>
      <c r="K774" s="19" t="s">
        <v>18</v>
      </c>
      <c r="L774" s="19" t="s">
        <v>42</v>
      </c>
      <c r="M774" s="20">
        <v>45</v>
      </c>
      <c r="N774" s="21">
        <v>4999</v>
      </c>
      <c r="O774" s="22">
        <v>18</v>
      </c>
      <c r="P774" s="23">
        <v>184463.1</v>
      </c>
      <c r="Q774" s="22">
        <v>4.4000000000000004</v>
      </c>
      <c r="R774" s="22">
        <v>20</v>
      </c>
      <c r="S774" s="23">
        <f>(Table13[[#This Row],[Unit Price]]*Table13[[#This Row],[No.of Units]])*18%</f>
        <v>40491.9</v>
      </c>
      <c r="T774" s="22" t="s">
        <v>1508</v>
      </c>
    </row>
    <row r="775" spans="2:20" x14ac:dyDescent="0.3">
      <c r="B775" s="5" t="s">
        <v>741</v>
      </c>
      <c r="C775" s="1">
        <v>5716860</v>
      </c>
      <c r="D775" s="1">
        <v>18</v>
      </c>
      <c r="E775" s="1" t="s">
        <v>34</v>
      </c>
      <c r="F775" s="16">
        <v>45840</v>
      </c>
      <c r="G775" s="1" t="s">
        <v>1470</v>
      </c>
      <c r="H775" s="1" t="s">
        <v>1483</v>
      </c>
      <c r="I775" s="17" t="s">
        <v>1504</v>
      </c>
      <c r="J775" s="18" t="s">
        <v>21</v>
      </c>
      <c r="K775" s="19" t="s">
        <v>18</v>
      </c>
      <c r="L775" s="19" t="s">
        <v>42</v>
      </c>
      <c r="M775" s="20">
        <v>5</v>
      </c>
      <c r="N775" s="21">
        <v>24900</v>
      </c>
      <c r="O775" s="22">
        <v>5</v>
      </c>
      <c r="P775" s="23">
        <v>118275</v>
      </c>
      <c r="Q775" s="22">
        <v>4.8</v>
      </c>
      <c r="R775" s="22">
        <v>20</v>
      </c>
      <c r="S775" s="23">
        <f>(Table13[[#This Row],[Unit Price]]*Table13[[#This Row],[No.of Units]])*18%</f>
        <v>22410</v>
      </c>
      <c r="T775" s="22" t="s">
        <v>1508</v>
      </c>
    </row>
    <row r="776" spans="2:20" x14ac:dyDescent="0.3">
      <c r="B776" s="5" t="s">
        <v>742</v>
      </c>
      <c r="C776" s="1">
        <v>4272710</v>
      </c>
      <c r="D776" s="1">
        <v>40</v>
      </c>
      <c r="E776" s="1" t="s">
        <v>12</v>
      </c>
      <c r="F776" s="16">
        <v>45840</v>
      </c>
      <c r="G776" s="1" t="s">
        <v>1470</v>
      </c>
      <c r="H776" s="1" t="s">
        <v>1482</v>
      </c>
      <c r="I776" s="17" t="s">
        <v>1505</v>
      </c>
      <c r="J776" s="18" t="s">
        <v>23</v>
      </c>
      <c r="K776" s="19" t="s">
        <v>14</v>
      </c>
      <c r="L776" s="19" t="s">
        <v>42</v>
      </c>
      <c r="M776" s="20">
        <v>2</v>
      </c>
      <c r="N776" s="21">
        <v>84999</v>
      </c>
      <c r="O776" s="22">
        <v>12</v>
      </c>
      <c r="P776" s="23">
        <v>149598.24</v>
      </c>
      <c r="Q776" s="22">
        <v>4.5</v>
      </c>
      <c r="R776" s="22">
        <v>20</v>
      </c>
      <c r="S776" s="23">
        <f>(Table13[[#This Row],[Unit Price]]*Table13[[#This Row],[No.of Units]])*18%</f>
        <v>30599.64</v>
      </c>
      <c r="T776" s="22" t="s">
        <v>1508</v>
      </c>
    </row>
    <row r="777" spans="2:20" x14ac:dyDescent="0.3">
      <c r="B777" s="5" t="s">
        <v>743</v>
      </c>
      <c r="C777" s="1">
        <v>922290</v>
      </c>
      <c r="D777" s="1">
        <v>37</v>
      </c>
      <c r="E777" s="1" t="s">
        <v>12</v>
      </c>
      <c r="F777" s="16">
        <v>45840</v>
      </c>
      <c r="G777" s="1" t="s">
        <v>1470</v>
      </c>
      <c r="H777" s="1" t="s">
        <v>1471</v>
      </c>
      <c r="I777" s="17" t="s">
        <v>1504</v>
      </c>
      <c r="J777" s="18" t="s">
        <v>25</v>
      </c>
      <c r="K777" s="19" t="s">
        <v>26</v>
      </c>
      <c r="L777" s="19" t="s">
        <v>42</v>
      </c>
      <c r="M777" s="20">
        <v>5</v>
      </c>
      <c r="N777" s="21">
        <v>69999</v>
      </c>
      <c r="O777" s="22">
        <v>8</v>
      </c>
      <c r="P777" s="23">
        <v>321995.40000000002</v>
      </c>
      <c r="Q777" s="22">
        <v>4.8</v>
      </c>
      <c r="R777" s="22">
        <v>20</v>
      </c>
      <c r="S777" s="23">
        <f>(Table13[[#This Row],[Unit Price]]*Table13[[#This Row],[No.of Units]])*18%</f>
        <v>62999.1</v>
      </c>
      <c r="T777" s="22" t="s">
        <v>1507</v>
      </c>
    </row>
    <row r="778" spans="2:20" x14ac:dyDescent="0.3">
      <c r="B778" s="5" t="s">
        <v>743</v>
      </c>
      <c r="C778" s="1">
        <v>922290</v>
      </c>
      <c r="D778" s="1">
        <v>61</v>
      </c>
      <c r="E778" s="1" t="s">
        <v>20</v>
      </c>
      <c r="F778" s="16">
        <v>45840</v>
      </c>
      <c r="G778" s="1" t="s">
        <v>1470</v>
      </c>
      <c r="H778" s="1" t="s">
        <v>1471</v>
      </c>
      <c r="I778" s="17" t="s">
        <v>1503</v>
      </c>
      <c r="J778" s="18" t="s">
        <v>28</v>
      </c>
      <c r="K778" s="19" t="s">
        <v>26</v>
      </c>
      <c r="L778" s="19" t="s">
        <v>42</v>
      </c>
      <c r="M778" s="20">
        <v>5</v>
      </c>
      <c r="N778" s="21">
        <v>42999</v>
      </c>
      <c r="O778" s="22">
        <v>15</v>
      </c>
      <c r="P778" s="23">
        <v>182745.75</v>
      </c>
      <c r="Q778" s="22">
        <v>4.5999999999999996</v>
      </c>
      <c r="R778" s="22">
        <v>20</v>
      </c>
      <c r="S778" s="23">
        <f>(Table13[[#This Row],[Unit Price]]*Table13[[#This Row],[No.of Units]])*18%</f>
        <v>38699.1</v>
      </c>
      <c r="T778" s="22" t="s">
        <v>1508</v>
      </c>
    </row>
    <row r="779" spans="2:20" x14ac:dyDescent="0.3">
      <c r="B779" s="5" t="s">
        <v>743</v>
      </c>
      <c r="C779" s="1">
        <v>922290</v>
      </c>
      <c r="D779" s="1">
        <v>47</v>
      </c>
      <c r="E779" s="1" t="s">
        <v>12</v>
      </c>
      <c r="F779" s="16">
        <v>45840</v>
      </c>
      <c r="G779" s="1" t="s">
        <v>1470</v>
      </c>
      <c r="H779" s="1" t="s">
        <v>1471</v>
      </c>
      <c r="I779" s="17" t="s">
        <v>1502</v>
      </c>
      <c r="J779" s="18" t="s">
        <v>13</v>
      </c>
      <c r="K779" s="19" t="s">
        <v>14</v>
      </c>
      <c r="L779" s="19" t="s">
        <v>49</v>
      </c>
      <c r="M779" s="20">
        <v>6</v>
      </c>
      <c r="N779" s="21">
        <v>99999</v>
      </c>
      <c r="O779" s="22">
        <v>10</v>
      </c>
      <c r="P779" s="23">
        <v>539994.6</v>
      </c>
      <c r="Q779" s="22">
        <v>4.7</v>
      </c>
      <c r="R779" s="22">
        <v>20</v>
      </c>
      <c r="S779" s="23">
        <f>(Table13[[#This Row],[Unit Price]]*Table13[[#This Row],[No.of Units]])*18%</f>
        <v>107998.92</v>
      </c>
      <c r="T779" s="22" t="s">
        <v>1508</v>
      </c>
    </row>
    <row r="780" spans="2:20" x14ac:dyDescent="0.3">
      <c r="B780" s="5" t="s">
        <v>744</v>
      </c>
      <c r="C780" s="1">
        <v>1740618</v>
      </c>
      <c r="D780" s="1">
        <v>39</v>
      </c>
      <c r="E780" s="1" t="s">
        <v>12</v>
      </c>
      <c r="F780" s="16">
        <v>45840</v>
      </c>
      <c r="G780" s="1" t="s">
        <v>1470</v>
      </c>
      <c r="H780" s="1" t="s">
        <v>1471</v>
      </c>
      <c r="I780" s="17" t="s">
        <v>1503</v>
      </c>
      <c r="J780" s="18" t="s">
        <v>17</v>
      </c>
      <c r="K780" s="19" t="s">
        <v>18</v>
      </c>
      <c r="L780" s="19" t="s">
        <v>49</v>
      </c>
      <c r="M780" s="20">
        <v>37</v>
      </c>
      <c r="N780" s="21">
        <v>4999</v>
      </c>
      <c r="O780" s="22">
        <v>18</v>
      </c>
      <c r="P780" s="23">
        <v>151669.66</v>
      </c>
      <c r="Q780" s="22">
        <v>4.4000000000000004</v>
      </c>
      <c r="R780" s="22">
        <v>20</v>
      </c>
      <c r="S780" s="23">
        <f>(Table13[[#This Row],[Unit Price]]*Table13[[#This Row],[No.of Units]])*18%</f>
        <v>33293.339999999997</v>
      </c>
      <c r="T780" s="22" t="s">
        <v>1507</v>
      </c>
    </row>
    <row r="781" spans="2:20" x14ac:dyDescent="0.3">
      <c r="B781" s="5" t="s">
        <v>744</v>
      </c>
      <c r="C781" s="1">
        <v>1740618</v>
      </c>
      <c r="D781" s="1">
        <v>38</v>
      </c>
      <c r="E781" s="1" t="s">
        <v>12</v>
      </c>
      <c r="F781" s="16">
        <v>45840</v>
      </c>
      <c r="G781" s="1" t="s">
        <v>1470</v>
      </c>
      <c r="H781" s="1" t="s">
        <v>1472</v>
      </c>
      <c r="I781" s="17" t="s">
        <v>1504</v>
      </c>
      <c r="J781" s="18" t="s">
        <v>21</v>
      </c>
      <c r="K781" s="19" t="s">
        <v>18</v>
      </c>
      <c r="L781" s="19" t="s">
        <v>49</v>
      </c>
      <c r="M781" s="20">
        <v>14</v>
      </c>
      <c r="N781" s="21">
        <v>24900</v>
      </c>
      <c r="O781" s="22">
        <v>5</v>
      </c>
      <c r="P781" s="23">
        <v>331170</v>
      </c>
      <c r="Q781" s="22">
        <v>4.8</v>
      </c>
      <c r="R781" s="22">
        <v>20</v>
      </c>
      <c r="S781" s="23">
        <f>(Table13[[#This Row],[Unit Price]]*Table13[[#This Row],[No.of Units]])*18%</f>
        <v>62748</v>
      </c>
      <c r="T781" s="22" t="s">
        <v>1508</v>
      </c>
    </row>
    <row r="782" spans="2:20" x14ac:dyDescent="0.3">
      <c r="B782" s="5" t="s">
        <v>745</v>
      </c>
      <c r="C782" s="1">
        <v>602968</v>
      </c>
      <c r="D782" s="1">
        <v>28</v>
      </c>
      <c r="E782" s="1" t="s">
        <v>12</v>
      </c>
      <c r="F782" s="16">
        <v>45840</v>
      </c>
      <c r="G782" s="1" t="s">
        <v>1474</v>
      </c>
      <c r="H782" s="1" t="s">
        <v>1481</v>
      </c>
      <c r="I782" s="17" t="s">
        <v>1505</v>
      </c>
      <c r="J782" s="18" t="s">
        <v>23</v>
      </c>
      <c r="K782" s="19" t="s">
        <v>14</v>
      </c>
      <c r="L782" s="19" t="s">
        <v>49</v>
      </c>
      <c r="M782" s="20">
        <v>4</v>
      </c>
      <c r="N782" s="21">
        <v>84999</v>
      </c>
      <c r="O782" s="22">
        <v>12</v>
      </c>
      <c r="P782" s="23">
        <v>299196.48</v>
      </c>
      <c r="Q782" s="22">
        <v>4.5</v>
      </c>
      <c r="R782" s="22">
        <v>20</v>
      </c>
      <c r="S782" s="23">
        <f>(Table13[[#This Row],[Unit Price]]*Table13[[#This Row],[No.of Units]])*18%</f>
        <v>61199.28</v>
      </c>
      <c r="T782" s="22" t="s">
        <v>1507</v>
      </c>
    </row>
    <row r="783" spans="2:20" x14ac:dyDescent="0.3">
      <c r="B783" s="5" t="s">
        <v>746</v>
      </c>
      <c r="C783" s="1">
        <v>9062863</v>
      </c>
      <c r="D783" s="1">
        <v>41</v>
      </c>
      <c r="E783" s="1" t="s">
        <v>12</v>
      </c>
      <c r="F783" s="16">
        <v>45840</v>
      </c>
      <c r="G783" s="1" t="s">
        <v>1475</v>
      </c>
      <c r="H783" s="1" t="s">
        <v>1471</v>
      </c>
      <c r="I783" s="17" t="s">
        <v>1504</v>
      </c>
      <c r="J783" s="18" t="s">
        <v>25</v>
      </c>
      <c r="K783" s="19" t="s">
        <v>26</v>
      </c>
      <c r="L783" s="19" t="s">
        <v>49</v>
      </c>
      <c r="M783" s="20">
        <v>4</v>
      </c>
      <c r="N783" s="21">
        <v>69999</v>
      </c>
      <c r="O783" s="22">
        <v>8</v>
      </c>
      <c r="P783" s="23">
        <v>257596.32</v>
      </c>
      <c r="Q783" s="22">
        <v>4.8</v>
      </c>
      <c r="R783" s="22">
        <v>20</v>
      </c>
      <c r="S783" s="23">
        <f>(Table13[[#This Row],[Unit Price]]*Table13[[#This Row],[No.of Units]])*18%</f>
        <v>50399.28</v>
      </c>
      <c r="T783" s="22" t="s">
        <v>1508</v>
      </c>
    </row>
    <row r="784" spans="2:20" x14ac:dyDescent="0.3">
      <c r="B784" s="5" t="s">
        <v>747</v>
      </c>
      <c r="C784" s="1">
        <v>3613368</v>
      </c>
      <c r="D784" s="1">
        <v>43</v>
      </c>
      <c r="E784" s="1" t="s">
        <v>12</v>
      </c>
      <c r="F784" s="16">
        <v>45840</v>
      </c>
      <c r="G784" s="1" t="s">
        <v>1470</v>
      </c>
      <c r="H784" s="1" t="s">
        <v>1471</v>
      </c>
      <c r="I784" s="17" t="s">
        <v>1503</v>
      </c>
      <c r="J784" s="18" t="s">
        <v>28</v>
      </c>
      <c r="K784" s="19" t="s">
        <v>26</v>
      </c>
      <c r="L784" s="19" t="s">
        <v>49</v>
      </c>
      <c r="M784" s="20">
        <v>11</v>
      </c>
      <c r="N784" s="21">
        <v>42999</v>
      </c>
      <c r="O784" s="22">
        <v>15</v>
      </c>
      <c r="P784" s="23">
        <v>402040.65</v>
      </c>
      <c r="Q784" s="22">
        <v>4.5999999999999996</v>
      </c>
      <c r="R784" s="22">
        <v>20</v>
      </c>
      <c r="S784" s="23">
        <f>(Table13[[#This Row],[Unit Price]]*Table13[[#This Row],[No.of Units]])*18%</f>
        <v>85138.02</v>
      </c>
      <c r="T784" s="22" t="s">
        <v>1508</v>
      </c>
    </row>
    <row r="785" spans="2:20" x14ac:dyDescent="0.3">
      <c r="B785" s="5" t="s">
        <v>748</v>
      </c>
      <c r="C785" s="1">
        <v>4420178</v>
      </c>
      <c r="D785" s="1">
        <v>27</v>
      </c>
      <c r="E785" s="1" t="s">
        <v>12</v>
      </c>
      <c r="F785" s="16">
        <v>45847</v>
      </c>
      <c r="G785" s="1" t="s">
        <v>1470</v>
      </c>
      <c r="H785" s="1" t="s">
        <v>1471</v>
      </c>
      <c r="I785" s="17" t="s">
        <v>1502</v>
      </c>
      <c r="J785" s="18" t="s">
        <v>13</v>
      </c>
      <c r="K785" s="19" t="s">
        <v>14</v>
      </c>
      <c r="L785" s="19" t="s">
        <v>15</v>
      </c>
      <c r="M785" s="20">
        <v>6</v>
      </c>
      <c r="N785" s="21">
        <v>99999</v>
      </c>
      <c r="O785" s="22">
        <v>10</v>
      </c>
      <c r="P785" s="23">
        <v>539994.6</v>
      </c>
      <c r="Q785" s="22">
        <v>4.7</v>
      </c>
      <c r="R785" s="22">
        <v>20</v>
      </c>
      <c r="S785" s="23">
        <f>(Table13[[#This Row],[Unit Price]]*Table13[[#This Row],[No.of Units]])*18%</f>
        <v>107998.92</v>
      </c>
      <c r="T785" s="22" t="s">
        <v>1508</v>
      </c>
    </row>
    <row r="786" spans="2:20" x14ac:dyDescent="0.3">
      <c r="B786" s="5" t="s">
        <v>749</v>
      </c>
      <c r="C786" s="1">
        <v>4969411</v>
      </c>
      <c r="D786" s="1">
        <v>37</v>
      </c>
      <c r="E786" s="1" t="s">
        <v>12</v>
      </c>
      <c r="F786" s="16">
        <v>45847</v>
      </c>
      <c r="G786" s="1" t="s">
        <v>1470</v>
      </c>
      <c r="H786" s="1" t="s">
        <v>1471</v>
      </c>
      <c r="I786" s="17" t="s">
        <v>1503</v>
      </c>
      <c r="J786" s="18" t="s">
        <v>17</v>
      </c>
      <c r="K786" s="19" t="s">
        <v>18</v>
      </c>
      <c r="L786" s="19" t="s">
        <v>15</v>
      </c>
      <c r="M786" s="20">
        <v>60</v>
      </c>
      <c r="N786" s="21">
        <v>4999</v>
      </c>
      <c r="O786" s="22">
        <v>18</v>
      </c>
      <c r="P786" s="23">
        <v>245950.8</v>
      </c>
      <c r="Q786" s="22">
        <v>4.4000000000000004</v>
      </c>
      <c r="R786" s="22">
        <v>20</v>
      </c>
      <c r="S786" s="23">
        <f>(Table13[[#This Row],[Unit Price]]*Table13[[#This Row],[No.of Units]])*18%</f>
        <v>53989.2</v>
      </c>
      <c r="T786" s="22" t="s">
        <v>1508</v>
      </c>
    </row>
    <row r="787" spans="2:20" x14ac:dyDescent="0.3">
      <c r="B787" s="5" t="s">
        <v>750</v>
      </c>
      <c r="C787" s="1">
        <v>9145699</v>
      </c>
      <c r="D787" s="1">
        <v>40</v>
      </c>
      <c r="E787" s="1" t="s">
        <v>12</v>
      </c>
      <c r="F787" s="16">
        <v>45847</v>
      </c>
      <c r="G787" s="1" t="s">
        <v>1470</v>
      </c>
      <c r="H787" s="1" t="s">
        <v>1482</v>
      </c>
      <c r="I787" s="17" t="s">
        <v>1504</v>
      </c>
      <c r="J787" s="18" t="s">
        <v>21</v>
      </c>
      <c r="K787" s="19" t="s">
        <v>18</v>
      </c>
      <c r="L787" s="19" t="s">
        <v>15</v>
      </c>
      <c r="M787" s="20">
        <v>6</v>
      </c>
      <c r="N787" s="21">
        <v>24900</v>
      </c>
      <c r="O787" s="22">
        <v>5</v>
      </c>
      <c r="P787" s="23">
        <v>141930</v>
      </c>
      <c r="Q787" s="22">
        <v>4.8</v>
      </c>
      <c r="R787" s="22">
        <v>20</v>
      </c>
      <c r="S787" s="23">
        <f>(Table13[[#This Row],[Unit Price]]*Table13[[#This Row],[No.of Units]])*18%</f>
        <v>26892</v>
      </c>
      <c r="T787" s="22" t="s">
        <v>1508</v>
      </c>
    </row>
    <row r="788" spans="2:20" x14ac:dyDescent="0.3">
      <c r="B788" s="5" t="s">
        <v>751</v>
      </c>
      <c r="C788" s="1">
        <v>9303710</v>
      </c>
      <c r="D788" s="1">
        <v>57</v>
      </c>
      <c r="E788" s="1" t="s">
        <v>20</v>
      </c>
      <c r="F788" s="16">
        <v>45847</v>
      </c>
      <c r="G788" s="1" t="s">
        <v>1470</v>
      </c>
      <c r="H788" s="1" t="s">
        <v>1482</v>
      </c>
      <c r="I788" s="17" t="s">
        <v>1505</v>
      </c>
      <c r="J788" s="18" t="s">
        <v>23</v>
      </c>
      <c r="K788" s="19" t="s">
        <v>14</v>
      </c>
      <c r="L788" s="19" t="s">
        <v>15</v>
      </c>
      <c r="M788" s="20">
        <v>6</v>
      </c>
      <c r="N788" s="21">
        <v>84999</v>
      </c>
      <c r="O788" s="22">
        <v>12</v>
      </c>
      <c r="P788" s="23">
        <v>448794.72</v>
      </c>
      <c r="Q788" s="22">
        <v>4.5</v>
      </c>
      <c r="R788" s="22">
        <v>20</v>
      </c>
      <c r="S788" s="23">
        <f>(Table13[[#This Row],[Unit Price]]*Table13[[#This Row],[No.of Units]])*18%</f>
        <v>91798.92</v>
      </c>
      <c r="T788" s="22" t="s">
        <v>1508</v>
      </c>
    </row>
    <row r="789" spans="2:20" x14ac:dyDescent="0.3">
      <c r="B789" s="5" t="s">
        <v>752</v>
      </c>
      <c r="C789" s="1">
        <v>3306879</v>
      </c>
      <c r="D789" s="1">
        <v>23</v>
      </c>
      <c r="E789" s="1" t="s">
        <v>12</v>
      </c>
      <c r="F789" s="16">
        <v>45847</v>
      </c>
      <c r="G789" s="1" t="s">
        <v>1470</v>
      </c>
      <c r="H789" s="1" t="s">
        <v>1471</v>
      </c>
      <c r="I789" s="17" t="s">
        <v>1504</v>
      </c>
      <c r="J789" s="18" t="s">
        <v>25</v>
      </c>
      <c r="K789" s="19" t="s">
        <v>26</v>
      </c>
      <c r="L789" s="19" t="s">
        <v>15</v>
      </c>
      <c r="M789" s="20">
        <v>3</v>
      </c>
      <c r="N789" s="21">
        <v>69999</v>
      </c>
      <c r="O789" s="22">
        <v>8</v>
      </c>
      <c r="P789" s="23">
        <v>193197.24</v>
      </c>
      <c r="Q789" s="22">
        <v>4.8</v>
      </c>
      <c r="R789" s="22">
        <v>20</v>
      </c>
      <c r="S789" s="23">
        <f>(Table13[[#This Row],[Unit Price]]*Table13[[#This Row],[No.of Units]])*18%</f>
        <v>37799.46</v>
      </c>
      <c r="T789" s="22" t="s">
        <v>1507</v>
      </c>
    </row>
    <row r="790" spans="2:20" x14ac:dyDescent="0.3">
      <c r="B790" s="5" t="s">
        <v>753</v>
      </c>
      <c r="C790" s="1">
        <v>3772426</v>
      </c>
      <c r="D790" s="1">
        <v>44</v>
      </c>
      <c r="E790" s="1" t="s">
        <v>12</v>
      </c>
      <c r="F790" s="16">
        <v>45847</v>
      </c>
      <c r="G790" s="1" t="s">
        <v>1470</v>
      </c>
      <c r="H790" s="1" t="s">
        <v>1482</v>
      </c>
      <c r="I790" s="17" t="s">
        <v>1503</v>
      </c>
      <c r="J790" s="18" t="s">
        <v>28</v>
      </c>
      <c r="K790" s="19" t="s">
        <v>26</v>
      </c>
      <c r="L790" s="19" t="s">
        <v>15</v>
      </c>
      <c r="M790" s="20">
        <v>7</v>
      </c>
      <c r="N790" s="21">
        <v>42999</v>
      </c>
      <c r="O790" s="22">
        <v>15</v>
      </c>
      <c r="P790" s="23">
        <v>255844.05</v>
      </c>
      <c r="Q790" s="22">
        <v>4.5999999999999996</v>
      </c>
      <c r="R790" s="22">
        <v>20</v>
      </c>
      <c r="S790" s="23">
        <f>(Table13[[#This Row],[Unit Price]]*Table13[[#This Row],[No.of Units]])*18%</f>
        <v>54178.74</v>
      </c>
      <c r="T790" s="22" t="s">
        <v>1508</v>
      </c>
    </row>
    <row r="791" spans="2:20" x14ac:dyDescent="0.3">
      <c r="B791" s="5" t="s">
        <v>754</v>
      </c>
      <c r="C791" s="1">
        <v>6142702</v>
      </c>
      <c r="D791" s="1">
        <v>27</v>
      </c>
      <c r="E791" s="1" t="s">
        <v>12</v>
      </c>
      <c r="F791" s="16">
        <v>45847</v>
      </c>
      <c r="G791" s="1" t="s">
        <v>1470</v>
      </c>
      <c r="H791" s="1" t="s">
        <v>1482</v>
      </c>
      <c r="I791" s="17" t="s">
        <v>1502</v>
      </c>
      <c r="J791" s="18" t="s">
        <v>13</v>
      </c>
      <c r="K791" s="19" t="s">
        <v>14</v>
      </c>
      <c r="L791" s="19" t="s">
        <v>29</v>
      </c>
      <c r="M791" s="20">
        <v>4</v>
      </c>
      <c r="N791" s="21">
        <v>99999</v>
      </c>
      <c r="O791" s="22">
        <v>10</v>
      </c>
      <c r="P791" s="23">
        <v>359996.4</v>
      </c>
      <c r="Q791" s="22">
        <v>4.7</v>
      </c>
      <c r="R791" s="22">
        <v>20</v>
      </c>
      <c r="S791" s="23">
        <f>(Table13[[#This Row],[Unit Price]]*Table13[[#This Row],[No.of Units]])*18%</f>
        <v>71999.28</v>
      </c>
      <c r="T791" s="22" t="s">
        <v>1508</v>
      </c>
    </row>
    <row r="792" spans="2:20" x14ac:dyDescent="0.3">
      <c r="B792" s="5" t="s">
        <v>755</v>
      </c>
      <c r="C792" s="1">
        <v>9677638</v>
      </c>
      <c r="D792" s="1">
        <v>46</v>
      </c>
      <c r="E792" s="1" t="s">
        <v>12</v>
      </c>
      <c r="F792" s="16">
        <v>45847</v>
      </c>
      <c r="G792" s="1" t="s">
        <v>1470</v>
      </c>
      <c r="H792" s="1" t="s">
        <v>1472</v>
      </c>
      <c r="I792" s="17" t="s">
        <v>1503</v>
      </c>
      <c r="J792" s="18" t="s">
        <v>17</v>
      </c>
      <c r="K792" s="19" t="s">
        <v>18</v>
      </c>
      <c r="L792" s="19" t="s">
        <v>29</v>
      </c>
      <c r="M792" s="20">
        <v>32</v>
      </c>
      <c r="N792" s="21">
        <v>4999</v>
      </c>
      <c r="O792" s="22">
        <v>18</v>
      </c>
      <c r="P792" s="23">
        <v>131173.76000000001</v>
      </c>
      <c r="Q792" s="22">
        <v>4.4000000000000004</v>
      </c>
      <c r="R792" s="22">
        <v>20</v>
      </c>
      <c r="S792" s="23">
        <f>(Table13[[#This Row],[Unit Price]]*Table13[[#This Row],[No.of Units]])*18%</f>
        <v>28794.239999999998</v>
      </c>
      <c r="T792" s="22" t="s">
        <v>1508</v>
      </c>
    </row>
    <row r="793" spans="2:20" x14ac:dyDescent="0.3">
      <c r="B793" s="5" t="s">
        <v>756</v>
      </c>
      <c r="C793" s="1">
        <v>3539534</v>
      </c>
      <c r="D793" s="1">
        <v>29</v>
      </c>
      <c r="E793" s="1" t="s">
        <v>12</v>
      </c>
      <c r="F793" s="16">
        <v>45847</v>
      </c>
      <c r="G793" s="1" t="s">
        <v>1470</v>
      </c>
      <c r="H793" s="1" t="s">
        <v>1483</v>
      </c>
      <c r="I793" s="17" t="s">
        <v>1504</v>
      </c>
      <c r="J793" s="18" t="s">
        <v>21</v>
      </c>
      <c r="K793" s="19" t="s">
        <v>18</v>
      </c>
      <c r="L793" s="19" t="s">
        <v>29</v>
      </c>
      <c r="M793" s="20">
        <v>7</v>
      </c>
      <c r="N793" s="21">
        <v>24900</v>
      </c>
      <c r="O793" s="22">
        <v>5</v>
      </c>
      <c r="P793" s="23">
        <v>165585</v>
      </c>
      <c r="Q793" s="22">
        <v>4.8</v>
      </c>
      <c r="R793" s="22">
        <v>20</v>
      </c>
      <c r="S793" s="23">
        <f>(Table13[[#This Row],[Unit Price]]*Table13[[#This Row],[No.of Units]])*18%</f>
        <v>31374</v>
      </c>
      <c r="T793" s="22" t="s">
        <v>1508</v>
      </c>
    </row>
    <row r="794" spans="2:20" x14ac:dyDescent="0.3">
      <c r="B794" s="5" t="s">
        <v>757</v>
      </c>
      <c r="C794" s="1">
        <v>3693017</v>
      </c>
      <c r="D794" s="1">
        <v>21</v>
      </c>
      <c r="E794" s="1" t="s">
        <v>12</v>
      </c>
      <c r="F794" s="16">
        <v>45847</v>
      </c>
      <c r="G794" s="1" t="s">
        <v>1470</v>
      </c>
      <c r="H794" s="1" t="s">
        <v>1471</v>
      </c>
      <c r="I794" s="17" t="s">
        <v>1505</v>
      </c>
      <c r="J794" s="18" t="s">
        <v>23</v>
      </c>
      <c r="K794" s="19" t="s">
        <v>14</v>
      </c>
      <c r="L794" s="19" t="s">
        <v>29</v>
      </c>
      <c r="M794" s="20">
        <v>3</v>
      </c>
      <c r="N794" s="21">
        <v>84999</v>
      </c>
      <c r="O794" s="22">
        <v>12</v>
      </c>
      <c r="P794" s="23">
        <v>224397.36</v>
      </c>
      <c r="Q794" s="22">
        <v>4.5</v>
      </c>
      <c r="R794" s="22">
        <v>20</v>
      </c>
      <c r="S794" s="23">
        <f>(Table13[[#This Row],[Unit Price]]*Table13[[#This Row],[No.of Units]])*18%</f>
        <v>45899.46</v>
      </c>
      <c r="T794" s="22" t="s">
        <v>1507</v>
      </c>
    </row>
    <row r="795" spans="2:20" x14ac:dyDescent="0.3">
      <c r="B795" s="5" t="s">
        <v>758</v>
      </c>
      <c r="C795" s="1">
        <v>908483</v>
      </c>
      <c r="D795" s="1">
        <v>23</v>
      </c>
      <c r="E795" s="1" t="s">
        <v>12</v>
      </c>
      <c r="F795" s="16">
        <v>45847</v>
      </c>
      <c r="G795" s="1" t="s">
        <v>1475</v>
      </c>
      <c r="H795" s="1" t="s">
        <v>1482</v>
      </c>
      <c r="I795" s="17" t="s">
        <v>1504</v>
      </c>
      <c r="J795" s="18" t="s">
        <v>25</v>
      </c>
      <c r="K795" s="19" t="s">
        <v>26</v>
      </c>
      <c r="L795" s="19" t="s">
        <v>29</v>
      </c>
      <c r="M795" s="20">
        <v>2</v>
      </c>
      <c r="N795" s="21">
        <v>69999</v>
      </c>
      <c r="O795" s="22">
        <v>8</v>
      </c>
      <c r="P795" s="23">
        <v>128798.16</v>
      </c>
      <c r="Q795" s="22">
        <v>4.8</v>
      </c>
      <c r="R795" s="22">
        <v>20</v>
      </c>
      <c r="S795" s="23">
        <f>(Table13[[#This Row],[Unit Price]]*Table13[[#This Row],[No.of Units]])*18%</f>
        <v>25199.64</v>
      </c>
      <c r="T795" s="22" t="s">
        <v>1508</v>
      </c>
    </row>
    <row r="796" spans="2:20" x14ac:dyDescent="0.3">
      <c r="B796" s="5" t="s">
        <v>759</v>
      </c>
      <c r="C796" s="1">
        <v>3061762</v>
      </c>
      <c r="D796" s="1">
        <v>40</v>
      </c>
      <c r="E796" s="1" t="s">
        <v>12</v>
      </c>
      <c r="F796" s="16">
        <v>45847</v>
      </c>
      <c r="G796" s="1" t="s">
        <v>1470</v>
      </c>
      <c r="H796" s="1" t="s">
        <v>1481</v>
      </c>
      <c r="I796" s="17" t="s">
        <v>1503</v>
      </c>
      <c r="J796" s="18" t="s">
        <v>28</v>
      </c>
      <c r="K796" s="19" t="s">
        <v>26</v>
      </c>
      <c r="L796" s="19" t="s">
        <v>29</v>
      </c>
      <c r="M796" s="20">
        <v>6</v>
      </c>
      <c r="N796" s="21">
        <v>42999</v>
      </c>
      <c r="O796" s="22">
        <v>15</v>
      </c>
      <c r="P796" s="23">
        <v>219294.9</v>
      </c>
      <c r="Q796" s="22">
        <v>4.5999999999999996</v>
      </c>
      <c r="R796" s="22">
        <v>20</v>
      </c>
      <c r="S796" s="23">
        <f>(Table13[[#This Row],[Unit Price]]*Table13[[#This Row],[No.of Units]])*18%</f>
        <v>46438.92</v>
      </c>
      <c r="T796" s="22" t="s">
        <v>1508</v>
      </c>
    </row>
    <row r="797" spans="2:20" x14ac:dyDescent="0.3">
      <c r="B797" s="5" t="s">
        <v>760</v>
      </c>
      <c r="C797" s="1">
        <v>309970</v>
      </c>
      <c r="D797" s="1">
        <v>19</v>
      </c>
      <c r="E797" s="1" t="s">
        <v>34</v>
      </c>
      <c r="F797" s="16">
        <v>45847</v>
      </c>
      <c r="G797" s="1" t="s">
        <v>1470</v>
      </c>
      <c r="H797" s="1" t="s">
        <v>1482</v>
      </c>
      <c r="I797" s="17" t="s">
        <v>1502</v>
      </c>
      <c r="J797" s="18" t="s">
        <v>13</v>
      </c>
      <c r="K797" s="19" t="s">
        <v>14</v>
      </c>
      <c r="L797" s="19" t="s">
        <v>35</v>
      </c>
      <c r="M797" s="20">
        <v>5</v>
      </c>
      <c r="N797" s="21">
        <v>99999</v>
      </c>
      <c r="O797" s="22">
        <v>10</v>
      </c>
      <c r="P797" s="23">
        <v>449995.5</v>
      </c>
      <c r="Q797" s="22">
        <v>4.7</v>
      </c>
      <c r="R797" s="22">
        <v>20</v>
      </c>
      <c r="S797" s="23">
        <f>(Table13[[#This Row],[Unit Price]]*Table13[[#This Row],[No.of Units]])*18%</f>
        <v>89999.099999999991</v>
      </c>
      <c r="T797" s="22" t="s">
        <v>1508</v>
      </c>
    </row>
    <row r="798" spans="2:20" x14ac:dyDescent="0.3">
      <c r="B798" s="5" t="s">
        <v>761</v>
      </c>
      <c r="C798" s="1">
        <v>1438249</v>
      </c>
      <c r="D798" s="1">
        <v>39</v>
      </c>
      <c r="E798" s="1" t="s">
        <v>12</v>
      </c>
      <c r="F798" s="16">
        <v>45847</v>
      </c>
      <c r="G798" s="1" t="s">
        <v>1470</v>
      </c>
      <c r="H798" s="1" t="s">
        <v>1471</v>
      </c>
      <c r="I798" s="17" t="s">
        <v>1503</v>
      </c>
      <c r="J798" s="18" t="s">
        <v>17</v>
      </c>
      <c r="K798" s="19" t="s">
        <v>18</v>
      </c>
      <c r="L798" s="19" t="s">
        <v>35</v>
      </c>
      <c r="M798" s="20">
        <v>33</v>
      </c>
      <c r="N798" s="21">
        <v>4999</v>
      </c>
      <c r="O798" s="22">
        <v>18</v>
      </c>
      <c r="P798" s="23">
        <v>135272.94</v>
      </c>
      <c r="Q798" s="22">
        <v>4.4000000000000004</v>
      </c>
      <c r="R798" s="22">
        <v>20</v>
      </c>
      <c r="S798" s="23">
        <f>(Table13[[#This Row],[Unit Price]]*Table13[[#This Row],[No.of Units]])*18%</f>
        <v>29694.059999999998</v>
      </c>
      <c r="T798" s="22" t="s">
        <v>1507</v>
      </c>
    </row>
    <row r="799" spans="2:20" x14ac:dyDescent="0.3">
      <c r="B799" s="5" t="s">
        <v>762</v>
      </c>
      <c r="C799" s="1">
        <v>1877949</v>
      </c>
      <c r="D799" s="1">
        <v>43</v>
      </c>
      <c r="E799" s="1" t="s">
        <v>12</v>
      </c>
      <c r="F799" s="16">
        <v>45847</v>
      </c>
      <c r="G799" s="1" t="s">
        <v>1470</v>
      </c>
      <c r="H799" s="1" t="s">
        <v>1472</v>
      </c>
      <c r="I799" s="17" t="s">
        <v>1504</v>
      </c>
      <c r="J799" s="18" t="s">
        <v>21</v>
      </c>
      <c r="K799" s="19" t="s">
        <v>18</v>
      </c>
      <c r="L799" s="19" t="s">
        <v>35</v>
      </c>
      <c r="M799" s="20">
        <v>7</v>
      </c>
      <c r="N799" s="21">
        <v>24900</v>
      </c>
      <c r="O799" s="22">
        <v>5</v>
      </c>
      <c r="P799" s="23">
        <v>165585</v>
      </c>
      <c r="Q799" s="22">
        <v>4.8</v>
      </c>
      <c r="R799" s="22">
        <v>20</v>
      </c>
      <c r="S799" s="23">
        <f>(Table13[[#This Row],[Unit Price]]*Table13[[#This Row],[No.of Units]])*18%</f>
        <v>31374</v>
      </c>
      <c r="T799" s="22" t="s">
        <v>1508</v>
      </c>
    </row>
    <row r="800" spans="2:20" x14ac:dyDescent="0.3">
      <c r="B800" s="5" t="s">
        <v>763</v>
      </c>
      <c r="C800" s="1">
        <v>9045024</v>
      </c>
      <c r="D800" s="1">
        <v>25</v>
      </c>
      <c r="E800" s="1" t="s">
        <v>12</v>
      </c>
      <c r="F800" s="16">
        <v>45847</v>
      </c>
      <c r="G800" s="1" t="s">
        <v>1470</v>
      </c>
      <c r="H800" s="1" t="s">
        <v>1471</v>
      </c>
      <c r="I800" s="17" t="s">
        <v>1505</v>
      </c>
      <c r="J800" s="18" t="s">
        <v>23</v>
      </c>
      <c r="K800" s="19" t="s">
        <v>14</v>
      </c>
      <c r="L800" s="19" t="s">
        <v>35</v>
      </c>
      <c r="M800" s="20">
        <v>5</v>
      </c>
      <c r="N800" s="21">
        <v>84999</v>
      </c>
      <c r="O800" s="22">
        <v>12</v>
      </c>
      <c r="P800" s="23">
        <v>373995.6</v>
      </c>
      <c r="Q800" s="22">
        <v>4.5</v>
      </c>
      <c r="R800" s="22">
        <v>20</v>
      </c>
      <c r="S800" s="23">
        <f>(Table13[[#This Row],[Unit Price]]*Table13[[#This Row],[No.of Units]])*18%</f>
        <v>76499.099999999991</v>
      </c>
      <c r="T800" s="22" t="s">
        <v>1507</v>
      </c>
    </row>
    <row r="801" spans="2:20" x14ac:dyDescent="0.3">
      <c r="B801" s="5" t="s">
        <v>764</v>
      </c>
      <c r="C801" s="1">
        <v>7001559</v>
      </c>
      <c r="D801" s="1">
        <v>72</v>
      </c>
      <c r="E801" s="1" t="s">
        <v>20</v>
      </c>
      <c r="F801" s="16">
        <v>45847</v>
      </c>
      <c r="G801" s="1" t="s">
        <v>1470</v>
      </c>
      <c r="H801" s="1" t="s">
        <v>1471</v>
      </c>
      <c r="I801" s="17" t="s">
        <v>1504</v>
      </c>
      <c r="J801" s="18" t="s">
        <v>25</v>
      </c>
      <c r="K801" s="19" t="s">
        <v>26</v>
      </c>
      <c r="L801" s="19" t="s">
        <v>35</v>
      </c>
      <c r="M801" s="20">
        <v>4</v>
      </c>
      <c r="N801" s="21">
        <v>69999</v>
      </c>
      <c r="O801" s="22">
        <v>8</v>
      </c>
      <c r="P801" s="23">
        <v>257596.32</v>
      </c>
      <c r="Q801" s="22">
        <v>4.8</v>
      </c>
      <c r="R801" s="22">
        <v>20</v>
      </c>
      <c r="S801" s="23">
        <f>(Table13[[#This Row],[Unit Price]]*Table13[[#This Row],[No.of Units]])*18%</f>
        <v>50399.28</v>
      </c>
      <c r="T801" s="22" t="s">
        <v>1507</v>
      </c>
    </row>
    <row r="802" spans="2:20" x14ac:dyDescent="0.3">
      <c r="B802" s="5" t="s">
        <v>765</v>
      </c>
      <c r="C802" s="1">
        <v>9419615</v>
      </c>
      <c r="D802" s="1">
        <v>21</v>
      </c>
      <c r="E802" s="1" t="s">
        <v>12</v>
      </c>
      <c r="F802" s="16">
        <v>45847</v>
      </c>
      <c r="G802" s="1" t="s">
        <v>1470</v>
      </c>
      <c r="H802" s="1" t="s">
        <v>1471</v>
      </c>
      <c r="I802" s="17" t="s">
        <v>1503</v>
      </c>
      <c r="J802" s="18" t="s">
        <v>28</v>
      </c>
      <c r="K802" s="19" t="s">
        <v>26</v>
      </c>
      <c r="L802" s="19" t="s">
        <v>35</v>
      </c>
      <c r="M802" s="20">
        <v>7</v>
      </c>
      <c r="N802" s="21">
        <v>42999</v>
      </c>
      <c r="O802" s="22">
        <v>15</v>
      </c>
      <c r="P802" s="23">
        <v>255844.05</v>
      </c>
      <c r="Q802" s="22">
        <v>4.5999999999999996</v>
      </c>
      <c r="R802" s="22">
        <v>20</v>
      </c>
      <c r="S802" s="23">
        <f>(Table13[[#This Row],[Unit Price]]*Table13[[#This Row],[No.of Units]])*18%</f>
        <v>54178.74</v>
      </c>
      <c r="T802" s="22" t="s">
        <v>1507</v>
      </c>
    </row>
    <row r="803" spans="2:20" x14ac:dyDescent="0.3">
      <c r="B803" s="5" t="s">
        <v>766</v>
      </c>
      <c r="C803" s="1">
        <v>472980</v>
      </c>
      <c r="D803" s="1">
        <v>61</v>
      </c>
      <c r="E803" s="1" t="s">
        <v>20</v>
      </c>
      <c r="F803" s="16">
        <v>45847</v>
      </c>
      <c r="G803" s="1" t="s">
        <v>1470</v>
      </c>
      <c r="H803" s="1" t="s">
        <v>1482</v>
      </c>
      <c r="I803" s="17" t="s">
        <v>1502</v>
      </c>
      <c r="J803" s="18" t="s">
        <v>13</v>
      </c>
      <c r="K803" s="19" t="s">
        <v>14</v>
      </c>
      <c r="L803" s="19" t="s">
        <v>42</v>
      </c>
      <c r="M803" s="20">
        <v>4</v>
      </c>
      <c r="N803" s="21">
        <v>99999</v>
      </c>
      <c r="O803" s="22">
        <v>10</v>
      </c>
      <c r="P803" s="23">
        <v>359996.4</v>
      </c>
      <c r="Q803" s="22">
        <v>4.7</v>
      </c>
      <c r="R803" s="22">
        <v>20</v>
      </c>
      <c r="S803" s="23">
        <f>(Table13[[#This Row],[Unit Price]]*Table13[[#This Row],[No.of Units]])*18%</f>
        <v>71999.28</v>
      </c>
      <c r="T803" s="22" t="s">
        <v>1508</v>
      </c>
    </row>
    <row r="804" spans="2:20" x14ac:dyDescent="0.3">
      <c r="B804" s="5" t="s">
        <v>767</v>
      </c>
      <c r="C804" s="1">
        <v>2179320</v>
      </c>
      <c r="D804" s="1">
        <v>36</v>
      </c>
      <c r="E804" s="1" t="s">
        <v>12</v>
      </c>
      <c r="F804" s="16">
        <v>45847</v>
      </c>
      <c r="G804" s="1" t="s">
        <v>1470</v>
      </c>
      <c r="H804" s="1" t="s">
        <v>1472</v>
      </c>
      <c r="I804" s="17" t="s">
        <v>1503</v>
      </c>
      <c r="J804" s="18" t="s">
        <v>17</v>
      </c>
      <c r="K804" s="19" t="s">
        <v>18</v>
      </c>
      <c r="L804" s="19" t="s">
        <v>42</v>
      </c>
      <c r="M804" s="20">
        <v>54</v>
      </c>
      <c r="N804" s="21">
        <v>4999</v>
      </c>
      <c r="O804" s="22">
        <v>18</v>
      </c>
      <c r="P804" s="23">
        <v>221355.72</v>
      </c>
      <c r="Q804" s="22">
        <v>4.4000000000000004</v>
      </c>
      <c r="R804" s="22">
        <v>20</v>
      </c>
      <c r="S804" s="23">
        <f>(Table13[[#This Row],[Unit Price]]*Table13[[#This Row],[No.of Units]])*18%</f>
        <v>48590.28</v>
      </c>
      <c r="T804" s="22" t="s">
        <v>1507</v>
      </c>
    </row>
    <row r="805" spans="2:20" x14ac:dyDescent="0.3">
      <c r="B805" s="5" t="s">
        <v>768</v>
      </c>
      <c r="C805" s="1">
        <v>2051832</v>
      </c>
      <c r="D805" s="1">
        <v>46</v>
      </c>
      <c r="E805" s="1" t="s">
        <v>12</v>
      </c>
      <c r="F805" s="16">
        <v>45847</v>
      </c>
      <c r="G805" s="1" t="s">
        <v>1470</v>
      </c>
      <c r="H805" s="1" t="s">
        <v>1482</v>
      </c>
      <c r="I805" s="17" t="s">
        <v>1504</v>
      </c>
      <c r="J805" s="18" t="s">
        <v>21</v>
      </c>
      <c r="K805" s="19" t="s">
        <v>18</v>
      </c>
      <c r="L805" s="19" t="s">
        <v>42</v>
      </c>
      <c r="M805" s="20">
        <v>12</v>
      </c>
      <c r="N805" s="21">
        <v>24900</v>
      </c>
      <c r="O805" s="22">
        <v>5</v>
      </c>
      <c r="P805" s="23">
        <v>283860</v>
      </c>
      <c r="Q805" s="22">
        <v>4.8</v>
      </c>
      <c r="R805" s="22">
        <v>20</v>
      </c>
      <c r="S805" s="23">
        <f>(Table13[[#This Row],[Unit Price]]*Table13[[#This Row],[No.of Units]])*18%</f>
        <v>53784</v>
      </c>
      <c r="T805" s="22" t="s">
        <v>1508</v>
      </c>
    </row>
    <row r="806" spans="2:20" x14ac:dyDescent="0.3">
      <c r="B806" s="5" t="s">
        <v>769</v>
      </c>
      <c r="C806" s="1">
        <v>1945413</v>
      </c>
      <c r="D806" s="1">
        <v>33</v>
      </c>
      <c r="E806" s="1" t="s">
        <v>12</v>
      </c>
      <c r="F806" s="16">
        <v>45847</v>
      </c>
      <c r="G806" s="1" t="s">
        <v>1475</v>
      </c>
      <c r="H806" s="1" t="s">
        <v>1472</v>
      </c>
      <c r="I806" s="17" t="s">
        <v>1505</v>
      </c>
      <c r="J806" s="18" t="s">
        <v>23</v>
      </c>
      <c r="K806" s="19" t="s">
        <v>14</v>
      </c>
      <c r="L806" s="19" t="s">
        <v>42</v>
      </c>
      <c r="M806" s="20">
        <v>4</v>
      </c>
      <c r="N806" s="21">
        <v>84999</v>
      </c>
      <c r="O806" s="22">
        <v>12</v>
      </c>
      <c r="P806" s="23">
        <v>299196.48</v>
      </c>
      <c r="Q806" s="22">
        <v>4.5</v>
      </c>
      <c r="R806" s="22">
        <v>20</v>
      </c>
      <c r="S806" s="23">
        <f>(Table13[[#This Row],[Unit Price]]*Table13[[#This Row],[No.of Units]])*18%</f>
        <v>61199.28</v>
      </c>
      <c r="T806" s="22" t="s">
        <v>1508</v>
      </c>
    </row>
    <row r="807" spans="2:20" x14ac:dyDescent="0.3">
      <c r="B807" s="5" t="s">
        <v>770</v>
      </c>
      <c r="C807" s="1">
        <v>8267857</v>
      </c>
      <c r="D807" s="1">
        <v>46</v>
      </c>
      <c r="E807" s="1" t="s">
        <v>12</v>
      </c>
      <c r="F807" s="16">
        <v>45847</v>
      </c>
      <c r="G807" s="1" t="s">
        <v>1470</v>
      </c>
      <c r="H807" s="1" t="s">
        <v>1482</v>
      </c>
      <c r="I807" s="17" t="s">
        <v>1504</v>
      </c>
      <c r="J807" s="18" t="s">
        <v>25</v>
      </c>
      <c r="K807" s="19" t="s">
        <v>26</v>
      </c>
      <c r="L807" s="19" t="s">
        <v>42</v>
      </c>
      <c r="M807" s="20">
        <v>4</v>
      </c>
      <c r="N807" s="21">
        <v>69999</v>
      </c>
      <c r="O807" s="22">
        <v>8</v>
      </c>
      <c r="P807" s="23">
        <v>257596.32</v>
      </c>
      <c r="Q807" s="22">
        <v>4.8</v>
      </c>
      <c r="R807" s="22">
        <v>20</v>
      </c>
      <c r="S807" s="23">
        <f>(Table13[[#This Row],[Unit Price]]*Table13[[#This Row],[No.of Units]])*18%</f>
        <v>50399.28</v>
      </c>
      <c r="T807" s="22" t="s">
        <v>1508</v>
      </c>
    </row>
    <row r="808" spans="2:20" x14ac:dyDescent="0.3">
      <c r="B808" s="5" t="s">
        <v>771</v>
      </c>
      <c r="C808" s="1">
        <v>4748694</v>
      </c>
      <c r="D808" s="1">
        <v>26</v>
      </c>
      <c r="E808" s="1" t="s">
        <v>12</v>
      </c>
      <c r="F808" s="16">
        <v>45847</v>
      </c>
      <c r="G808" s="1" t="s">
        <v>1470</v>
      </c>
      <c r="H808" s="1" t="s">
        <v>1483</v>
      </c>
      <c r="I808" s="17" t="s">
        <v>1503</v>
      </c>
      <c r="J808" s="18" t="s">
        <v>28</v>
      </c>
      <c r="K808" s="19" t="s">
        <v>26</v>
      </c>
      <c r="L808" s="19" t="s">
        <v>42</v>
      </c>
      <c r="M808" s="20">
        <v>9</v>
      </c>
      <c r="N808" s="21">
        <v>42999</v>
      </c>
      <c r="O808" s="22">
        <v>15</v>
      </c>
      <c r="P808" s="23">
        <v>328942.34999999998</v>
      </c>
      <c r="Q808" s="22">
        <v>4.5999999999999996</v>
      </c>
      <c r="R808" s="22">
        <v>20</v>
      </c>
      <c r="S808" s="23">
        <f>(Table13[[#This Row],[Unit Price]]*Table13[[#This Row],[No.of Units]])*18%</f>
        <v>69658.38</v>
      </c>
      <c r="T808" s="22" t="s">
        <v>1508</v>
      </c>
    </row>
    <row r="809" spans="2:20" x14ac:dyDescent="0.3">
      <c r="B809" s="5" t="s">
        <v>772</v>
      </c>
      <c r="C809" s="1">
        <v>2831295</v>
      </c>
      <c r="D809" s="1">
        <v>30</v>
      </c>
      <c r="E809" s="1" t="s">
        <v>12</v>
      </c>
      <c r="F809" s="16">
        <v>45847</v>
      </c>
      <c r="G809" s="1" t="s">
        <v>1470</v>
      </c>
      <c r="H809" s="1" t="s">
        <v>1471</v>
      </c>
      <c r="I809" s="17" t="s">
        <v>1502</v>
      </c>
      <c r="J809" s="18" t="s">
        <v>13</v>
      </c>
      <c r="K809" s="19" t="s">
        <v>14</v>
      </c>
      <c r="L809" s="19" t="s">
        <v>49</v>
      </c>
      <c r="M809" s="20">
        <v>4</v>
      </c>
      <c r="N809" s="21">
        <v>99999</v>
      </c>
      <c r="O809" s="22">
        <v>10</v>
      </c>
      <c r="P809" s="23">
        <v>359996.4</v>
      </c>
      <c r="Q809" s="22">
        <v>4.7</v>
      </c>
      <c r="R809" s="22">
        <v>20</v>
      </c>
      <c r="S809" s="23">
        <f>(Table13[[#This Row],[Unit Price]]*Table13[[#This Row],[No.of Units]])*18%</f>
        <v>71999.28</v>
      </c>
      <c r="T809" s="22" t="s">
        <v>1507</v>
      </c>
    </row>
    <row r="810" spans="2:20" x14ac:dyDescent="0.3">
      <c r="B810" s="5" t="s">
        <v>773</v>
      </c>
      <c r="C810" s="1">
        <v>5974139</v>
      </c>
      <c r="D810" s="1">
        <v>52</v>
      </c>
      <c r="E810" s="1" t="s">
        <v>20</v>
      </c>
      <c r="F810" s="16">
        <v>45847</v>
      </c>
      <c r="G810" s="1" t="s">
        <v>1470</v>
      </c>
      <c r="H810" s="1" t="s">
        <v>1471</v>
      </c>
      <c r="I810" s="17" t="s">
        <v>1503</v>
      </c>
      <c r="J810" s="18" t="s">
        <v>17</v>
      </c>
      <c r="K810" s="19" t="s">
        <v>18</v>
      </c>
      <c r="L810" s="19" t="s">
        <v>49</v>
      </c>
      <c r="M810" s="20">
        <v>52</v>
      </c>
      <c r="N810" s="21">
        <v>4999</v>
      </c>
      <c r="O810" s="22">
        <v>18</v>
      </c>
      <c r="P810" s="23">
        <v>213157.36</v>
      </c>
      <c r="Q810" s="22">
        <v>4.4000000000000004</v>
      </c>
      <c r="R810" s="22">
        <v>20</v>
      </c>
      <c r="S810" s="23">
        <f>(Table13[[#This Row],[Unit Price]]*Table13[[#This Row],[No.of Units]])*18%</f>
        <v>46790.64</v>
      </c>
      <c r="T810" s="22" t="s">
        <v>1508</v>
      </c>
    </row>
    <row r="811" spans="2:20" x14ac:dyDescent="0.3">
      <c r="B811" s="5" t="s">
        <v>774</v>
      </c>
      <c r="C811" s="1">
        <v>7598776</v>
      </c>
      <c r="D811" s="1">
        <v>47</v>
      </c>
      <c r="E811" s="1" t="s">
        <v>12</v>
      </c>
      <c r="F811" s="16">
        <v>45847</v>
      </c>
      <c r="G811" s="1" t="s">
        <v>1470</v>
      </c>
      <c r="H811" s="1" t="s">
        <v>1471</v>
      </c>
      <c r="I811" s="17" t="s">
        <v>1504</v>
      </c>
      <c r="J811" s="18" t="s">
        <v>21</v>
      </c>
      <c r="K811" s="19" t="s">
        <v>18</v>
      </c>
      <c r="L811" s="19" t="s">
        <v>49</v>
      </c>
      <c r="M811" s="20">
        <v>7</v>
      </c>
      <c r="N811" s="21">
        <v>24900</v>
      </c>
      <c r="O811" s="22">
        <v>5</v>
      </c>
      <c r="P811" s="23">
        <v>165585</v>
      </c>
      <c r="Q811" s="22">
        <v>4.8</v>
      </c>
      <c r="R811" s="22">
        <v>20</v>
      </c>
      <c r="S811" s="23">
        <f>(Table13[[#This Row],[Unit Price]]*Table13[[#This Row],[No.of Units]])*18%</f>
        <v>31374</v>
      </c>
      <c r="T811" s="22" t="s">
        <v>1507</v>
      </c>
    </row>
    <row r="812" spans="2:20" x14ac:dyDescent="0.3">
      <c r="B812" s="5" t="s">
        <v>775</v>
      </c>
      <c r="C812" s="1">
        <v>7930396</v>
      </c>
      <c r="D812" s="1">
        <v>21</v>
      </c>
      <c r="E812" s="1" t="s">
        <v>12</v>
      </c>
      <c r="F812" s="16">
        <v>45847</v>
      </c>
      <c r="G812" s="1" t="s">
        <v>1470</v>
      </c>
      <c r="H812" s="1" t="s">
        <v>1482</v>
      </c>
      <c r="I812" s="17" t="s">
        <v>1505</v>
      </c>
      <c r="J812" s="18" t="s">
        <v>23</v>
      </c>
      <c r="K812" s="19" t="s">
        <v>14</v>
      </c>
      <c r="L812" s="19" t="s">
        <v>49</v>
      </c>
      <c r="M812" s="20">
        <v>4</v>
      </c>
      <c r="N812" s="21">
        <v>84999</v>
      </c>
      <c r="O812" s="22">
        <v>12</v>
      </c>
      <c r="P812" s="23">
        <v>299196.48</v>
      </c>
      <c r="Q812" s="22">
        <v>4.5</v>
      </c>
      <c r="R812" s="22">
        <v>20</v>
      </c>
      <c r="S812" s="23">
        <f>(Table13[[#This Row],[Unit Price]]*Table13[[#This Row],[No.of Units]])*18%</f>
        <v>61199.28</v>
      </c>
      <c r="T812" s="22" t="s">
        <v>1508</v>
      </c>
    </row>
    <row r="813" spans="2:20" x14ac:dyDescent="0.3">
      <c r="B813" s="5" t="s">
        <v>776</v>
      </c>
      <c r="C813" s="1">
        <v>3709623</v>
      </c>
      <c r="D813" s="1">
        <v>29</v>
      </c>
      <c r="E813" s="1" t="s">
        <v>12</v>
      </c>
      <c r="F813" s="16">
        <v>45847</v>
      </c>
      <c r="G813" s="1" t="s">
        <v>1470</v>
      </c>
      <c r="H813" s="1" t="s">
        <v>1471</v>
      </c>
      <c r="I813" s="17" t="s">
        <v>1504</v>
      </c>
      <c r="J813" s="18" t="s">
        <v>25</v>
      </c>
      <c r="K813" s="19" t="s">
        <v>26</v>
      </c>
      <c r="L813" s="19" t="s">
        <v>49</v>
      </c>
      <c r="M813" s="20">
        <v>4</v>
      </c>
      <c r="N813" s="21">
        <v>69999</v>
      </c>
      <c r="O813" s="22">
        <v>8</v>
      </c>
      <c r="P813" s="23">
        <v>257596.32</v>
      </c>
      <c r="Q813" s="22">
        <v>4.8</v>
      </c>
      <c r="R813" s="22">
        <v>20</v>
      </c>
      <c r="S813" s="23">
        <f>(Table13[[#This Row],[Unit Price]]*Table13[[#This Row],[No.of Units]])*18%</f>
        <v>50399.28</v>
      </c>
      <c r="T813" s="22" t="s">
        <v>1507</v>
      </c>
    </row>
    <row r="814" spans="2:20" x14ac:dyDescent="0.3">
      <c r="B814" s="5" t="s">
        <v>776</v>
      </c>
      <c r="C814" s="1">
        <v>3709623</v>
      </c>
      <c r="D814" s="1">
        <v>76</v>
      </c>
      <c r="E814" s="1" t="s">
        <v>20</v>
      </c>
      <c r="F814" s="16">
        <v>45847</v>
      </c>
      <c r="G814" s="1" t="s">
        <v>1470</v>
      </c>
      <c r="H814" s="1" t="s">
        <v>1480</v>
      </c>
      <c r="I814" s="17" t="s">
        <v>1503</v>
      </c>
      <c r="J814" s="18" t="s">
        <v>28</v>
      </c>
      <c r="K814" s="19" t="s">
        <v>26</v>
      </c>
      <c r="L814" s="19" t="s">
        <v>49</v>
      </c>
      <c r="M814" s="20">
        <v>6</v>
      </c>
      <c r="N814" s="21">
        <v>42999</v>
      </c>
      <c r="O814" s="22">
        <v>15</v>
      </c>
      <c r="P814" s="23">
        <v>219294.9</v>
      </c>
      <c r="Q814" s="22">
        <v>4.5999999999999996</v>
      </c>
      <c r="R814" s="22">
        <v>20</v>
      </c>
      <c r="S814" s="23">
        <f>(Table13[[#This Row],[Unit Price]]*Table13[[#This Row],[No.of Units]])*18%</f>
        <v>46438.92</v>
      </c>
      <c r="T814" s="22" t="s">
        <v>1508</v>
      </c>
    </row>
    <row r="815" spans="2:20" x14ac:dyDescent="0.3">
      <c r="B815" s="5" t="s">
        <v>777</v>
      </c>
      <c r="C815" s="1">
        <v>9721972</v>
      </c>
      <c r="D815" s="1">
        <v>30</v>
      </c>
      <c r="E815" s="1" t="s">
        <v>12</v>
      </c>
      <c r="F815" s="16">
        <v>45854</v>
      </c>
      <c r="G815" s="1" t="s">
        <v>1470</v>
      </c>
      <c r="H815" s="1" t="s">
        <v>1471</v>
      </c>
      <c r="I815" s="17" t="s">
        <v>1502</v>
      </c>
      <c r="J815" s="18" t="s">
        <v>13</v>
      </c>
      <c r="K815" s="19" t="s">
        <v>14</v>
      </c>
      <c r="L815" s="19" t="s">
        <v>15</v>
      </c>
      <c r="M815" s="20">
        <v>6</v>
      </c>
      <c r="N815" s="21">
        <v>99999</v>
      </c>
      <c r="O815" s="22">
        <v>10</v>
      </c>
      <c r="P815" s="23">
        <v>539994.6</v>
      </c>
      <c r="Q815" s="22">
        <v>4.7</v>
      </c>
      <c r="R815" s="22">
        <v>20</v>
      </c>
      <c r="S815" s="23">
        <f>(Table13[[#This Row],[Unit Price]]*Table13[[#This Row],[No.of Units]])*18%</f>
        <v>107998.92</v>
      </c>
      <c r="T815" s="22" t="s">
        <v>1508</v>
      </c>
    </row>
    <row r="816" spans="2:20" x14ac:dyDescent="0.3">
      <c r="B816" s="5" t="s">
        <v>778</v>
      </c>
      <c r="C816" s="1">
        <v>7604634</v>
      </c>
      <c r="D816" s="1">
        <v>51</v>
      </c>
      <c r="E816" s="1" t="s">
        <v>20</v>
      </c>
      <c r="F816" s="16">
        <v>45854</v>
      </c>
      <c r="G816" s="1" t="s">
        <v>1470</v>
      </c>
      <c r="H816" s="1" t="s">
        <v>1471</v>
      </c>
      <c r="I816" s="17" t="s">
        <v>1503</v>
      </c>
      <c r="J816" s="18" t="s">
        <v>17</v>
      </c>
      <c r="K816" s="19" t="s">
        <v>18</v>
      </c>
      <c r="L816" s="19" t="s">
        <v>15</v>
      </c>
      <c r="M816" s="20">
        <v>33</v>
      </c>
      <c r="N816" s="21">
        <v>4999</v>
      </c>
      <c r="O816" s="22">
        <v>18</v>
      </c>
      <c r="P816" s="23">
        <v>135272.94</v>
      </c>
      <c r="Q816" s="22">
        <v>4.4000000000000004</v>
      </c>
      <c r="R816" s="22">
        <v>20</v>
      </c>
      <c r="S816" s="23">
        <f>(Table13[[#This Row],[Unit Price]]*Table13[[#This Row],[No.of Units]])*18%</f>
        <v>29694.059999999998</v>
      </c>
      <c r="T816" s="22" t="s">
        <v>1508</v>
      </c>
    </row>
    <row r="817" spans="2:20" x14ac:dyDescent="0.3">
      <c r="B817" s="5" t="s">
        <v>779</v>
      </c>
      <c r="C817" s="1">
        <v>3948279</v>
      </c>
      <c r="D817" s="1">
        <v>36</v>
      </c>
      <c r="E817" s="1" t="s">
        <v>12</v>
      </c>
      <c r="F817" s="16">
        <v>45854</v>
      </c>
      <c r="G817" s="1" t="s">
        <v>1470</v>
      </c>
      <c r="H817" s="1" t="s">
        <v>1472</v>
      </c>
      <c r="I817" s="17" t="s">
        <v>1504</v>
      </c>
      <c r="J817" s="18" t="s">
        <v>21</v>
      </c>
      <c r="K817" s="19" t="s">
        <v>18</v>
      </c>
      <c r="L817" s="19" t="s">
        <v>15</v>
      </c>
      <c r="M817" s="20">
        <v>8</v>
      </c>
      <c r="N817" s="21">
        <v>24900</v>
      </c>
      <c r="O817" s="22">
        <v>5</v>
      </c>
      <c r="P817" s="23">
        <v>189240</v>
      </c>
      <c r="Q817" s="22">
        <v>4.8</v>
      </c>
      <c r="R817" s="22">
        <v>20</v>
      </c>
      <c r="S817" s="23">
        <f>(Table13[[#This Row],[Unit Price]]*Table13[[#This Row],[No.of Units]])*18%</f>
        <v>35856</v>
      </c>
      <c r="T817" s="22" t="s">
        <v>1508</v>
      </c>
    </row>
    <row r="818" spans="2:20" x14ac:dyDescent="0.3">
      <c r="B818" s="5" t="s">
        <v>780</v>
      </c>
      <c r="C818" s="1">
        <v>3319282</v>
      </c>
      <c r="D818" s="1">
        <v>20</v>
      </c>
      <c r="E818" s="1" t="s">
        <v>12</v>
      </c>
      <c r="F818" s="16">
        <v>45854</v>
      </c>
      <c r="G818" s="1" t="s">
        <v>1470</v>
      </c>
      <c r="H818" s="1" t="s">
        <v>1471</v>
      </c>
      <c r="I818" s="17" t="s">
        <v>1505</v>
      </c>
      <c r="J818" s="18" t="s">
        <v>23</v>
      </c>
      <c r="K818" s="19" t="s">
        <v>14</v>
      </c>
      <c r="L818" s="19" t="s">
        <v>15</v>
      </c>
      <c r="M818" s="20">
        <v>5</v>
      </c>
      <c r="N818" s="21">
        <v>84999</v>
      </c>
      <c r="O818" s="22">
        <v>12</v>
      </c>
      <c r="P818" s="23">
        <v>373995.6</v>
      </c>
      <c r="Q818" s="22">
        <v>4.5</v>
      </c>
      <c r="R818" s="22">
        <v>20</v>
      </c>
      <c r="S818" s="23">
        <f>(Table13[[#This Row],[Unit Price]]*Table13[[#This Row],[No.of Units]])*18%</f>
        <v>76499.099999999991</v>
      </c>
      <c r="T818" s="22" t="s">
        <v>1508</v>
      </c>
    </row>
    <row r="819" spans="2:20" x14ac:dyDescent="0.3">
      <c r="B819" s="5" t="s">
        <v>781</v>
      </c>
      <c r="C819" s="1">
        <v>3567779</v>
      </c>
      <c r="D819" s="1">
        <v>37</v>
      </c>
      <c r="E819" s="1" t="s">
        <v>12</v>
      </c>
      <c r="F819" s="16">
        <v>45854</v>
      </c>
      <c r="G819" s="1" t="s">
        <v>1470</v>
      </c>
      <c r="H819" s="1" t="s">
        <v>1472</v>
      </c>
      <c r="I819" s="17" t="s">
        <v>1504</v>
      </c>
      <c r="J819" s="18" t="s">
        <v>25</v>
      </c>
      <c r="K819" s="19" t="s">
        <v>26</v>
      </c>
      <c r="L819" s="19" t="s">
        <v>15</v>
      </c>
      <c r="M819" s="20">
        <v>3</v>
      </c>
      <c r="N819" s="21">
        <v>69999</v>
      </c>
      <c r="O819" s="22">
        <v>8</v>
      </c>
      <c r="P819" s="23">
        <v>193197.24</v>
      </c>
      <c r="Q819" s="22">
        <v>4.8</v>
      </c>
      <c r="R819" s="22">
        <v>20</v>
      </c>
      <c r="S819" s="23">
        <f>(Table13[[#This Row],[Unit Price]]*Table13[[#This Row],[No.of Units]])*18%</f>
        <v>37799.46</v>
      </c>
      <c r="T819" s="22" t="s">
        <v>1507</v>
      </c>
    </row>
    <row r="820" spans="2:20" x14ac:dyDescent="0.3">
      <c r="B820" s="5" t="s">
        <v>782</v>
      </c>
      <c r="C820" s="1">
        <v>5569066</v>
      </c>
      <c r="D820" s="1">
        <v>35</v>
      </c>
      <c r="E820" s="1" t="s">
        <v>12</v>
      </c>
      <c r="F820" s="16">
        <v>45854</v>
      </c>
      <c r="G820" s="1" t="s">
        <v>1470</v>
      </c>
      <c r="H820" s="1" t="s">
        <v>1471</v>
      </c>
      <c r="I820" s="17" t="s">
        <v>1503</v>
      </c>
      <c r="J820" s="18" t="s">
        <v>28</v>
      </c>
      <c r="K820" s="19" t="s">
        <v>26</v>
      </c>
      <c r="L820" s="19" t="s">
        <v>15</v>
      </c>
      <c r="M820" s="20">
        <v>10</v>
      </c>
      <c r="N820" s="21">
        <v>42999</v>
      </c>
      <c r="O820" s="22">
        <v>15</v>
      </c>
      <c r="P820" s="23">
        <v>365491.5</v>
      </c>
      <c r="Q820" s="22">
        <v>4.5999999999999996</v>
      </c>
      <c r="R820" s="22">
        <v>20</v>
      </c>
      <c r="S820" s="23">
        <f>(Table13[[#This Row],[Unit Price]]*Table13[[#This Row],[No.of Units]])*18%</f>
        <v>77398.2</v>
      </c>
      <c r="T820" s="22" t="s">
        <v>1507</v>
      </c>
    </row>
    <row r="821" spans="2:20" x14ac:dyDescent="0.3">
      <c r="B821" s="5" t="s">
        <v>783</v>
      </c>
      <c r="C821" s="1">
        <v>3424885</v>
      </c>
      <c r="D821" s="1">
        <v>29</v>
      </c>
      <c r="E821" s="1" t="s">
        <v>12</v>
      </c>
      <c r="F821" s="16">
        <v>45854</v>
      </c>
      <c r="G821" s="1" t="s">
        <v>1475</v>
      </c>
      <c r="H821" s="1" t="s">
        <v>1472</v>
      </c>
      <c r="I821" s="17" t="s">
        <v>1502</v>
      </c>
      <c r="J821" s="18" t="s">
        <v>13</v>
      </c>
      <c r="K821" s="19" t="s">
        <v>14</v>
      </c>
      <c r="L821" s="19" t="s">
        <v>29</v>
      </c>
      <c r="M821" s="20">
        <v>5</v>
      </c>
      <c r="N821" s="21">
        <v>99999</v>
      </c>
      <c r="O821" s="22">
        <v>10</v>
      </c>
      <c r="P821" s="23">
        <v>449995.5</v>
      </c>
      <c r="Q821" s="22">
        <v>4.7</v>
      </c>
      <c r="R821" s="22">
        <v>20</v>
      </c>
      <c r="S821" s="23">
        <f>(Table13[[#This Row],[Unit Price]]*Table13[[#This Row],[No.of Units]])*18%</f>
        <v>89999.099999999991</v>
      </c>
      <c r="T821" s="22" t="s">
        <v>1508</v>
      </c>
    </row>
    <row r="822" spans="2:20" x14ac:dyDescent="0.3">
      <c r="B822" s="5" t="s">
        <v>784</v>
      </c>
      <c r="C822" s="1">
        <v>4504136</v>
      </c>
      <c r="D822" s="1">
        <v>25</v>
      </c>
      <c r="E822" s="1" t="s">
        <v>12</v>
      </c>
      <c r="F822" s="16">
        <v>45854</v>
      </c>
      <c r="G822" s="1" t="s">
        <v>1470</v>
      </c>
      <c r="H822" s="1" t="s">
        <v>1483</v>
      </c>
      <c r="I822" s="17" t="s">
        <v>1503</v>
      </c>
      <c r="J822" s="18" t="s">
        <v>17</v>
      </c>
      <c r="K822" s="19" t="s">
        <v>18</v>
      </c>
      <c r="L822" s="19" t="s">
        <v>29</v>
      </c>
      <c r="M822" s="20">
        <v>60</v>
      </c>
      <c r="N822" s="21">
        <v>4999</v>
      </c>
      <c r="O822" s="22">
        <v>18</v>
      </c>
      <c r="P822" s="23">
        <v>245950.8</v>
      </c>
      <c r="Q822" s="22">
        <v>4.4000000000000004</v>
      </c>
      <c r="R822" s="22">
        <v>20</v>
      </c>
      <c r="S822" s="23">
        <f>(Table13[[#This Row],[Unit Price]]*Table13[[#This Row],[No.of Units]])*18%</f>
        <v>53989.2</v>
      </c>
      <c r="T822" s="22" t="s">
        <v>1508</v>
      </c>
    </row>
    <row r="823" spans="2:20" x14ac:dyDescent="0.3">
      <c r="B823" s="5" t="s">
        <v>785</v>
      </c>
      <c r="C823" s="1">
        <v>4416496</v>
      </c>
      <c r="D823" s="1">
        <v>32</v>
      </c>
      <c r="E823" s="1" t="s">
        <v>12</v>
      </c>
      <c r="F823" s="16">
        <v>45854</v>
      </c>
      <c r="G823" s="1" t="s">
        <v>1470</v>
      </c>
      <c r="H823" s="1" t="s">
        <v>1472</v>
      </c>
      <c r="I823" s="17" t="s">
        <v>1504</v>
      </c>
      <c r="J823" s="18" t="s">
        <v>21</v>
      </c>
      <c r="K823" s="19" t="s">
        <v>18</v>
      </c>
      <c r="L823" s="19" t="s">
        <v>29</v>
      </c>
      <c r="M823" s="20">
        <v>5</v>
      </c>
      <c r="N823" s="21">
        <v>24900</v>
      </c>
      <c r="O823" s="22">
        <v>5</v>
      </c>
      <c r="P823" s="23">
        <v>118275</v>
      </c>
      <c r="Q823" s="22">
        <v>4.8</v>
      </c>
      <c r="R823" s="22">
        <v>20</v>
      </c>
      <c r="S823" s="23">
        <f>(Table13[[#This Row],[Unit Price]]*Table13[[#This Row],[No.of Units]])*18%</f>
        <v>22410</v>
      </c>
      <c r="T823" s="22" t="s">
        <v>1508</v>
      </c>
    </row>
    <row r="824" spans="2:20" x14ac:dyDescent="0.3">
      <c r="B824" s="5" t="s">
        <v>786</v>
      </c>
      <c r="C824" s="1">
        <v>1440289</v>
      </c>
      <c r="D824" s="1">
        <v>19</v>
      </c>
      <c r="E824" s="1" t="s">
        <v>34</v>
      </c>
      <c r="F824" s="16">
        <v>45854</v>
      </c>
      <c r="G824" s="1" t="s">
        <v>1470</v>
      </c>
      <c r="H824" s="1" t="s">
        <v>1471</v>
      </c>
      <c r="I824" s="17" t="s">
        <v>1505</v>
      </c>
      <c r="J824" s="18" t="s">
        <v>23</v>
      </c>
      <c r="K824" s="19" t="s">
        <v>14</v>
      </c>
      <c r="L824" s="19" t="s">
        <v>29</v>
      </c>
      <c r="M824" s="20">
        <v>6</v>
      </c>
      <c r="N824" s="21">
        <v>84999</v>
      </c>
      <c r="O824" s="22">
        <v>12</v>
      </c>
      <c r="P824" s="23">
        <v>448794.72</v>
      </c>
      <c r="Q824" s="22">
        <v>4.5</v>
      </c>
      <c r="R824" s="22">
        <v>20</v>
      </c>
      <c r="S824" s="23">
        <f>(Table13[[#This Row],[Unit Price]]*Table13[[#This Row],[No.of Units]])*18%</f>
        <v>91798.92</v>
      </c>
      <c r="T824" s="22" t="s">
        <v>1507</v>
      </c>
    </row>
    <row r="825" spans="2:20" x14ac:dyDescent="0.3">
      <c r="B825" s="5" t="s">
        <v>787</v>
      </c>
      <c r="C825" s="1">
        <v>5195596</v>
      </c>
      <c r="D825" s="1">
        <v>56</v>
      </c>
      <c r="E825" s="1" t="s">
        <v>20</v>
      </c>
      <c r="F825" s="16">
        <v>45854</v>
      </c>
      <c r="G825" s="1" t="s">
        <v>1473</v>
      </c>
      <c r="H825" s="1" t="s">
        <v>1482</v>
      </c>
      <c r="I825" s="17" t="s">
        <v>1504</v>
      </c>
      <c r="J825" s="18" t="s">
        <v>25</v>
      </c>
      <c r="K825" s="19" t="s">
        <v>26</v>
      </c>
      <c r="L825" s="19" t="s">
        <v>29</v>
      </c>
      <c r="M825" s="20">
        <v>5</v>
      </c>
      <c r="N825" s="21">
        <v>69999</v>
      </c>
      <c r="O825" s="22">
        <v>8</v>
      </c>
      <c r="P825" s="23">
        <v>321995.40000000002</v>
      </c>
      <c r="Q825" s="22">
        <v>4.8</v>
      </c>
      <c r="R825" s="22">
        <v>20</v>
      </c>
      <c r="S825" s="23">
        <f>(Table13[[#This Row],[Unit Price]]*Table13[[#This Row],[No.of Units]])*18%</f>
        <v>62999.1</v>
      </c>
      <c r="T825" s="22" t="s">
        <v>1508</v>
      </c>
    </row>
    <row r="826" spans="2:20" x14ac:dyDescent="0.3">
      <c r="B826" s="5" t="s">
        <v>788</v>
      </c>
      <c r="C826" s="1">
        <v>6836093</v>
      </c>
      <c r="D826" s="1">
        <v>25</v>
      </c>
      <c r="E826" s="1" t="s">
        <v>12</v>
      </c>
      <c r="F826" s="16">
        <v>45854</v>
      </c>
      <c r="G826" s="1" t="s">
        <v>1474</v>
      </c>
      <c r="H826" s="1" t="s">
        <v>1472</v>
      </c>
      <c r="I826" s="17" t="s">
        <v>1503</v>
      </c>
      <c r="J826" s="18" t="s">
        <v>28</v>
      </c>
      <c r="K826" s="19" t="s">
        <v>26</v>
      </c>
      <c r="L826" s="19" t="s">
        <v>29</v>
      </c>
      <c r="M826" s="20">
        <v>7</v>
      </c>
      <c r="N826" s="21">
        <v>42999</v>
      </c>
      <c r="O826" s="22">
        <v>15</v>
      </c>
      <c r="P826" s="23">
        <v>255844.05</v>
      </c>
      <c r="Q826" s="22">
        <v>4.5999999999999996</v>
      </c>
      <c r="R826" s="22">
        <v>20</v>
      </c>
      <c r="S826" s="23">
        <f>(Table13[[#This Row],[Unit Price]]*Table13[[#This Row],[No.of Units]])*18%</f>
        <v>54178.74</v>
      </c>
      <c r="T826" s="22" t="s">
        <v>1508</v>
      </c>
    </row>
    <row r="827" spans="2:20" x14ac:dyDescent="0.3">
      <c r="B827" s="5" t="s">
        <v>789</v>
      </c>
      <c r="C827" s="1">
        <v>3894545</v>
      </c>
      <c r="D827" s="1">
        <v>37</v>
      </c>
      <c r="E827" s="1" t="s">
        <v>12</v>
      </c>
      <c r="F827" s="16">
        <v>45854</v>
      </c>
      <c r="G827" s="1" t="s">
        <v>1470</v>
      </c>
      <c r="H827" s="1" t="s">
        <v>1483</v>
      </c>
      <c r="I827" s="17" t="s">
        <v>1502</v>
      </c>
      <c r="J827" s="18" t="s">
        <v>13</v>
      </c>
      <c r="K827" s="19" t="s">
        <v>14</v>
      </c>
      <c r="L827" s="19" t="s">
        <v>35</v>
      </c>
      <c r="M827" s="20">
        <v>6</v>
      </c>
      <c r="N827" s="21">
        <v>99999</v>
      </c>
      <c r="O827" s="22">
        <v>10</v>
      </c>
      <c r="P827" s="23">
        <v>539994.6</v>
      </c>
      <c r="Q827" s="22">
        <v>4.7</v>
      </c>
      <c r="R827" s="22">
        <v>20</v>
      </c>
      <c r="S827" s="23">
        <f>(Table13[[#This Row],[Unit Price]]*Table13[[#This Row],[No.of Units]])*18%</f>
        <v>107998.92</v>
      </c>
      <c r="T827" s="22" t="s">
        <v>1508</v>
      </c>
    </row>
    <row r="828" spans="2:20" x14ac:dyDescent="0.3">
      <c r="B828" s="5" t="s">
        <v>790</v>
      </c>
      <c r="C828" s="1">
        <v>9536882</v>
      </c>
      <c r="D828" s="1">
        <v>40</v>
      </c>
      <c r="E828" s="1" t="s">
        <v>12</v>
      </c>
      <c r="F828" s="16">
        <v>45854</v>
      </c>
      <c r="G828" s="1" t="s">
        <v>1470</v>
      </c>
      <c r="H828" s="1" t="s">
        <v>1472</v>
      </c>
      <c r="I828" s="17" t="s">
        <v>1503</v>
      </c>
      <c r="J828" s="18" t="s">
        <v>17</v>
      </c>
      <c r="K828" s="19" t="s">
        <v>18</v>
      </c>
      <c r="L828" s="19" t="s">
        <v>35</v>
      </c>
      <c r="M828" s="20">
        <v>35</v>
      </c>
      <c r="N828" s="21">
        <v>4999</v>
      </c>
      <c r="O828" s="22">
        <v>18</v>
      </c>
      <c r="P828" s="23">
        <v>143471.29999999999</v>
      </c>
      <c r="Q828" s="22">
        <v>4.4000000000000004</v>
      </c>
      <c r="R828" s="22">
        <v>20</v>
      </c>
      <c r="S828" s="23">
        <f>(Table13[[#This Row],[Unit Price]]*Table13[[#This Row],[No.of Units]])*18%</f>
        <v>31493.699999999997</v>
      </c>
      <c r="T828" s="22" t="s">
        <v>1508</v>
      </c>
    </row>
    <row r="829" spans="2:20" x14ac:dyDescent="0.3">
      <c r="B829" s="5" t="s">
        <v>791</v>
      </c>
      <c r="C829" s="1">
        <v>7032778</v>
      </c>
      <c r="D829" s="1">
        <v>33</v>
      </c>
      <c r="E829" s="1" t="s">
        <v>12</v>
      </c>
      <c r="F829" s="16">
        <v>45854</v>
      </c>
      <c r="G829" s="1" t="s">
        <v>1470</v>
      </c>
      <c r="H829" s="1" t="s">
        <v>1471</v>
      </c>
      <c r="I829" s="17" t="s">
        <v>1504</v>
      </c>
      <c r="J829" s="18" t="s">
        <v>21</v>
      </c>
      <c r="K829" s="19" t="s">
        <v>18</v>
      </c>
      <c r="L829" s="19" t="s">
        <v>35</v>
      </c>
      <c r="M829" s="20">
        <v>8</v>
      </c>
      <c r="N829" s="21">
        <v>24900</v>
      </c>
      <c r="O829" s="22">
        <v>5</v>
      </c>
      <c r="P829" s="23">
        <v>189240</v>
      </c>
      <c r="Q829" s="22">
        <v>4.8</v>
      </c>
      <c r="R829" s="22">
        <v>20</v>
      </c>
      <c r="S829" s="23">
        <f>(Table13[[#This Row],[Unit Price]]*Table13[[#This Row],[No.of Units]])*18%</f>
        <v>35856</v>
      </c>
      <c r="T829" s="22" t="s">
        <v>1507</v>
      </c>
    </row>
    <row r="830" spans="2:20" x14ac:dyDescent="0.3">
      <c r="B830" s="5" t="s">
        <v>792</v>
      </c>
      <c r="C830" s="1">
        <v>9812865</v>
      </c>
      <c r="D830" s="1">
        <v>48</v>
      </c>
      <c r="E830" s="1" t="s">
        <v>12</v>
      </c>
      <c r="F830" s="16">
        <v>45854</v>
      </c>
      <c r="G830" s="1" t="s">
        <v>1470</v>
      </c>
      <c r="H830" s="1" t="s">
        <v>1471</v>
      </c>
      <c r="I830" s="17" t="s">
        <v>1505</v>
      </c>
      <c r="J830" s="18" t="s">
        <v>23</v>
      </c>
      <c r="K830" s="19" t="s">
        <v>14</v>
      </c>
      <c r="L830" s="19" t="s">
        <v>35</v>
      </c>
      <c r="M830" s="20">
        <v>4</v>
      </c>
      <c r="N830" s="21">
        <v>84999</v>
      </c>
      <c r="O830" s="22">
        <v>12</v>
      </c>
      <c r="P830" s="23">
        <v>299196.48</v>
      </c>
      <c r="Q830" s="22">
        <v>4.5</v>
      </c>
      <c r="R830" s="22">
        <v>20</v>
      </c>
      <c r="S830" s="23">
        <f>(Table13[[#This Row],[Unit Price]]*Table13[[#This Row],[No.of Units]])*18%</f>
        <v>61199.28</v>
      </c>
      <c r="T830" s="22" t="s">
        <v>1508</v>
      </c>
    </row>
    <row r="831" spans="2:20" x14ac:dyDescent="0.3">
      <c r="B831" s="5" t="s">
        <v>793</v>
      </c>
      <c r="C831" s="1">
        <v>8429877</v>
      </c>
      <c r="D831" s="1">
        <v>21</v>
      </c>
      <c r="E831" s="1" t="s">
        <v>12</v>
      </c>
      <c r="F831" s="16">
        <v>45854</v>
      </c>
      <c r="G831" s="1" t="s">
        <v>1470</v>
      </c>
      <c r="H831" s="1" t="s">
        <v>1471</v>
      </c>
      <c r="I831" s="17" t="s">
        <v>1504</v>
      </c>
      <c r="J831" s="18" t="s">
        <v>25</v>
      </c>
      <c r="K831" s="19" t="s">
        <v>26</v>
      </c>
      <c r="L831" s="19" t="s">
        <v>35</v>
      </c>
      <c r="M831" s="20">
        <v>3</v>
      </c>
      <c r="N831" s="21">
        <v>69999</v>
      </c>
      <c r="O831" s="22">
        <v>8</v>
      </c>
      <c r="P831" s="23">
        <v>193197.24</v>
      </c>
      <c r="Q831" s="22">
        <v>4.8</v>
      </c>
      <c r="R831" s="22">
        <v>20</v>
      </c>
      <c r="S831" s="23">
        <f>(Table13[[#This Row],[Unit Price]]*Table13[[#This Row],[No.of Units]])*18%</f>
        <v>37799.46</v>
      </c>
      <c r="T831" s="22" t="s">
        <v>1507</v>
      </c>
    </row>
    <row r="832" spans="2:20" x14ac:dyDescent="0.3">
      <c r="B832" s="5" t="s">
        <v>794</v>
      </c>
      <c r="C832" s="1">
        <v>6154566</v>
      </c>
      <c r="D832" s="1">
        <v>29</v>
      </c>
      <c r="E832" s="1" t="s">
        <v>12</v>
      </c>
      <c r="F832" s="16">
        <v>45854</v>
      </c>
      <c r="G832" s="1" t="s">
        <v>1470</v>
      </c>
      <c r="H832" s="1" t="s">
        <v>1481</v>
      </c>
      <c r="I832" s="17" t="s">
        <v>1503</v>
      </c>
      <c r="J832" s="18" t="s">
        <v>28</v>
      </c>
      <c r="K832" s="19" t="s">
        <v>26</v>
      </c>
      <c r="L832" s="19" t="s">
        <v>35</v>
      </c>
      <c r="M832" s="20">
        <v>8</v>
      </c>
      <c r="N832" s="21">
        <v>42999</v>
      </c>
      <c r="O832" s="22">
        <v>15</v>
      </c>
      <c r="P832" s="23">
        <v>292393.2</v>
      </c>
      <c r="Q832" s="22">
        <v>4.5999999999999996</v>
      </c>
      <c r="R832" s="22">
        <v>20</v>
      </c>
      <c r="S832" s="23">
        <f>(Table13[[#This Row],[Unit Price]]*Table13[[#This Row],[No.of Units]])*18%</f>
        <v>61918.559999999998</v>
      </c>
      <c r="T832" s="22" t="s">
        <v>1507</v>
      </c>
    </row>
    <row r="833" spans="2:20" x14ac:dyDescent="0.3">
      <c r="B833" s="5" t="s">
        <v>795</v>
      </c>
      <c r="C833" s="1">
        <v>8728806</v>
      </c>
      <c r="D833" s="1">
        <v>40</v>
      </c>
      <c r="E833" s="1" t="s">
        <v>12</v>
      </c>
      <c r="F833" s="16">
        <v>45854</v>
      </c>
      <c r="G833" s="1" t="s">
        <v>1470</v>
      </c>
      <c r="H833" s="1" t="s">
        <v>1472</v>
      </c>
      <c r="I833" s="17" t="s">
        <v>1502</v>
      </c>
      <c r="J833" s="18" t="s">
        <v>13</v>
      </c>
      <c r="K833" s="19" t="s">
        <v>14</v>
      </c>
      <c r="L833" s="19" t="s">
        <v>42</v>
      </c>
      <c r="M833" s="20">
        <v>5</v>
      </c>
      <c r="N833" s="21">
        <v>99999</v>
      </c>
      <c r="O833" s="22">
        <v>10</v>
      </c>
      <c r="P833" s="23">
        <v>449995.5</v>
      </c>
      <c r="Q833" s="22">
        <v>4.7</v>
      </c>
      <c r="R833" s="22">
        <v>20</v>
      </c>
      <c r="S833" s="23">
        <f>(Table13[[#This Row],[Unit Price]]*Table13[[#This Row],[No.of Units]])*18%</f>
        <v>89999.099999999991</v>
      </c>
      <c r="T833" s="22" t="s">
        <v>1507</v>
      </c>
    </row>
    <row r="834" spans="2:20" x14ac:dyDescent="0.3">
      <c r="B834" s="5" t="s">
        <v>796</v>
      </c>
      <c r="C834" s="1">
        <v>6662354</v>
      </c>
      <c r="D834" s="1">
        <v>48</v>
      </c>
      <c r="E834" s="1" t="s">
        <v>12</v>
      </c>
      <c r="F834" s="16">
        <v>45854</v>
      </c>
      <c r="G834" s="1" t="s">
        <v>1470</v>
      </c>
      <c r="H834" s="1" t="s">
        <v>1472</v>
      </c>
      <c r="I834" s="17" t="s">
        <v>1503</v>
      </c>
      <c r="J834" s="18" t="s">
        <v>17</v>
      </c>
      <c r="K834" s="19" t="s">
        <v>18</v>
      </c>
      <c r="L834" s="19" t="s">
        <v>42</v>
      </c>
      <c r="M834" s="20">
        <v>37</v>
      </c>
      <c r="N834" s="21">
        <v>4999</v>
      </c>
      <c r="O834" s="22">
        <v>18</v>
      </c>
      <c r="P834" s="23">
        <v>151669.66</v>
      </c>
      <c r="Q834" s="22">
        <v>4.4000000000000004</v>
      </c>
      <c r="R834" s="22">
        <v>20</v>
      </c>
      <c r="S834" s="23">
        <f>(Table13[[#This Row],[Unit Price]]*Table13[[#This Row],[No.of Units]])*18%</f>
        <v>33293.339999999997</v>
      </c>
      <c r="T834" s="22" t="s">
        <v>1508</v>
      </c>
    </row>
    <row r="835" spans="2:20" x14ac:dyDescent="0.3">
      <c r="B835" s="5" t="s">
        <v>797</v>
      </c>
      <c r="C835" s="1">
        <v>8629012</v>
      </c>
      <c r="D835" s="1">
        <v>38</v>
      </c>
      <c r="E835" s="1" t="s">
        <v>12</v>
      </c>
      <c r="F835" s="16">
        <v>45854</v>
      </c>
      <c r="G835" s="1" t="s">
        <v>1470</v>
      </c>
      <c r="H835" s="1" t="s">
        <v>1482</v>
      </c>
      <c r="I835" s="17" t="s">
        <v>1504</v>
      </c>
      <c r="J835" s="18" t="s">
        <v>21</v>
      </c>
      <c r="K835" s="19" t="s">
        <v>18</v>
      </c>
      <c r="L835" s="19" t="s">
        <v>42</v>
      </c>
      <c r="M835" s="20">
        <v>7</v>
      </c>
      <c r="N835" s="21">
        <v>24900</v>
      </c>
      <c r="O835" s="22">
        <v>5</v>
      </c>
      <c r="P835" s="23">
        <v>165585</v>
      </c>
      <c r="Q835" s="22">
        <v>4.8</v>
      </c>
      <c r="R835" s="22">
        <v>20</v>
      </c>
      <c r="S835" s="23">
        <f>(Table13[[#This Row],[Unit Price]]*Table13[[#This Row],[No.of Units]])*18%</f>
        <v>31374</v>
      </c>
      <c r="T835" s="22" t="s">
        <v>1508</v>
      </c>
    </row>
    <row r="836" spans="2:20" x14ac:dyDescent="0.3">
      <c r="B836" s="5" t="s">
        <v>798</v>
      </c>
      <c r="C836" s="1">
        <v>6505389</v>
      </c>
      <c r="D836" s="1">
        <v>35</v>
      </c>
      <c r="E836" s="1" t="s">
        <v>12</v>
      </c>
      <c r="F836" s="16">
        <v>45854</v>
      </c>
      <c r="G836" s="1" t="s">
        <v>1470</v>
      </c>
      <c r="H836" s="1" t="s">
        <v>1482</v>
      </c>
      <c r="I836" s="17" t="s">
        <v>1505</v>
      </c>
      <c r="J836" s="18" t="s">
        <v>23</v>
      </c>
      <c r="K836" s="19" t="s">
        <v>14</v>
      </c>
      <c r="L836" s="19" t="s">
        <v>42</v>
      </c>
      <c r="M836" s="20">
        <v>2</v>
      </c>
      <c r="N836" s="21">
        <v>84999</v>
      </c>
      <c r="O836" s="22">
        <v>12</v>
      </c>
      <c r="P836" s="23">
        <v>149598.24</v>
      </c>
      <c r="Q836" s="22">
        <v>4.5</v>
      </c>
      <c r="R836" s="22">
        <v>20</v>
      </c>
      <c r="S836" s="23">
        <f>(Table13[[#This Row],[Unit Price]]*Table13[[#This Row],[No.of Units]])*18%</f>
        <v>30599.64</v>
      </c>
      <c r="T836" s="22" t="s">
        <v>1508</v>
      </c>
    </row>
    <row r="837" spans="2:20" x14ac:dyDescent="0.3">
      <c r="B837" s="5" t="s">
        <v>798</v>
      </c>
      <c r="C837" s="1">
        <v>6505389</v>
      </c>
      <c r="D837" s="1">
        <v>19</v>
      </c>
      <c r="E837" s="1" t="s">
        <v>34</v>
      </c>
      <c r="F837" s="16">
        <v>45854</v>
      </c>
      <c r="G837" s="1" t="s">
        <v>1470</v>
      </c>
      <c r="H837" s="1" t="s">
        <v>1482</v>
      </c>
      <c r="I837" s="17" t="s">
        <v>1504</v>
      </c>
      <c r="J837" s="18" t="s">
        <v>25</v>
      </c>
      <c r="K837" s="19" t="s">
        <v>26</v>
      </c>
      <c r="L837" s="19" t="s">
        <v>42</v>
      </c>
      <c r="M837" s="20">
        <v>4</v>
      </c>
      <c r="N837" s="21">
        <v>69999</v>
      </c>
      <c r="O837" s="22">
        <v>8</v>
      </c>
      <c r="P837" s="23">
        <v>257596.32</v>
      </c>
      <c r="Q837" s="22">
        <v>4.8</v>
      </c>
      <c r="R837" s="22">
        <v>20</v>
      </c>
      <c r="S837" s="23">
        <f>(Table13[[#This Row],[Unit Price]]*Table13[[#This Row],[No.of Units]])*18%</f>
        <v>50399.28</v>
      </c>
      <c r="T837" s="22" t="s">
        <v>1508</v>
      </c>
    </row>
    <row r="838" spans="2:20" x14ac:dyDescent="0.3">
      <c r="B838" s="5" t="s">
        <v>799</v>
      </c>
      <c r="C838" s="1">
        <v>1492499</v>
      </c>
      <c r="D838" s="1">
        <v>48</v>
      </c>
      <c r="E838" s="1" t="s">
        <v>12</v>
      </c>
      <c r="F838" s="16">
        <v>45854</v>
      </c>
      <c r="G838" s="1" t="s">
        <v>1470</v>
      </c>
      <c r="H838" s="1" t="s">
        <v>1471</v>
      </c>
      <c r="I838" s="17" t="s">
        <v>1503</v>
      </c>
      <c r="J838" s="18" t="s">
        <v>28</v>
      </c>
      <c r="K838" s="19" t="s">
        <v>26</v>
      </c>
      <c r="L838" s="19" t="s">
        <v>42</v>
      </c>
      <c r="M838" s="20">
        <v>9</v>
      </c>
      <c r="N838" s="21">
        <v>42999</v>
      </c>
      <c r="O838" s="22">
        <v>15</v>
      </c>
      <c r="P838" s="23">
        <v>328942.34999999998</v>
      </c>
      <c r="Q838" s="22">
        <v>4.5999999999999996</v>
      </c>
      <c r="R838" s="22">
        <v>20</v>
      </c>
      <c r="S838" s="23">
        <f>(Table13[[#This Row],[Unit Price]]*Table13[[#This Row],[No.of Units]])*18%</f>
        <v>69658.38</v>
      </c>
      <c r="T838" s="22" t="s">
        <v>1508</v>
      </c>
    </row>
    <row r="839" spans="2:20" x14ac:dyDescent="0.3">
      <c r="B839" s="5" t="s">
        <v>800</v>
      </c>
      <c r="C839" s="1">
        <v>301836</v>
      </c>
      <c r="D839" s="1">
        <v>18</v>
      </c>
      <c r="E839" s="1" t="s">
        <v>34</v>
      </c>
      <c r="F839" s="16">
        <v>45854</v>
      </c>
      <c r="G839" s="1" t="s">
        <v>1470</v>
      </c>
      <c r="H839" s="1" t="s">
        <v>1483</v>
      </c>
      <c r="I839" s="17" t="s">
        <v>1502</v>
      </c>
      <c r="J839" s="18" t="s">
        <v>13</v>
      </c>
      <c r="K839" s="19" t="s">
        <v>14</v>
      </c>
      <c r="L839" s="19" t="s">
        <v>49</v>
      </c>
      <c r="M839" s="20">
        <v>5</v>
      </c>
      <c r="N839" s="21">
        <v>99999</v>
      </c>
      <c r="O839" s="22">
        <v>10</v>
      </c>
      <c r="P839" s="23">
        <v>449995.5</v>
      </c>
      <c r="Q839" s="22">
        <v>4.7</v>
      </c>
      <c r="R839" s="22">
        <v>20</v>
      </c>
      <c r="S839" s="23">
        <f>(Table13[[#This Row],[Unit Price]]*Table13[[#This Row],[No.of Units]])*18%</f>
        <v>89999.099999999991</v>
      </c>
      <c r="T839" s="22" t="s">
        <v>1508</v>
      </c>
    </row>
    <row r="840" spans="2:20" x14ac:dyDescent="0.3">
      <c r="B840" s="5" t="s">
        <v>801</v>
      </c>
      <c r="C840" s="1">
        <v>4159700</v>
      </c>
      <c r="D840" s="1">
        <v>29</v>
      </c>
      <c r="E840" s="1" t="s">
        <v>12</v>
      </c>
      <c r="F840" s="16">
        <v>45854</v>
      </c>
      <c r="G840" s="1" t="s">
        <v>1470</v>
      </c>
      <c r="H840" s="1" t="s">
        <v>1471</v>
      </c>
      <c r="I840" s="17" t="s">
        <v>1503</v>
      </c>
      <c r="J840" s="18" t="s">
        <v>17</v>
      </c>
      <c r="K840" s="19" t="s">
        <v>18</v>
      </c>
      <c r="L840" s="19" t="s">
        <v>49</v>
      </c>
      <c r="M840" s="20">
        <v>38</v>
      </c>
      <c r="N840" s="21">
        <v>4999</v>
      </c>
      <c r="O840" s="22">
        <v>18</v>
      </c>
      <c r="P840" s="23">
        <v>155768.84</v>
      </c>
      <c r="Q840" s="22">
        <v>4.4000000000000004</v>
      </c>
      <c r="R840" s="22">
        <v>20</v>
      </c>
      <c r="S840" s="23">
        <f>(Table13[[#This Row],[Unit Price]]*Table13[[#This Row],[No.of Units]])*18%</f>
        <v>34193.159999999996</v>
      </c>
      <c r="T840" s="22" t="s">
        <v>1508</v>
      </c>
    </row>
    <row r="841" spans="2:20" x14ac:dyDescent="0.3">
      <c r="B841" s="5" t="s">
        <v>802</v>
      </c>
      <c r="C841" s="1">
        <v>2887251</v>
      </c>
      <c r="D841" s="1">
        <v>46</v>
      </c>
      <c r="E841" s="1" t="s">
        <v>12</v>
      </c>
      <c r="F841" s="16">
        <v>45854</v>
      </c>
      <c r="G841" s="1" t="s">
        <v>1470</v>
      </c>
      <c r="H841" s="1" t="s">
        <v>1481</v>
      </c>
      <c r="I841" s="17" t="s">
        <v>1504</v>
      </c>
      <c r="J841" s="18" t="s">
        <v>21</v>
      </c>
      <c r="K841" s="19" t="s">
        <v>18</v>
      </c>
      <c r="L841" s="19" t="s">
        <v>49</v>
      </c>
      <c r="M841" s="20">
        <v>9</v>
      </c>
      <c r="N841" s="21">
        <v>24900</v>
      </c>
      <c r="O841" s="22">
        <v>5</v>
      </c>
      <c r="P841" s="23">
        <v>212895</v>
      </c>
      <c r="Q841" s="22">
        <v>4.8</v>
      </c>
      <c r="R841" s="22">
        <v>20</v>
      </c>
      <c r="S841" s="23">
        <f>(Table13[[#This Row],[Unit Price]]*Table13[[#This Row],[No.of Units]])*18%</f>
        <v>40338</v>
      </c>
      <c r="T841" s="22" t="s">
        <v>1508</v>
      </c>
    </row>
    <row r="842" spans="2:20" x14ac:dyDescent="0.3">
      <c r="B842" s="5" t="s">
        <v>802</v>
      </c>
      <c r="C842" s="1">
        <v>2887251</v>
      </c>
      <c r="D842" s="1">
        <v>40</v>
      </c>
      <c r="E842" s="1" t="s">
        <v>12</v>
      </c>
      <c r="F842" s="16">
        <v>45854</v>
      </c>
      <c r="G842" s="1" t="s">
        <v>1470</v>
      </c>
      <c r="H842" s="1" t="s">
        <v>1483</v>
      </c>
      <c r="I842" s="17" t="s">
        <v>1505</v>
      </c>
      <c r="J842" s="18" t="s">
        <v>23</v>
      </c>
      <c r="K842" s="19" t="s">
        <v>14</v>
      </c>
      <c r="L842" s="19" t="s">
        <v>49</v>
      </c>
      <c r="M842" s="20">
        <v>5</v>
      </c>
      <c r="N842" s="21">
        <v>84999</v>
      </c>
      <c r="O842" s="22">
        <v>12</v>
      </c>
      <c r="P842" s="23">
        <v>373995.6</v>
      </c>
      <c r="Q842" s="22">
        <v>4.5</v>
      </c>
      <c r="R842" s="22">
        <v>20</v>
      </c>
      <c r="S842" s="23">
        <f>(Table13[[#This Row],[Unit Price]]*Table13[[#This Row],[No.of Units]])*18%</f>
        <v>76499.099999999991</v>
      </c>
      <c r="T842" s="22" t="s">
        <v>1508</v>
      </c>
    </row>
    <row r="843" spans="2:20" x14ac:dyDescent="0.3">
      <c r="B843" s="5" t="s">
        <v>803</v>
      </c>
      <c r="C843" s="1">
        <v>7320995</v>
      </c>
      <c r="D843" s="1">
        <v>33</v>
      </c>
      <c r="E843" s="1" t="s">
        <v>12</v>
      </c>
      <c r="F843" s="16">
        <v>45854</v>
      </c>
      <c r="G843" s="1" t="s">
        <v>1470</v>
      </c>
      <c r="H843" s="1" t="s">
        <v>1481</v>
      </c>
      <c r="I843" s="17" t="s">
        <v>1504</v>
      </c>
      <c r="J843" s="18" t="s">
        <v>25</v>
      </c>
      <c r="K843" s="19" t="s">
        <v>26</v>
      </c>
      <c r="L843" s="19" t="s">
        <v>49</v>
      </c>
      <c r="M843" s="20">
        <v>3</v>
      </c>
      <c r="N843" s="21">
        <v>69999</v>
      </c>
      <c r="O843" s="22">
        <v>8</v>
      </c>
      <c r="P843" s="23">
        <v>193197.24</v>
      </c>
      <c r="Q843" s="22">
        <v>4.8</v>
      </c>
      <c r="R843" s="22">
        <v>20</v>
      </c>
      <c r="S843" s="23">
        <f>(Table13[[#This Row],[Unit Price]]*Table13[[#This Row],[No.of Units]])*18%</f>
        <v>37799.46</v>
      </c>
      <c r="T843" s="22" t="s">
        <v>1508</v>
      </c>
    </row>
    <row r="844" spans="2:20" x14ac:dyDescent="0.3">
      <c r="B844" s="5" t="s">
        <v>804</v>
      </c>
      <c r="C844" s="1">
        <v>5897451</v>
      </c>
      <c r="D844" s="1">
        <v>27</v>
      </c>
      <c r="E844" s="1" t="s">
        <v>12</v>
      </c>
      <c r="F844" s="16">
        <v>45854</v>
      </c>
      <c r="G844" s="1" t="s">
        <v>1470</v>
      </c>
      <c r="H844" s="1" t="s">
        <v>1480</v>
      </c>
      <c r="I844" s="17" t="s">
        <v>1503</v>
      </c>
      <c r="J844" s="18" t="s">
        <v>28</v>
      </c>
      <c r="K844" s="19" t="s">
        <v>26</v>
      </c>
      <c r="L844" s="19" t="s">
        <v>49</v>
      </c>
      <c r="M844" s="20">
        <v>6</v>
      </c>
      <c r="N844" s="21">
        <v>42999</v>
      </c>
      <c r="O844" s="22">
        <v>15</v>
      </c>
      <c r="P844" s="23">
        <v>219294.9</v>
      </c>
      <c r="Q844" s="22">
        <v>4.5999999999999996</v>
      </c>
      <c r="R844" s="22">
        <v>20</v>
      </c>
      <c r="S844" s="23">
        <f>(Table13[[#This Row],[Unit Price]]*Table13[[#This Row],[No.of Units]])*18%</f>
        <v>46438.92</v>
      </c>
      <c r="T844" s="22" t="s">
        <v>1508</v>
      </c>
    </row>
    <row r="845" spans="2:20" x14ac:dyDescent="0.3">
      <c r="B845" s="5" t="s">
        <v>805</v>
      </c>
      <c r="C845" s="1">
        <v>9561002</v>
      </c>
      <c r="D845" s="1">
        <v>30</v>
      </c>
      <c r="E845" s="1" t="s">
        <v>12</v>
      </c>
      <c r="F845" s="16">
        <v>45861</v>
      </c>
      <c r="G845" s="1" t="s">
        <v>1470</v>
      </c>
      <c r="H845" s="1" t="s">
        <v>1471</v>
      </c>
      <c r="I845" s="17" t="s">
        <v>1502</v>
      </c>
      <c r="J845" s="18" t="s">
        <v>13</v>
      </c>
      <c r="K845" s="19" t="s">
        <v>14</v>
      </c>
      <c r="L845" s="19" t="s">
        <v>15</v>
      </c>
      <c r="M845" s="20">
        <v>6</v>
      </c>
      <c r="N845" s="21">
        <v>99999</v>
      </c>
      <c r="O845" s="22">
        <v>10</v>
      </c>
      <c r="P845" s="23">
        <v>539994.6</v>
      </c>
      <c r="Q845" s="22">
        <v>4.7</v>
      </c>
      <c r="R845" s="22">
        <v>20</v>
      </c>
      <c r="S845" s="23">
        <f>(Table13[[#This Row],[Unit Price]]*Table13[[#This Row],[No.of Units]])*18%</f>
        <v>107998.92</v>
      </c>
      <c r="T845" s="22" t="s">
        <v>1507</v>
      </c>
    </row>
    <row r="846" spans="2:20" x14ac:dyDescent="0.3">
      <c r="B846" s="5" t="s">
        <v>806</v>
      </c>
      <c r="C846" s="1">
        <v>518681</v>
      </c>
      <c r="D846" s="1">
        <v>75</v>
      </c>
      <c r="E846" s="1" t="s">
        <v>20</v>
      </c>
      <c r="F846" s="16">
        <v>45861</v>
      </c>
      <c r="G846" s="1" t="s">
        <v>1470</v>
      </c>
      <c r="H846" s="1" t="s">
        <v>1471</v>
      </c>
      <c r="I846" s="17" t="s">
        <v>1503</v>
      </c>
      <c r="J846" s="18" t="s">
        <v>17</v>
      </c>
      <c r="K846" s="19" t="s">
        <v>18</v>
      </c>
      <c r="L846" s="19" t="s">
        <v>15</v>
      </c>
      <c r="M846" s="20">
        <v>52</v>
      </c>
      <c r="N846" s="21">
        <v>4999</v>
      </c>
      <c r="O846" s="22">
        <v>18</v>
      </c>
      <c r="P846" s="23">
        <v>213157.36</v>
      </c>
      <c r="Q846" s="22">
        <v>4.4000000000000004</v>
      </c>
      <c r="R846" s="22">
        <v>20</v>
      </c>
      <c r="S846" s="23">
        <f>(Table13[[#This Row],[Unit Price]]*Table13[[#This Row],[No.of Units]])*18%</f>
        <v>46790.64</v>
      </c>
      <c r="T846" s="22" t="s">
        <v>1507</v>
      </c>
    </row>
    <row r="847" spans="2:20" x14ac:dyDescent="0.3">
      <c r="B847" s="5" t="s">
        <v>807</v>
      </c>
      <c r="C847" s="1">
        <v>5800756</v>
      </c>
      <c r="D847" s="1">
        <v>24</v>
      </c>
      <c r="E847" s="1" t="s">
        <v>12</v>
      </c>
      <c r="F847" s="16">
        <v>45861</v>
      </c>
      <c r="G847" s="1" t="s">
        <v>1473</v>
      </c>
      <c r="H847" s="1" t="s">
        <v>1472</v>
      </c>
      <c r="I847" s="17" t="s">
        <v>1504</v>
      </c>
      <c r="J847" s="18" t="s">
        <v>21</v>
      </c>
      <c r="K847" s="19" t="s">
        <v>18</v>
      </c>
      <c r="L847" s="19" t="s">
        <v>15</v>
      </c>
      <c r="M847" s="20">
        <v>8</v>
      </c>
      <c r="N847" s="21">
        <v>24900</v>
      </c>
      <c r="O847" s="22">
        <v>5</v>
      </c>
      <c r="P847" s="23">
        <v>189240</v>
      </c>
      <c r="Q847" s="22">
        <v>4.8</v>
      </c>
      <c r="R847" s="22">
        <v>20</v>
      </c>
      <c r="S847" s="23">
        <f>(Table13[[#This Row],[Unit Price]]*Table13[[#This Row],[No.of Units]])*18%</f>
        <v>35856</v>
      </c>
      <c r="T847" s="22" t="s">
        <v>1508</v>
      </c>
    </row>
    <row r="848" spans="2:20" x14ac:dyDescent="0.3">
      <c r="B848" s="5" t="s">
        <v>808</v>
      </c>
      <c r="C848" s="1">
        <v>9551282</v>
      </c>
      <c r="D848" s="1">
        <v>44</v>
      </c>
      <c r="E848" s="1" t="s">
        <v>12</v>
      </c>
      <c r="F848" s="16">
        <v>45861</v>
      </c>
      <c r="G848" s="1" t="s">
        <v>1470</v>
      </c>
      <c r="H848" s="1" t="s">
        <v>1483</v>
      </c>
      <c r="I848" s="17" t="s">
        <v>1505</v>
      </c>
      <c r="J848" s="18" t="s">
        <v>23</v>
      </c>
      <c r="K848" s="19" t="s">
        <v>14</v>
      </c>
      <c r="L848" s="19" t="s">
        <v>15</v>
      </c>
      <c r="M848" s="20">
        <v>5</v>
      </c>
      <c r="N848" s="21">
        <v>84999</v>
      </c>
      <c r="O848" s="22">
        <v>12</v>
      </c>
      <c r="P848" s="23">
        <v>373995.6</v>
      </c>
      <c r="Q848" s="22">
        <v>4.5</v>
      </c>
      <c r="R848" s="22">
        <v>20</v>
      </c>
      <c r="S848" s="23">
        <f>(Table13[[#This Row],[Unit Price]]*Table13[[#This Row],[No.of Units]])*18%</f>
        <v>76499.099999999991</v>
      </c>
      <c r="T848" s="22" t="s">
        <v>1507</v>
      </c>
    </row>
    <row r="849" spans="2:20" x14ac:dyDescent="0.3">
      <c r="B849" s="5" t="s">
        <v>809</v>
      </c>
      <c r="C849" s="1">
        <v>1742599</v>
      </c>
      <c r="D849" s="1">
        <v>48</v>
      </c>
      <c r="E849" s="1" t="s">
        <v>12</v>
      </c>
      <c r="F849" s="16">
        <v>45861</v>
      </c>
      <c r="G849" s="1" t="s">
        <v>1470</v>
      </c>
      <c r="H849" s="1" t="s">
        <v>1482</v>
      </c>
      <c r="I849" s="17" t="s">
        <v>1504</v>
      </c>
      <c r="J849" s="18" t="s">
        <v>25</v>
      </c>
      <c r="K849" s="19" t="s">
        <v>26</v>
      </c>
      <c r="L849" s="19" t="s">
        <v>15</v>
      </c>
      <c r="M849" s="20">
        <v>5</v>
      </c>
      <c r="N849" s="21">
        <v>69999</v>
      </c>
      <c r="O849" s="22">
        <v>8</v>
      </c>
      <c r="P849" s="23">
        <v>321995.40000000002</v>
      </c>
      <c r="Q849" s="22">
        <v>4.8</v>
      </c>
      <c r="R849" s="22">
        <v>20</v>
      </c>
      <c r="S849" s="23">
        <f>(Table13[[#This Row],[Unit Price]]*Table13[[#This Row],[No.of Units]])*18%</f>
        <v>62999.1</v>
      </c>
      <c r="T849" s="22" t="s">
        <v>1508</v>
      </c>
    </row>
    <row r="850" spans="2:20" x14ac:dyDescent="0.3">
      <c r="B850" s="5" t="s">
        <v>810</v>
      </c>
      <c r="C850" s="1">
        <v>4054097</v>
      </c>
      <c r="D850" s="1">
        <v>52</v>
      </c>
      <c r="E850" s="1" t="s">
        <v>20</v>
      </c>
      <c r="F850" s="16">
        <v>45861</v>
      </c>
      <c r="G850" s="1" t="s">
        <v>1470</v>
      </c>
      <c r="H850" s="1" t="s">
        <v>1471</v>
      </c>
      <c r="I850" s="17" t="s">
        <v>1503</v>
      </c>
      <c r="J850" s="18" t="s">
        <v>28</v>
      </c>
      <c r="K850" s="19" t="s">
        <v>26</v>
      </c>
      <c r="L850" s="19" t="s">
        <v>15</v>
      </c>
      <c r="M850" s="20">
        <v>8</v>
      </c>
      <c r="N850" s="21">
        <v>42999</v>
      </c>
      <c r="O850" s="22">
        <v>15</v>
      </c>
      <c r="P850" s="23">
        <v>292393.2</v>
      </c>
      <c r="Q850" s="22">
        <v>4.5999999999999996</v>
      </c>
      <c r="R850" s="22">
        <v>20</v>
      </c>
      <c r="S850" s="23">
        <f>(Table13[[#This Row],[Unit Price]]*Table13[[#This Row],[No.of Units]])*18%</f>
        <v>61918.559999999998</v>
      </c>
      <c r="T850" s="22" t="s">
        <v>1508</v>
      </c>
    </row>
    <row r="851" spans="2:20" x14ac:dyDescent="0.3">
      <c r="B851" s="5" t="s">
        <v>811</v>
      </c>
      <c r="C851" s="1">
        <v>232355</v>
      </c>
      <c r="D851" s="1">
        <v>63</v>
      </c>
      <c r="E851" s="1" t="s">
        <v>20</v>
      </c>
      <c r="F851" s="16">
        <v>45861</v>
      </c>
      <c r="G851" s="1" t="s">
        <v>1470</v>
      </c>
      <c r="H851" s="1" t="s">
        <v>1482</v>
      </c>
      <c r="I851" s="17" t="s">
        <v>1502</v>
      </c>
      <c r="J851" s="18" t="s">
        <v>13</v>
      </c>
      <c r="K851" s="19" t="s">
        <v>14</v>
      </c>
      <c r="L851" s="19" t="s">
        <v>29</v>
      </c>
      <c r="M851" s="20">
        <v>4</v>
      </c>
      <c r="N851" s="21">
        <v>99999</v>
      </c>
      <c r="O851" s="22">
        <v>10</v>
      </c>
      <c r="P851" s="23">
        <v>359996.4</v>
      </c>
      <c r="Q851" s="22">
        <v>4.7</v>
      </c>
      <c r="R851" s="22">
        <v>20</v>
      </c>
      <c r="S851" s="23">
        <f>(Table13[[#This Row],[Unit Price]]*Table13[[#This Row],[No.of Units]])*18%</f>
        <v>71999.28</v>
      </c>
      <c r="T851" s="22" t="s">
        <v>1508</v>
      </c>
    </row>
    <row r="852" spans="2:20" x14ac:dyDescent="0.3">
      <c r="B852" s="5" t="s">
        <v>812</v>
      </c>
      <c r="C852" s="1">
        <v>4278165</v>
      </c>
      <c r="D852" s="1">
        <v>31</v>
      </c>
      <c r="E852" s="1" t="s">
        <v>12</v>
      </c>
      <c r="F852" s="16">
        <v>45861</v>
      </c>
      <c r="G852" s="1" t="s">
        <v>1473</v>
      </c>
      <c r="H852" s="1" t="s">
        <v>1483</v>
      </c>
      <c r="I852" s="17" t="s">
        <v>1503</v>
      </c>
      <c r="J852" s="18" t="s">
        <v>17</v>
      </c>
      <c r="K852" s="19" t="s">
        <v>18</v>
      </c>
      <c r="L852" s="19" t="s">
        <v>29</v>
      </c>
      <c r="M852" s="20">
        <v>32</v>
      </c>
      <c r="N852" s="21">
        <v>4999</v>
      </c>
      <c r="O852" s="22">
        <v>18</v>
      </c>
      <c r="P852" s="23">
        <v>131173.76000000001</v>
      </c>
      <c r="Q852" s="22">
        <v>4.4000000000000004</v>
      </c>
      <c r="R852" s="22">
        <v>20</v>
      </c>
      <c r="S852" s="23">
        <f>(Table13[[#This Row],[Unit Price]]*Table13[[#This Row],[No.of Units]])*18%</f>
        <v>28794.239999999998</v>
      </c>
      <c r="T852" s="22" t="s">
        <v>1508</v>
      </c>
    </row>
    <row r="853" spans="2:20" x14ac:dyDescent="0.3">
      <c r="B853" s="5" t="s">
        <v>813</v>
      </c>
      <c r="C853" s="1">
        <v>5168343</v>
      </c>
      <c r="D853" s="1">
        <v>41</v>
      </c>
      <c r="E853" s="1" t="s">
        <v>12</v>
      </c>
      <c r="F853" s="16">
        <v>45861</v>
      </c>
      <c r="G853" s="1" t="s">
        <v>1470</v>
      </c>
      <c r="H853" s="1" t="s">
        <v>1472</v>
      </c>
      <c r="I853" s="17" t="s">
        <v>1504</v>
      </c>
      <c r="J853" s="18" t="s">
        <v>21</v>
      </c>
      <c r="K853" s="19" t="s">
        <v>18</v>
      </c>
      <c r="L853" s="19" t="s">
        <v>29</v>
      </c>
      <c r="M853" s="20">
        <v>9</v>
      </c>
      <c r="N853" s="21">
        <v>24900</v>
      </c>
      <c r="O853" s="22">
        <v>5</v>
      </c>
      <c r="P853" s="23">
        <v>212895</v>
      </c>
      <c r="Q853" s="22">
        <v>4.8</v>
      </c>
      <c r="R853" s="22">
        <v>20</v>
      </c>
      <c r="S853" s="23">
        <f>(Table13[[#This Row],[Unit Price]]*Table13[[#This Row],[No.of Units]])*18%</f>
        <v>40338</v>
      </c>
      <c r="T853" s="22" t="s">
        <v>1508</v>
      </c>
    </row>
    <row r="854" spans="2:20" x14ac:dyDescent="0.3">
      <c r="B854" s="5" t="s">
        <v>814</v>
      </c>
      <c r="C854" s="1">
        <v>1130175</v>
      </c>
      <c r="D854" s="1">
        <v>49</v>
      </c>
      <c r="E854" s="1" t="s">
        <v>12</v>
      </c>
      <c r="F854" s="16">
        <v>45861</v>
      </c>
      <c r="G854" s="1" t="s">
        <v>1470</v>
      </c>
      <c r="H854" s="1" t="s">
        <v>1471</v>
      </c>
      <c r="I854" s="17" t="s">
        <v>1505</v>
      </c>
      <c r="J854" s="18" t="s">
        <v>23</v>
      </c>
      <c r="K854" s="19" t="s">
        <v>14</v>
      </c>
      <c r="L854" s="19" t="s">
        <v>29</v>
      </c>
      <c r="M854" s="20">
        <v>3</v>
      </c>
      <c r="N854" s="21">
        <v>84999</v>
      </c>
      <c r="O854" s="22">
        <v>12</v>
      </c>
      <c r="P854" s="23">
        <v>224397.36</v>
      </c>
      <c r="Q854" s="22">
        <v>4.5</v>
      </c>
      <c r="R854" s="22">
        <v>20</v>
      </c>
      <c r="S854" s="23">
        <f>(Table13[[#This Row],[Unit Price]]*Table13[[#This Row],[No.of Units]])*18%</f>
        <v>45899.46</v>
      </c>
      <c r="T854" s="22" t="s">
        <v>1507</v>
      </c>
    </row>
    <row r="855" spans="2:20" x14ac:dyDescent="0.3">
      <c r="B855" s="5" t="s">
        <v>814</v>
      </c>
      <c r="C855" s="1">
        <v>1130175</v>
      </c>
      <c r="D855" s="1">
        <v>47</v>
      </c>
      <c r="E855" s="1" t="s">
        <v>12</v>
      </c>
      <c r="F855" s="16">
        <v>45861</v>
      </c>
      <c r="G855" s="1" t="s">
        <v>1470</v>
      </c>
      <c r="H855" s="1" t="s">
        <v>1483</v>
      </c>
      <c r="I855" s="17" t="s">
        <v>1504</v>
      </c>
      <c r="J855" s="18" t="s">
        <v>25</v>
      </c>
      <c r="K855" s="19" t="s">
        <v>26</v>
      </c>
      <c r="L855" s="19" t="s">
        <v>29</v>
      </c>
      <c r="M855" s="20">
        <v>4</v>
      </c>
      <c r="N855" s="21">
        <v>69999</v>
      </c>
      <c r="O855" s="22">
        <v>8</v>
      </c>
      <c r="P855" s="23">
        <v>257596.32</v>
      </c>
      <c r="Q855" s="22">
        <v>4.8</v>
      </c>
      <c r="R855" s="22">
        <v>20</v>
      </c>
      <c r="S855" s="23">
        <f>(Table13[[#This Row],[Unit Price]]*Table13[[#This Row],[No.of Units]])*18%</f>
        <v>50399.28</v>
      </c>
      <c r="T855" s="22" t="s">
        <v>1507</v>
      </c>
    </row>
    <row r="856" spans="2:20" x14ac:dyDescent="0.3">
      <c r="B856" s="5" t="s">
        <v>815</v>
      </c>
      <c r="C856" s="1">
        <v>4898598</v>
      </c>
      <c r="D856" s="1">
        <v>40</v>
      </c>
      <c r="E856" s="1" t="s">
        <v>12</v>
      </c>
      <c r="F856" s="16">
        <v>45861</v>
      </c>
      <c r="G856" s="1" t="s">
        <v>1470</v>
      </c>
      <c r="H856" s="1" t="s">
        <v>1472</v>
      </c>
      <c r="I856" s="17" t="s">
        <v>1503</v>
      </c>
      <c r="J856" s="18" t="s">
        <v>28</v>
      </c>
      <c r="K856" s="19" t="s">
        <v>26</v>
      </c>
      <c r="L856" s="19" t="s">
        <v>29</v>
      </c>
      <c r="M856" s="20">
        <v>8</v>
      </c>
      <c r="N856" s="21">
        <v>42999</v>
      </c>
      <c r="O856" s="22">
        <v>15</v>
      </c>
      <c r="P856" s="23">
        <v>292393.2</v>
      </c>
      <c r="Q856" s="22">
        <v>4.5999999999999996</v>
      </c>
      <c r="R856" s="22">
        <v>20</v>
      </c>
      <c r="S856" s="23">
        <f>(Table13[[#This Row],[Unit Price]]*Table13[[#This Row],[No.of Units]])*18%</f>
        <v>61918.559999999998</v>
      </c>
      <c r="T856" s="22" t="s">
        <v>1507</v>
      </c>
    </row>
    <row r="857" spans="2:20" x14ac:dyDescent="0.3">
      <c r="B857" s="5" t="s">
        <v>816</v>
      </c>
      <c r="C857" s="1">
        <v>3795610</v>
      </c>
      <c r="D857" s="1">
        <v>21</v>
      </c>
      <c r="E857" s="1" t="s">
        <v>12</v>
      </c>
      <c r="F857" s="16">
        <v>45861</v>
      </c>
      <c r="G857" s="1" t="s">
        <v>1473</v>
      </c>
      <c r="H857" s="1" t="s">
        <v>1471</v>
      </c>
      <c r="I857" s="17" t="s">
        <v>1502</v>
      </c>
      <c r="J857" s="18" t="s">
        <v>13</v>
      </c>
      <c r="K857" s="19" t="s">
        <v>14</v>
      </c>
      <c r="L857" s="19" t="s">
        <v>35</v>
      </c>
      <c r="M857" s="20">
        <v>4</v>
      </c>
      <c r="N857" s="21">
        <v>99999</v>
      </c>
      <c r="O857" s="22">
        <v>10</v>
      </c>
      <c r="P857" s="23">
        <v>359996.4</v>
      </c>
      <c r="Q857" s="22">
        <v>4.7</v>
      </c>
      <c r="R857" s="22">
        <v>20</v>
      </c>
      <c r="S857" s="23">
        <f>(Table13[[#This Row],[Unit Price]]*Table13[[#This Row],[No.of Units]])*18%</f>
        <v>71999.28</v>
      </c>
      <c r="T857" s="22" t="s">
        <v>1508</v>
      </c>
    </row>
    <row r="858" spans="2:20" x14ac:dyDescent="0.3">
      <c r="B858" s="5" t="s">
        <v>817</v>
      </c>
      <c r="C858" s="1">
        <v>7823038</v>
      </c>
      <c r="D858" s="1">
        <v>33</v>
      </c>
      <c r="E858" s="1" t="s">
        <v>12</v>
      </c>
      <c r="F858" s="16">
        <v>45861</v>
      </c>
      <c r="G858" s="1" t="s">
        <v>1470</v>
      </c>
      <c r="H858" s="1" t="s">
        <v>1472</v>
      </c>
      <c r="I858" s="17" t="s">
        <v>1503</v>
      </c>
      <c r="J858" s="18" t="s">
        <v>17</v>
      </c>
      <c r="K858" s="19" t="s">
        <v>18</v>
      </c>
      <c r="L858" s="19" t="s">
        <v>35</v>
      </c>
      <c r="M858" s="20">
        <v>47</v>
      </c>
      <c r="N858" s="21">
        <v>4999</v>
      </c>
      <c r="O858" s="22">
        <v>18</v>
      </c>
      <c r="P858" s="23">
        <v>192661.46</v>
      </c>
      <c r="Q858" s="22">
        <v>4.4000000000000004</v>
      </c>
      <c r="R858" s="22">
        <v>20</v>
      </c>
      <c r="S858" s="23">
        <f>(Table13[[#This Row],[Unit Price]]*Table13[[#This Row],[No.of Units]])*18%</f>
        <v>42291.54</v>
      </c>
      <c r="T858" s="22" t="s">
        <v>1507</v>
      </c>
    </row>
    <row r="859" spans="2:20" x14ac:dyDescent="0.3">
      <c r="B859" s="5" t="s">
        <v>818</v>
      </c>
      <c r="C859" s="1">
        <v>1437321</v>
      </c>
      <c r="D859" s="1">
        <v>49</v>
      </c>
      <c r="E859" s="1" t="s">
        <v>12</v>
      </c>
      <c r="F859" s="16">
        <v>45861</v>
      </c>
      <c r="G859" s="1" t="s">
        <v>1470</v>
      </c>
      <c r="H859" s="1" t="s">
        <v>1471</v>
      </c>
      <c r="I859" s="17" t="s">
        <v>1504</v>
      </c>
      <c r="J859" s="18" t="s">
        <v>21</v>
      </c>
      <c r="K859" s="19" t="s">
        <v>18</v>
      </c>
      <c r="L859" s="19" t="s">
        <v>35</v>
      </c>
      <c r="M859" s="20">
        <v>14</v>
      </c>
      <c r="N859" s="21">
        <v>24900</v>
      </c>
      <c r="O859" s="22">
        <v>5</v>
      </c>
      <c r="P859" s="23">
        <v>331170</v>
      </c>
      <c r="Q859" s="22">
        <v>4.8</v>
      </c>
      <c r="R859" s="22">
        <v>20</v>
      </c>
      <c r="S859" s="23">
        <f>(Table13[[#This Row],[Unit Price]]*Table13[[#This Row],[No.of Units]])*18%</f>
        <v>62748</v>
      </c>
      <c r="T859" s="22" t="s">
        <v>1507</v>
      </c>
    </row>
    <row r="860" spans="2:20" x14ac:dyDescent="0.3">
      <c r="B860" s="5" t="s">
        <v>819</v>
      </c>
      <c r="C860" s="1">
        <v>7153481</v>
      </c>
      <c r="D860" s="1">
        <v>40</v>
      </c>
      <c r="E860" s="1" t="s">
        <v>12</v>
      </c>
      <c r="F860" s="16">
        <v>45861</v>
      </c>
      <c r="G860" s="1" t="s">
        <v>1470</v>
      </c>
      <c r="H860" s="1" t="s">
        <v>1472</v>
      </c>
      <c r="I860" s="17" t="s">
        <v>1505</v>
      </c>
      <c r="J860" s="18" t="s">
        <v>23</v>
      </c>
      <c r="K860" s="19" t="s">
        <v>14</v>
      </c>
      <c r="L860" s="19" t="s">
        <v>35</v>
      </c>
      <c r="M860" s="20">
        <v>2</v>
      </c>
      <c r="N860" s="21">
        <v>84999</v>
      </c>
      <c r="O860" s="22">
        <v>12</v>
      </c>
      <c r="P860" s="23">
        <v>149598.24</v>
      </c>
      <c r="Q860" s="22">
        <v>4.5</v>
      </c>
      <c r="R860" s="22">
        <v>20</v>
      </c>
      <c r="S860" s="23">
        <f>(Table13[[#This Row],[Unit Price]]*Table13[[#This Row],[No.of Units]])*18%</f>
        <v>30599.64</v>
      </c>
      <c r="T860" s="22" t="s">
        <v>1508</v>
      </c>
    </row>
    <row r="861" spans="2:20" x14ac:dyDescent="0.3">
      <c r="B861" s="5" t="s">
        <v>820</v>
      </c>
      <c r="C861" s="1">
        <v>1576659</v>
      </c>
      <c r="D861" s="1">
        <v>24</v>
      </c>
      <c r="E861" s="1" t="s">
        <v>12</v>
      </c>
      <c r="F861" s="16">
        <v>45861</v>
      </c>
      <c r="G861" s="1" t="s">
        <v>1473</v>
      </c>
      <c r="H861" s="1" t="s">
        <v>1471</v>
      </c>
      <c r="I861" s="17" t="s">
        <v>1504</v>
      </c>
      <c r="J861" s="18" t="s">
        <v>25</v>
      </c>
      <c r="K861" s="19" t="s">
        <v>26</v>
      </c>
      <c r="L861" s="19" t="s">
        <v>35</v>
      </c>
      <c r="M861" s="20">
        <v>5</v>
      </c>
      <c r="N861" s="21">
        <v>69999</v>
      </c>
      <c r="O861" s="22">
        <v>8</v>
      </c>
      <c r="P861" s="23">
        <v>321995.40000000002</v>
      </c>
      <c r="Q861" s="22">
        <v>4.8</v>
      </c>
      <c r="R861" s="22">
        <v>20</v>
      </c>
      <c r="S861" s="23">
        <f>(Table13[[#This Row],[Unit Price]]*Table13[[#This Row],[No.of Units]])*18%</f>
        <v>62999.1</v>
      </c>
      <c r="T861" s="22" t="s">
        <v>1508</v>
      </c>
    </row>
    <row r="862" spans="2:20" x14ac:dyDescent="0.3">
      <c r="B862" s="5" t="s">
        <v>821</v>
      </c>
      <c r="C862" s="1">
        <v>5072383</v>
      </c>
      <c r="D862" s="1">
        <v>31</v>
      </c>
      <c r="E862" s="1" t="s">
        <v>12</v>
      </c>
      <c r="F862" s="16">
        <v>45861</v>
      </c>
      <c r="G862" s="1" t="s">
        <v>1470</v>
      </c>
      <c r="H862" s="1" t="s">
        <v>1482</v>
      </c>
      <c r="I862" s="17" t="s">
        <v>1503</v>
      </c>
      <c r="J862" s="18" t="s">
        <v>28</v>
      </c>
      <c r="K862" s="19" t="s">
        <v>26</v>
      </c>
      <c r="L862" s="19" t="s">
        <v>35</v>
      </c>
      <c r="M862" s="20">
        <v>10</v>
      </c>
      <c r="N862" s="21">
        <v>42999</v>
      </c>
      <c r="O862" s="22">
        <v>15</v>
      </c>
      <c r="P862" s="23">
        <v>365491.5</v>
      </c>
      <c r="Q862" s="22">
        <v>4.5999999999999996</v>
      </c>
      <c r="R862" s="22">
        <v>20</v>
      </c>
      <c r="S862" s="23">
        <f>(Table13[[#This Row],[Unit Price]]*Table13[[#This Row],[No.of Units]])*18%</f>
        <v>77398.2</v>
      </c>
      <c r="T862" s="22" t="s">
        <v>1508</v>
      </c>
    </row>
    <row r="863" spans="2:20" x14ac:dyDescent="0.3">
      <c r="B863" s="5" t="s">
        <v>822</v>
      </c>
      <c r="C863" s="1">
        <v>5832764</v>
      </c>
      <c r="D863" s="1">
        <v>34</v>
      </c>
      <c r="E863" s="1" t="s">
        <v>12</v>
      </c>
      <c r="F863" s="16">
        <v>45861</v>
      </c>
      <c r="G863" s="1" t="s">
        <v>1470</v>
      </c>
      <c r="H863" s="1" t="s">
        <v>1482</v>
      </c>
      <c r="I863" s="17" t="s">
        <v>1502</v>
      </c>
      <c r="J863" s="18" t="s">
        <v>13</v>
      </c>
      <c r="K863" s="19" t="s">
        <v>14</v>
      </c>
      <c r="L863" s="19" t="s">
        <v>42</v>
      </c>
      <c r="M863" s="20">
        <v>3</v>
      </c>
      <c r="N863" s="21">
        <v>99999</v>
      </c>
      <c r="O863" s="22">
        <v>10</v>
      </c>
      <c r="P863" s="23">
        <v>269997.3</v>
      </c>
      <c r="Q863" s="22">
        <v>4.7</v>
      </c>
      <c r="R863" s="22">
        <v>20</v>
      </c>
      <c r="S863" s="23">
        <f>(Table13[[#This Row],[Unit Price]]*Table13[[#This Row],[No.of Units]])*18%</f>
        <v>53999.46</v>
      </c>
      <c r="T863" s="22" t="s">
        <v>1508</v>
      </c>
    </row>
    <row r="864" spans="2:20" x14ac:dyDescent="0.3">
      <c r="B864" s="5" t="s">
        <v>823</v>
      </c>
      <c r="C864" s="1">
        <v>8588805</v>
      </c>
      <c r="D864" s="1">
        <v>27</v>
      </c>
      <c r="E864" s="1" t="s">
        <v>12</v>
      </c>
      <c r="F864" s="16">
        <v>45861</v>
      </c>
      <c r="G864" s="1" t="s">
        <v>1475</v>
      </c>
      <c r="H864" s="1" t="s">
        <v>1480</v>
      </c>
      <c r="I864" s="17" t="s">
        <v>1503</v>
      </c>
      <c r="J864" s="18" t="s">
        <v>17</v>
      </c>
      <c r="K864" s="19" t="s">
        <v>18</v>
      </c>
      <c r="L864" s="19" t="s">
        <v>42</v>
      </c>
      <c r="M864" s="20">
        <v>49</v>
      </c>
      <c r="N864" s="21">
        <v>4999</v>
      </c>
      <c r="O864" s="22">
        <v>18</v>
      </c>
      <c r="P864" s="23">
        <v>200859.82</v>
      </c>
      <c r="Q864" s="22">
        <v>4.4000000000000004</v>
      </c>
      <c r="R864" s="22">
        <v>20</v>
      </c>
      <c r="S864" s="23">
        <f>(Table13[[#This Row],[Unit Price]]*Table13[[#This Row],[No.of Units]])*18%</f>
        <v>44091.18</v>
      </c>
      <c r="T864" s="22" t="s">
        <v>1507</v>
      </c>
    </row>
    <row r="865" spans="2:20" x14ac:dyDescent="0.3">
      <c r="B865" s="5" t="s">
        <v>824</v>
      </c>
      <c r="C865" s="1">
        <v>1545696</v>
      </c>
      <c r="D865" s="1">
        <v>25</v>
      </c>
      <c r="E865" s="1" t="s">
        <v>12</v>
      </c>
      <c r="F865" s="16">
        <v>45861</v>
      </c>
      <c r="G865" s="1" t="s">
        <v>1470</v>
      </c>
      <c r="H865" s="1" t="s">
        <v>1471</v>
      </c>
      <c r="I865" s="17" t="s">
        <v>1504</v>
      </c>
      <c r="J865" s="18" t="s">
        <v>21</v>
      </c>
      <c r="K865" s="19" t="s">
        <v>18</v>
      </c>
      <c r="L865" s="19" t="s">
        <v>42</v>
      </c>
      <c r="M865" s="20">
        <v>15</v>
      </c>
      <c r="N865" s="21">
        <v>24900</v>
      </c>
      <c r="O865" s="22">
        <v>5</v>
      </c>
      <c r="P865" s="23">
        <v>354825</v>
      </c>
      <c r="Q865" s="22">
        <v>4.8</v>
      </c>
      <c r="R865" s="22">
        <v>20</v>
      </c>
      <c r="S865" s="23">
        <f>(Table13[[#This Row],[Unit Price]]*Table13[[#This Row],[No.of Units]])*18%</f>
        <v>67230</v>
      </c>
      <c r="T865" s="22" t="s">
        <v>1508</v>
      </c>
    </row>
    <row r="866" spans="2:20" x14ac:dyDescent="0.3">
      <c r="B866" s="5" t="s">
        <v>825</v>
      </c>
      <c r="C866" s="1">
        <v>1757235</v>
      </c>
      <c r="D866" s="1">
        <v>29</v>
      </c>
      <c r="E866" s="1" t="s">
        <v>12</v>
      </c>
      <c r="F866" s="16">
        <v>45861</v>
      </c>
      <c r="G866" s="1" t="s">
        <v>1470</v>
      </c>
      <c r="H866" s="1" t="s">
        <v>1471</v>
      </c>
      <c r="I866" s="17" t="s">
        <v>1505</v>
      </c>
      <c r="J866" s="18" t="s">
        <v>23</v>
      </c>
      <c r="K866" s="19" t="s">
        <v>14</v>
      </c>
      <c r="L866" s="19" t="s">
        <v>42</v>
      </c>
      <c r="M866" s="20">
        <v>6</v>
      </c>
      <c r="N866" s="21">
        <v>84999</v>
      </c>
      <c r="O866" s="22">
        <v>12</v>
      </c>
      <c r="P866" s="23">
        <v>448794.72</v>
      </c>
      <c r="Q866" s="22">
        <v>4.5</v>
      </c>
      <c r="R866" s="22">
        <v>20</v>
      </c>
      <c r="S866" s="23">
        <f>(Table13[[#This Row],[Unit Price]]*Table13[[#This Row],[No.of Units]])*18%</f>
        <v>91798.92</v>
      </c>
      <c r="T866" s="22" t="s">
        <v>1507</v>
      </c>
    </row>
    <row r="867" spans="2:20" x14ac:dyDescent="0.3">
      <c r="B867" s="5" t="s">
        <v>826</v>
      </c>
      <c r="C867" s="1">
        <v>448685</v>
      </c>
      <c r="D867" s="1">
        <v>30</v>
      </c>
      <c r="E867" s="1" t="s">
        <v>12</v>
      </c>
      <c r="F867" s="16">
        <v>45861</v>
      </c>
      <c r="G867" s="1" t="s">
        <v>1470</v>
      </c>
      <c r="H867" s="1" t="s">
        <v>1471</v>
      </c>
      <c r="I867" s="17" t="s">
        <v>1504</v>
      </c>
      <c r="J867" s="18" t="s">
        <v>25</v>
      </c>
      <c r="K867" s="19" t="s">
        <v>26</v>
      </c>
      <c r="L867" s="19" t="s">
        <v>42</v>
      </c>
      <c r="M867" s="20">
        <v>6</v>
      </c>
      <c r="N867" s="21">
        <v>69999</v>
      </c>
      <c r="O867" s="22">
        <v>8</v>
      </c>
      <c r="P867" s="23">
        <v>386394.48</v>
      </c>
      <c r="Q867" s="22">
        <v>4.8</v>
      </c>
      <c r="R867" s="22">
        <v>20</v>
      </c>
      <c r="S867" s="23">
        <f>(Table13[[#This Row],[Unit Price]]*Table13[[#This Row],[No.of Units]])*18%</f>
        <v>75598.92</v>
      </c>
      <c r="T867" s="22" t="s">
        <v>1507</v>
      </c>
    </row>
    <row r="868" spans="2:20" x14ac:dyDescent="0.3">
      <c r="B868" s="5" t="s">
        <v>827</v>
      </c>
      <c r="C868" s="1">
        <v>1347567</v>
      </c>
      <c r="D868" s="1">
        <v>26</v>
      </c>
      <c r="E868" s="1" t="s">
        <v>12</v>
      </c>
      <c r="F868" s="16">
        <v>45861</v>
      </c>
      <c r="G868" s="1" t="s">
        <v>1473</v>
      </c>
      <c r="H868" s="1" t="s">
        <v>1471</v>
      </c>
      <c r="I868" s="17" t="s">
        <v>1503</v>
      </c>
      <c r="J868" s="18" t="s">
        <v>28</v>
      </c>
      <c r="K868" s="19" t="s">
        <v>26</v>
      </c>
      <c r="L868" s="19" t="s">
        <v>42</v>
      </c>
      <c r="M868" s="20">
        <v>8</v>
      </c>
      <c r="N868" s="21">
        <v>42999</v>
      </c>
      <c r="O868" s="22">
        <v>15</v>
      </c>
      <c r="P868" s="23">
        <v>292393.2</v>
      </c>
      <c r="Q868" s="22">
        <v>4.5999999999999996</v>
      </c>
      <c r="R868" s="22">
        <v>20</v>
      </c>
      <c r="S868" s="23">
        <f>(Table13[[#This Row],[Unit Price]]*Table13[[#This Row],[No.of Units]])*18%</f>
        <v>61918.559999999998</v>
      </c>
      <c r="T868" s="22" t="s">
        <v>1507</v>
      </c>
    </row>
    <row r="869" spans="2:20" x14ac:dyDescent="0.3">
      <c r="B869" s="5" t="s">
        <v>827</v>
      </c>
      <c r="C869" s="1">
        <v>1347567</v>
      </c>
      <c r="D869" s="1">
        <v>46</v>
      </c>
      <c r="E869" s="1" t="s">
        <v>12</v>
      </c>
      <c r="F869" s="16">
        <v>45861</v>
      </c>
      <c r="G869" s="1" t="s">
        <v>1473</v>
      </c>
      <c r="H869" s="1" t="s">
        <v>1471</v>
      </c>
      <c r="I869" s="17" t="s">
        <v>1502</v>
      </c>
      <c r="J869" s="18" t="s">
        <v>13</v>
      </c>
      <c r="K869" s="19" t="s">
        <v>14</v>
      </c>
      <c r="L869" s="19" t="s">
        <v>49</v>
      </c>
      <c r="M869" s="20">
        <v>4</v>
      </c>
      <c r="N869" s="21">
        <v>99999</v>
      </c>
      <c r="O869" s="22">
        <v>10</v>
      </c>
      <c r="P869" s="23">
        <v>359996.4</v>
      </c>
      <c r="Q869" s="22">
        <v>4.7</v>
      </c>
      <c r="R869" s="22">
        <v>20</v>
      </c>
      <c r="S869" s="23">
        <f>(Table13[[#This Row],[Unit Price]]*Table13[[#This Row],[No.of Units]])*18%</f>
        <v>71999.28</v>
      </c>
      <c r="T869" s="22" t="s">
        <v>1507</v>
      </c>
    </row>
    <row r="870" spans="2:20" x14ac:dyDescent="0.3">
      <c r="B870" s="5" t="s">
        <v>828</v>
      </c>
      <c r="C870" s="1">
        <v>2837536</v>
      </c>
      <c r="D870" s="1">
        <v>32</v>
      </c>
      <c r="E870" s="1" t="s">
        <v>12</v>
      </c>
      <c r="F870" s="16">
        <v>45861</v>
      </c>
      <c r="G870" s="1" t="s">
        <v>1470</v>
      </c>
      <c r="H870" s="1" t="s">
        <v>1482</v>
      </c>
      <c r="I870" s="17" t="s">
        <v>1503</v>
      </c>
      <c r="J870" s="18" t="s">
        <v>17</v>
      </c>
      <c r="K870" s="19" t="s">
        <v>18</v>
      </c>
      <c r="L870" s="19" t="s">
        <v>49</v>
      </c>
      <c r="M870" s="20">
        <v>53</v>
      </c>
      <c r="N870" s="21">
        <v>4999</v>
      </c>
      <c r="O870" s="22">
        <v>18</v>
      </c>
      <c r="P870" s="23">
        <v>217256.54</v>
      </c>
      <c r="Q870" s="22">
        <v>4.4000000000000004</v>
      </c>
      <c r="R870" s="22">
        <v>20</v>
      </c>
      <c r="S870" s="23">
        <f>(Table13[[#This Row],[Unit Price]]*Table13[[#This Row],[No.of Units]])*18%</f>
        <v>47690.46</v>
      </c>
      <c r="T870" s="22" t="s">
        <v>1508</v>
      </c>
    </row>
    <row r="871" spans="2:20" x14ac:dyDescent="0.3">
      <c r="B871" s="5" t="s">
        <v>829</v>
      </c>
      <c r="C871" s="1">
        <v>6876247</v>
      </c>
      <c r="D871" s="1">
        <v>78</v>
      </c>
      <c r="E871" s="1" t="s">
        <v>20</v>
      </c>
      <c r="F871" s="16">
        <v>45861</v>
      </c>
      <c r="G871" s="1" t="s">
        <v>1474</v>
      </c>
      <c r="H871" s="1" t="s">
        <v>1471</v>
      </c>
      <c r="I871" s="17" t="s">
        <v>1504</v>
      </c>
      <c r="J871" s="18" t="s">
        <v>21</v>
      </c>
      <c r="K871" s="19" t="s">
        <v>18</v>
      </c>
      <c r="L871" s="19" t="s">
        <v>49</v>
      </c>
      <c r="M871" s="20">
        <v>14</v>
      </c>
      <c r="N871" s="21">
        <v>24900</v>
      </c>
      <c r="O871" s="22">
        <v>5</v>
      </c>
      <c r="P871" s="23">
        <v>331170</v>
      </c>
      <c r="Q871" s="22">
        <v>4.8</v>
      </c>
      <c r="R871" s="22">
        <v>20</v>
      </c>
      <c r="S871" s="23">
        <f>(Table13[[#This Row],[Unit Price]]*Table13[[#This Row],[No.of Units]])*18%</f>
        <v>62748</v>
      </c>
      <c r="T871" s="22" t="s">
        <v>1507</v>
      </c>
    </row>
    <row r="872" spans="2:20" x14ac:dyDescent="0.3">
      <c r="B872" s="5" t="s">
        <v>830</v>
      </c>
      <c r="C872" s="1">
        <v>4416097</v>
      </c>
      <c r="D872" s="1">
        <v>35</v>
      </c>
      <c r="E872" s="1" t="s">
        <v>12</v>
      </c>
      <c r="F872" s="16">
        <v>45861</v>
      </c>
      <c r="G872" s="1" t="s">
        <v>1470</v>
      </c>
      <c r="H872" s="1" t="s">
        <v>1483</v>
      </c>
      <c r="I872" s="17" t="s">
        <v>1505</v>
      </c>
      <c r="J872" s="18" t="s">
        <v>23</v>
      </c>
      <c r="K872" s="19" t="s">
        <v>14</v>
      </c>
      <c r="L872" s="19" t="s">
        <v>49</v>
      </c>
      <c r="M872" s="20">
        <v>6</v>
      </c>
      <c r="N872" s="21">
        <v>84999</v>
      </c>
      <c r="O872" s="22">
        <v>12</v>
      </c>
      <c r="P872" s="23">
        <v>448794.72</v>
      </c>
      <c r="Q872" s="22">
        <v>4.5</v>
      </c>
      <c r="R872" s="22">
        <v>20</v>
      </c>
      <c r="S872" s="23">
        <f>(Table13[[#This Row],[Unit Price]]*Table13[[#This Row],[No.of Units]])*18%</f>
        <v>91798.92</v>
      </c>
      <c r="T872" s="22" t="s">
        <v>1508</v>
      </c>
    </row>
    <row r="873" spans="2:20" x14ac:dyDescent="0.3">
      <c r="B873" s="5" t="s">
        <v>831</v>
      </c>
      <c r="C873" s="1">
        <v>190504</v>
      </c>
      <c r="D873" s="1">
        <v>46</v>
      </c>
      <c r="E873" s="1" t="s">
        <v>12</v>
      </c>
      <c r="F873" s="16">
        <v>45861</v>
      </c>
      <c r="G873" s="1" t="s">
        <v>1470</v>
      </c>
      <c r="H873" s="1" t="s">
        <v>1472</v>
      </c>
      <c r="I873" s="17" t="s">
        <v>1504</v>
      </c>
      <c r="J873" s="18" t="s">
        <v>25</v>
      </c>
      <c r="K873" s="19" t="s">
        <v>26</v>
      </c>
      <c r="L873" s="19" t="s">
        <v>49</v>
      </c>
      <c r="M873" s="20">
        <v>5</v>
      </c>
      <c r="N873" s="21">
        <v>69999</v>
      </c>
      <c r="O873" s="22">
        <v>8</v>
      </c>
      <c r="P873" s="23">
        <v>321995.40000000002</v>
      </c>
      <c r="Q873" s="22">
        <v>4.8</v>
      </c>
      <c r="R873" s="22">
        <v>20</v>
      </c>
      <c r="S873" s="23">
        <f>(Table13[[#This Row],[Unit Price]]*Table13[[#This Row],[No.of Units]])*18%</f>
        <v>62999.1</v>
      </c>
      <c r="T873" s="22" t="s">
        <v>1508</v>
      </c>
    </row>
    <row r="874" spans="2:20" x14ac:dyDescent="0.3">
      <c r="B874" s="5" t="s">
        <v>832</v>
      </c>
      <c r="C874" s="1">
        <v>4803090</v>
      </c>
      <c r="D874" s="1">
        <v>67</v>
      </c>
      <c r="E874" s="1" t="s">
        <v>20</v>
      </c>
      <c r="F874" s="16">
        <v>45861</v>
      </c>
      <c r="G874" s="1" t="s">
        <v>1470</v>
      </c>
      <c r="H874" s="1" t="s">
        <v>1471</v>
      </c>
      <c r="I874" s="17" t="s">
        <v>1503</v>
      </c>
      <c r="J874" s="18" t="s">
        <v>28</v>
      </c>
      <c r="K874" s="19" t="s">
        <v>26</v>
      </c>
      <c r="L874" s="19" t="s">
        <v>49</v>
      </c>
      <c r="M874" s="20">
        <v>5</v>
      </c>
      <c r="N874" s="21">
        <v>42999</v>
      </c>
      <c r="O874" s="22">
        <v>15</v>
      </c>
      <c r="P874" s="23">
        <v>182745.75</v>
      </c>
      <c r="Q874" s="22">
        <v>4.5999999999999996</v>
      </c>
      <c r="R874" s="22">
        <v>20</v>
      </c>
      <c r="S874" s="23">
        <f>(Table13[[#This Row],[Unit Price]]*Table13[[#This Row],[No.of Units]])*18%</f>
        <v>38699.1</v>
      </c>
      <c r="T874" s="22" t="s">
        <v>1508</v>
      </c>
    </row>
    <row r="875" spans="2:20" x14ac:dyDescent="0.3">
      <c r="B875" s="5" t="s">
        <v>833</v>
      </c>
      <c r="C875" s="1">
        <v>8571498</v>
      </c>
      <c r="D875" s="1">
        <v>77</v>
      </c>
      <c r="E875" s="1" t="s">
        <v>20</v>
      </c>
      <c r="F875" s="16">
        <v>45868</v>
      </c>
      <c r="G875" s="1" t="s">
        <v>1473</v>
      </c>
      <c r="H875" s="1" t="s">
        <v>1482</v>
      </c>
      <c r="I875" s="17" t="s">
        <v>1502</v>
      </c>
      <c r="J875" s="18" t="s">
        <v>13</v>
      </c>
      <c r="K875" s="19" t="s">
        <v>14</v>
      </c>
      <c r="L875" s="19" t="s">
        <v>15</v>
      </c>
      <c r="M875" s="20">
        <v>5</v>
      </c>
      <c r="N875" s="21">
        <v>99999</v>
      </c>
      <c r="O875" s="22">
        <v>10</v>
      </c>
      <c r="P875" s="23">
        <v>449995.5</v>
      </c>
      <c r="Q875" s="22">
        <v>4.7</v>
      </c>
      <c r="R875" s="22">
        <v>20</v>
      </c>
      <c r="S875" s="23">
        <f>(Table13[[#This Row],[Unit Price]]*Table13[[#This Row],[No.of Units]])*18%</f>
        <v>89999.099999999991</v>
      </c>
      <c r="T875" s="22" t="s">
        <v>1508</v>
      </c>
    </row>
    <row r="876" spans="2:20" x14ac:dyDescent="0.3">
      <c r="B876" s="5" t="s">
        <v>834</v>
      </c>
      <c r="C876" s="1">
        <v>5114197</v>
      </c>
      <c r="D876" s="1">
        <v>25</v>
      </c>
      <c r="E876" s="1" t="s">
        <v>12</v>
      </c>
      <c r="F876" s="16">
        <v>45868</v>
      </c>
      <c r="G876" s="1" t="s">
        <v>1470</v>
      </c>
      <c r="H876" s="1" t="s">
        <v>1481</v>
      </c>
      <c r="I876" s="17" t="s">
        <v>1503</v>
      </c>
      <c r="J876" s="18" t="s">
        <v>17</v>
      </c>
      <c r="K876" s="19" t="s">
        <v>18</v>
      </c>
      <c r="L876" s="19" t="s">
        <v>15</v>
      </c>
      <c r="M876" s="20">
        <v>49</v>
      </c>
      <c r="N876" s="21">
        <v>4999</v>
      </c>
      <c r="O876" s="22">
        <v>18</v>
      </c>
      <c r="P876" s="23">
        <v>200859.82</v>
      </c>
      <c r="Q876" s="22">
        <v>4.4000000000000004</v>
      </c>
      <c r="R876" s="22">
        <v>20</v>
      </c>
      <c r="S876" s="23">
        <f>(Table13[[#This Row],[Unit Price]]*Table13[[#This Row],[No.of Units]])*18%</f>
        <v>44091.18</v>
      </c>
      <c r="T876" s="22" t="s">
        <v>1508</v>
      </c>
    </row>
    <row r="877" spans="2:20" x14ac:dyDescent="0.3">
      <c r="B877" s="5" t="s">
        <v>835</v>
      </c>
      <c r="C877" s="1">
        <v>1461366</v>
      </c>
      <c r="D877" s="1">
        <v>33</v>
      </c>
      <c r="E877" s="1" t="s">
        <v>12</v>
      </c>
      <c r="F877" s="16">
        <v>45868</v>
      </c>
      <c r="G877" s="1" t="s">
        <v>1470</v>
      </c>
      <c r="H877" s="1" t="s">
        <v>1482</v>
      </c>
      <c r="I877" s="17" t="s">
        <v>1504</v>
      </c>
      <c r="J877" s="18" t="s">
        <v>21</v>
      </c>
      <c r="K877" s="19" t="s">
        <v>18</v>
      </c>
      <c r="L877" s="19" t="s">
        <v>15</v>
      </c>
      <c r="M877" s="20">
        <v>7</v>
      </c>
      <c r="N877" s="21">
        <v>24900</v>
      </c>
      <c r="O877" s="22">
        <v>5</v>
      </c>
      <c r="P877" s="23">
        <v>165585</v>
      </c>
      <c r="Q877" s="22">
        <v>4.8</v>
      </c>
      <c r="R877" s="22">
        <v>20</v>
      </c>
      <c r="S877" s="23">
        <f>(Table13[[#This Row],[Unit Price]]*Table13[[#This Row],[No.of Units]])*18%</f>
        <v>31374</v>
      </c>
      <c r="T877" s="22" t="s">
        <v>1507</v>
      </c>
    </row>
    <row r="878" spans="2:20" x14ac:dyDescent="0.3">
      <c r="B878" s="5" t="s">
        <v>836</v>
      </c>
      <c r="C878" s="1">
        <v>7633246</v>
      </c>
      <c r="D878" s="1">
        <v>72</v>
      </c>
      <c r="E878" s="1" t="s">
        <v>20</v>
      </c>
      <c r="F878" s="16">
        <v>45868</v>
      </c>
      <c r="G878" s="1" t="s">
        <v>1470</v>
      </c>
      <c r="H878" s="1" t="s">
        <v>1471</v>
      </c>
      <c r="I878" s="17" t="s">
        <v>1505</v>
      </c>
      <c r="J878" s="18" t="s">
        <v>23</v>
      </c>
      <c r="K878" s="19" t="s">
        <v>14</v>
      </c>
      <c r="L878" s="19" t="s">
        <v>15</v>
      </c>
      <c r="M878" s="20">
        <v>6</v>
      </c>
      <c r="N878" s="21">
        <v>84999</v>
      </c>
      <c r="O878" s="22">
        <v>12</v>
      </c>
      <c r="P878" s="23">
        <v>448794.72</v>
      </c>
      <c r="Q878" s="22">
        <v>4.5</v>
      </c>
      <c r="R878" s="22">
        <v>20</v>
      </c>
      <c r="S878" s="23">
        <f>(Table13[[#This Row],[Unit Price]]*Table13[[#This Row],[No.of Units]])*18%</f>
        <v>91798.92</v>
      </c>
      <c r="T878" s="22" t="s">
        <v>1508</v>
      </c>
    </row>
    <row r="879" spans="2:20" x14ac:dyDescent="0.3">
      <c r="B879" s="5" t="s">
        <v>837</v>
      </c>
      <c r="C879" s="1">
        <v>5938534</v>
      </c>
      <c r="D879" s="1">
        <v>57</v>
      </c>
      <c r="E879" s="1" t="s">
        <v>20</v>
      </c>
      <c r="F879" s="16">
        <v>45868</v>
      </c>
      <c r="G879" s="1" t="s">
        <v>1470</v>
      </c>
      <c r="H879" s="1" t="s">
        <v>1471</v>
      </c>
      <c r="I879" s="17" t="s">
        <v>1504</v>
      </c>
      <c r="J879" s="18" t="s">
        <v>25</v>
      </c>
      <c r="K879" s="19" t="s">
        <v>26</v>
      </c>
      <c r="L879" s="19" t="s">
        <v>15</v>
      </c>
      <c r="M879" s="20">
        <v>5</v>
      </c>
      <c r="N879" s="21">
        <v>69999</v>
      </c>
      <c r="O879" s="22">
        <v>8</v>
      </c>
      <c r="P879" s="23">
        <v>321995.40000000002</v>
      </c>
      <c r="Q879" s="22">
        <v>4.8</v>
      </c>
      <c r="R879" s="22">
        <v>20</v>
      </c>
      <c r="S879" s="23">
        <f>(Table13[[#This Row],[Unit Price]]*Table13[[#This Row],[No.of Units]])*18%</f>
        <v>62999.1</v>
      </c>
      <c r="T879" s="22" t="s">
        <v>1507</v>
      </c>
    </row>
    <row r="880" spans="2:20" x14ac:dyDescent="0.3">
      <c r="B880" s="5" t="s">
        <v>838</v>
      </c>
      <c r="C880" s="1">
        <v>1289227</v>
      </c>
      <c r="D880" s="1">
        <v>34</v>
      </c>
      <c r="E880" s="1" t="s">
        <v>12</v>
      </c>
      <c r="F880" s="16">
        <v>45868</v>
      </c>
      <c r="G880" s="1" t="s">
        <v>1470</v>
      </c>
      <c r="H880" s="1" t="s">
        <v>1483</v>
      </c>
      <c r="I880" s="17" t="s">
        <v>1503</v>
      </c>
      <c r="J880" s="18" t="s">
        <v>28</v>
      </c>
      <c r="K880" s="19" t="s">
        <v>26</v>
      </c>
      <c r="L880" s="19" t="s">
        <v>15</v>
      </c>
      <c r="M880" s="20">
        <v>10</v>
      </c>
      <c r="N880" s="21">
        <v>42999</v>
      </c>
      <c r="O880" s="22">
        <v>15</v>
      </c>
      <c r="P880" s="23">
        <v>365491.5</v>
      </c>
      <c r="Q880" s="22">
        <v>4.5999999999999996</v>
      </c>
      <c r="R880" s="22">
        <v>20</v>
      </c>
      <c r="S880" s="23">
        <f>(Table13[[#This Row],[Unit Price]]*Table13[[#This Row],[No.of Units]])*18%</f>
        <v>77398.2</v>
      </c>
      <c r="T880" s="22" t="s">
        <v>1508</v>
      </c>
    </row>
    <row r="881" spans="2:20" x14ac:dyDescent="0.3">
      <c r="B881" s="5" t="s">
        <v>839</v>
      </c>
      <c r="C881" s="1">
        <v>4143249</v>
      </c>
      <c r="D881" s="1">
        <v>41</v>
      </c>
      <c r="E881" s="1" t="s">
        <v>12</v>
      </c>
      <c r="F881" s="16">
        <v>45868</v>
      </c>
      <c r="G881" s="1" t="s">
        <v>1473</v>
      </c>
      <c r="H881" s="1" t="s">
        <v>1471</v>
      </c>
      <c r="I881" s="17" t="s">
        <v>1502</v>
      </c>
      <c r="J881" s="18" t="s">
        <v>13</v>
      </c>
      <c r="K881" s="19" t="s">
        <v>14</v>
      </c>
      <c r="L881" s="19" t="s">
        <v>29</v>
      </c>
      <c r="M881" s="20">
        <v>4</v>
      </c>
      <c r="N881" s="21">
        <v>99999</v>
      </c>
      <c r="O881" s="22">
        <v>10</v>
      </c>
      <c r="P881" s="23">
        <v>359996.4</v>
      </c>
      <c r="Q881" s="22">
        <v>4.7</v>
      </c>
      <c r="R881" s="22">
        <v>20</v>
      </c>
      <c r="S881" s="23">
        <f>(Table13[[#This Row],[Unit Price]]*Table13[[#This Row],[No.of Units]])*18%</f>
        <v>71999.28</v>
      </c>
      <c r="T881" s="22" t="s">
        <v>1507</v>
      </c>
    </row>
    <row r="882" spans="2:20" x14ac:dyDescent="0.3">
      <c r="B882" s="5" t="s">
        <v>840</v>
      </c>
      <c r="C882" s="1">
        <v>3944282</v>
      </c>
      <c r="D882" s="1">
        <v>47</v>
      </c>
      <c r="E882" s="1" t="s">
        <v>12</v>
      </c>
      <c r="F882" s="16">
        <v>45868</v>
      </c>
      <c r="G882" s="1" t="s">
        <v>1470</v>
      </c>
      <c r="H882" s="1" t="s">
        <v>1471</v>
      </c>
      <c r="I882" s="17" t="s">
        <v>1503</v>
      </c>
      <c r="J882" s="18" t="s">
        <v>17</v>
      </c>
      <c r="K882" s="19" t="s">
        <v>18</v>
      </c>
      <c r="L882" s="19" t="s">
        <v>29</v>
      </c>
      <c r="M882" s="20">
        <v>53</v>
      </c>
      <c r="N882" s="21">
        <v>4999</v>
      </c>
      <c r="O882" s="22">
        <v>18</v>
      </c>
      <c r="P882" s="23">
        <v>217256.54</v>
      </c>
      <c r="Q882" s="22">
        <v>4.4000000000000004</v>
      </c>
      <c r="R882" s="22">
        <v>20</v>
      </c>
      <c r="S882" s="23">
        <f>(Table13[[#This Row],[Unit Price]]*Table13[[#This Row],[No.of Units]])*18%</f>
        <v>47690.46</v>
      </c>
      <c r="T882" s="22" t="s">
        <v>1508</v>
      </c>
    </row>
    <row r="883" spans="2:20" x14ac:dyDescent="0.3">
      <c r="B883" s="5" t="s">
        <v>841</v>
      </c>
      <c r="C883" s="1">
        <v>8638286</v>
      </c>
      <c r="D883" s="1">
        <v>30</v>
      </c>
      <c r="E883" s="1" t="s">
        <v>12</v>
      </c>
      <c r="F883" s="16">
        <v>45868</v>
      </c>
      <c r="G883" s="1" t="s">
        <v>1470</v>
      </c>
      <c r="H883" s="1" t="s">
        <v>1481</v>
      </c>
      <c r="I883" s="17" t="s">
        <v>1504</v>
      </c>
      <c r="J883" s="18" t="s">
        <v>21</v>
      </c>
      <c r="K883" s="19" t="s">
        <v>18</v>
      </c>
      <c r="L883" s="19" t="s">
        <v>29</v>
      </c>
      <c r="M883" s="20">
        <v>5</v>
      </c>
      <c r="N883" s="21">
        <v>24900</v>
      </c>
      <c r="O883" s="22">
        <v>5</v>
      </c>
      <c r="P883" s="23">
        <v>118275</v>
      </c>
      <c r="Q883" s="22">
        <v>4.8</v>
      </c>
      <c r="R883" s="22">
        <v>20</v>
      </c>
      <c r="S883" s="23">
        <f>(Table13[[#This Row],[Unit Price]]*Table13[[#This Row],[No.of Units]])*18%</f>
        <v>22410</v>
      </c>
      <c r="T883" s="22" t="s">
        <v>1508</v>
      </c>
    </row>
    <row r="884" spans="2:20" x14ac:dyDescent="0.3">
      <c r="B884" s="5" t="s">
        <v>842</v>
      </c>
      <c r="C884" s="1">
        <v>2785878</v>
      </c>
      <c r="D884" s="1">
        <v>40</v>
      </c>
      <c r="E884" s="1" t="s">
        <v>12</v>
      </c>
      <c r="F884" s="16">
        <v>45868</v>
      </c>
      <c r="G884" s="1" t="s">
        <v>1470</v>
      </c>
      <c r="H884" s="1" t="s">
        <v>1483</v>
      </c>
      <c r="I884" s="17" t="s">
        <v>1505</v>
      </c>
      <c r="J884" s="18" t="s">
        <v>23</v>
      </c>
      <c r="K884" s="19" t="s">
        <v>14</v>
      </c>
      <c r="L884" s="19" t="s">
        <v>29</v>
      </c>
      <c r="M884" s="20">
        <v>4</v>
      </c>
      <c r="N884" s="21">
        <v>84999</v>
      </c>
      <c r="O884" s="22">
        <v>12</v>
      </c>
      <c r="P884" s="23">
        <v>299196.48</v>
      </c>
      <c r="Q884" s="22">
        <v>4.5</v>
      </c>
      <c r="R884" s="22">
        <v>20</v>
      </c>
      <c r="S884" s="23">
        <f>(Table13[[#This Row],[Unit Price]]*Table13[[#This Row],[No.of Units]])*18%</f>
        <v>61199.28</v>
      </c>
      <c r="T884" s="22" t="s">
        <v>1508</v>
      </c>
    </row>
    <row r="885" spans="2:20" x14ac:dyDescent="0.3">
      <c r="B885" s="5" t="s">
        <v>843</v>
      </c>
      <c r="C885" s="1">
        <v>315286</v>
      </c>
      <c r="D885" s="1">
        <v>45</v>
      </c>
      <c r="E885" s="1" t="s">
        <v>12</v>
      </c>
      <c r="F885" s="16">
        <v>45868</v>
      </c>
      <c r="G885" s="1" t="s">
        <v>1470</v>
      </c>
      <c r="H885" s="1" t="s">
        <v>1471</v>
      </c>
      <c r="I885" s="17" t="s">
        <v>1504</v>
      </c>
      <c r="J885" s="18" t="s">
        <v>25</v>
      </c>
      <c r="K885" s="19" t="s">
        <v>26</v>
      </c>
      <c r="L885" s="19" t="s">
        <v>29</v>
      </c>
      <c r="M885" s="20">
        <v>6</v>
      </c>
      <c r="N885" s="21">
        <v>69999</v>
      </c>
      <c r="O885" s="22">
        <v>8</v>
      </c>
      <c r="P885" s="23">
        <v>386394.48</v>
      </c>
      <c r="Q885" s="22">
        <v>4.8</v>
      </c>
      <c r="R885" s="22">
        <v>20</v>
      </c>
      <c r="S885" s="23">
        <f>(Table13[[#This Row],[Unit Price]]*Table13[[#This Row],[No.of Units]])*18%</f>
        <v>75598.92</v>
      </c>
      <c r="T885" s="22" t="s">
        <v>1508</v>
      </c>
    </row>
    <row r="886" spans="2:20" x14ac:dyDescent="0.3">
      <c r="B886" s="5" t="s">
        <v>844</v>
      </c>
      <c r="C886" s="1">
        <v>6270083</v>
      </c>
      <c r="D886" s="1">
        <v>31</v>
      </c>
      <c r="E886" s="1" t="s">
        <v>12</v>
      </c>
      <c r="F886" s="16">
        <v>45868</v>
      </c>
      <c r="G886" s="1" t="s">
        <v>1470</v>
      </c>
      <c r="H886" s="1" t="s">
        <v>1472</v>
      </c>
      <c r="I886" s="17" t="s">
        <v>1503</v>
      </c>
      <c r="J886" s="18" t="s">
        <v>28</v>
      </c>
      <c r="K886" s="19" t="s">
        <v>26</v>
      </c>
      <c r="L886" s="19" t="s">
        <v>29</v>
      </c>
      <c r="M886" s="20">
        <v>8</v>
      </c>
      <c r="N886" s="21">
        <v>42999</v>
      </c>
      <c r="O886" s="22">
        <v>15</v>
      </c>
      <c r="P886" s="23">
        <v>292393.2</v>
      </c>
      <c r="Q886" s="22">
        <v>4.5999999999999996</v>
      </c>
      <c r="R886" s="22">
        <v>20</v>
      </c>
      <c r="S886" s="23">
        <f>(Table13[[#This Row],[Unit Price]]*Table13[[#This Row],[No.of Units]])*18%</f>
        <v>61918.559999999998</v>
      </c>
      <c r="T886" s="22" t="s">
        <v>1508</v>
      </c>
    </row>
    <row r="887" spans="2:20" x14ac:dyDescent="0.3">
      <c r="B887" s="5" t="s">
        <v>845</v>
      </c>
      <c r="C887" s="1">
        <v>1058080</v>
      </c>
      <c r="D887" s="1">
        <v>69</v>
      </c>
      <c r="E887" s="1" t="s">
        <v>20</v>
      </c>
      <c r="F887" s="16">
        <v>45868</v>
      </c>
      <c r="G887" s="1" t="s">
        <v>1475</v>
      </c>
      <c r="H887" s="1" t="s">
        <v>1471</v>
      </c>
      <c r="I887" s="17" t="s">
        <v>1502</v>
      </c>
      <c r="J887" s="18" t="s">
        <v>13</v>
      </c>
      <c r="K887" s="19" t="s">
        <v>14</v>
      </c>
      <c r="L887" s="19" t="s">
        <v>35</v>
      </c>
      <c r="M887" s="20">
        <v>4</v>
      </c>
      <c r="N887" s="21">
        <v>99999</v>
      </c>
      <c r="O887" s="22">
        <v>10</v>
      </c>
      <c r="P887" s="23">
        <v>359996.4</v>
      </c>
      <c r="Q887" s="22">
        <v>4.7</v>
      </c>
      <c r="R887" s="22">
        <v>20</v>
      </c>
      <c r="S887" s="23">
        <f>(Table13[[#This Row],[Unit Price]]*Table13[[#This Row],[No.of Units]])*18%</f>
        <v>71999.28</v>
      </c>
      <c r="T887" s="22" t="s">
        <v>1507</v>
      </c>
    </row>
    <row r="888" spans="2:20" x14ac:dyDescent="0.3">
      <c r="B888" s="5" t="s">
        <v>846</v>
      </c>
      <c r="C888" s="1">
        <v>4628219</v>
      </c>
      <c r="D888" s="1">
        <v>36</v>
      </c>
      <c r="E888" s="1" t="s">
        <v>12</v>
      </c>
      <c r="F888" s="16">
        <v>45868</v>
      </c>
      <c r="G888" s="1" t="s">
        <v>1470</v>
      </c>
      <c r="H888" s="1" t="s">
        <v>1471</v>
      </c>
      <c r="I888" s="17" t="s">
        <v>1503</v>
      </c>
      <c r="J888" s="18" t="s">
        <v>17</v>
      </c>
      <c r="K888" s="19" t="s">
        <v>18</v>
      </c>
      <c r="L888" s="19" t="s">
        <v>35</v>
      </c>
      <c r="M888" s="20">
        <v>39</v>
      </c>
      <c r="N888" s="21">
        <v>4999</v>
      </c>
      <c r="O888" s="22">
        <v>18</v>
      </c>
      <c r="P888" s="23">
        <v>159868.02000000002</v>
      </c>
      <c r="Q888" s="22">
        <v>4.4000000000000004</v>
      </c>
      <c r="R888" s="22">
        <v>20</v>
      </c>
      <c r="S888" s="23">
        <f>(Table13[[#This Row],[Unit Price]]*Table13[[#This Row],[No.of Units]])*18%</f>
        <v>35092.979999999996</v>
      </c>
      <c r="T888" s="22" t="s">
        <v>1508</v>
      </c>
    </row>
    <row r="889" spans="2:20" x14ac:dyDescent="0.3">
      <c r="B889" s="5" t="s">
        <v>847</v>
      </c>
      <c r="C889" s="1">
        <v>7413963</v>
      </c>
      <c r="D889" s="1">
        <v>35</v>
      </c>
      <c r="E889" s="1" t="s">
        <v>12</v>
      </c>
      <c r="F889" s="16">
        <v>45868</v>
      </c>
      <c r="G889" s="1" t="s">
        <v>1470</v>
      </c>
      <c r="H889" s="1" t="s">
        <v>1482</v>
      </c>
      <c r="I889" s="17" t="s">
        <v>1504</v>
      </c>
      <c r="J889" s="18" t="s">
        <v>21</v>
      </c>
      <c r="K889" s="19" t="s">
        <v>18</v>
      </c>
      <c r="L889" s="19" t="s">
        <v>35</v>
      </c>
      <c r="M889" s="20">
        <v>12</v>
      </c>
      <c r="N889" s="21">
        <v>24900</v>
      </c>
      <c r="O889" s="22">
        <v>5</v>
      </c>
      <c r="P889" s="23">
        <v>283860</v>
      </c>
      <c r="Q889" s="22">
        <v>4.8</v>
      </c>
      <c r="R889" s="22">
        <v>20</v>
      </c>
      <c r="S889" s="23">
        <f>(Table13[[#This Row],[Unit Price]]*Table13[[#This Row],[No.of Units]])*18%</f>
        <v>53784</v>
      </c>
      <c r="T889" s="22" t="s">
        <v>1507</v>
      </c>
    </row>
    <row r="890" spans="2:20" x14ac:dyDescent="0.3">
      <c r="B890" s="5" t="s">
        <v>848</v>
      </c>
      <c r="C890" s="1">
        <v>9606909</v>
      </c>
      <c r="D890" s="1">
        <v>25</v>
      </c>
      <c r="E890" s="1" t="s">
        <v>12</v>
      </c>
      <c r="F890" s="16">
        <v>45868</v>
      </c>
      <c r="G890" s="1" t="s">
        <v>1470</v>
      </c>
      <c r="H890" s="1" t="s">
        <v>1483</v>
      </c>
      <c r="I890" s="17" t="s">
        <v>1505</v>
      </c>
      <c r="J890" s="18" t="s">
        <v>23</v>
      </c>
      <c r="K890" s="19" t="s">
        <v>14</v>
      </c>
      <c r="L890" s="19" t="s">
        <v>35</v>
      </c>
      <c r="M890" s="20">
        <v>5</v>
      </c>
      <c r="N890" s="21">
        <v>84999</v>
      </c>
      <c r="O890" s="22">
        <v>12</v>
      </c>
      <c r="P890" s="23">
        <v>373995.6</v>
      </c>
      <c r="Q890" s="22">
        <v>4.5</v>
      </c>
      <c r="R890" s="22">
        <v>20</v>
      </c>
      <c r="S890" s="23">
        <f>(Table13[[#This Row],[Unit Price]]*Table13[[#This Row],[No.of Units]])*18%</f>
        <v>76499.099999999991</v>
      </c>
      <c r="T890" s="22" t="s">
        <v>1507</v>
      </c>
    </row>
    <row r="891" spans="2:20" x14ac:dyDescent="0.3">
      <c r="B891" s="5" t="s">
        <v>849</v>
      </c>
      <c r="C891" s="1">
        <v>9097278</v>
      </c>
      <c r="D891" s="1">
        <v>37</v>
      </c>
      <c r="E891" s="1" t="s">
        <v>12</v>
      </c>
      <c r="F891" s="16">
        <v>45868</v>
      </c>
      <c r="G891" s="1" t="s">
        <v>1470</v>
      </c>
      <c r="H891" s="1" t="s">
        <v>1471</v>
      </c>
      <c r="I891" s="17" t="s">
        <v>1504</v>
      </c>
      <c r="J891" s="18" t="s">
        <v>25</v>
      </c>
      <c r="K891" s="19" t="s">
        <v>26</v>
      </c>
      <c r="L891" s="19" t="s">
        <v>35</v>
      </c>
      <c r="M891" s="20">
        <v>3</v>
      </c>
      <c r="N891" s="21">
        <v>69999</v>
      </c>
      <c r="O891" s="22">
        <v>8</v>
      </c>
      <c r="P891" s="23">
        <v>193197.24</v>
      </c>
      <c r="Q891" s="22">
        <v>4.8</v>
      </c>
      <c r="R891" s="22">
        <v>20</v>
      </c>
      <c r="S891" s="23">
        <f>(Table13[[#This Row],[Unit Price]]*Table13[[#This Row],[No.of Units]])*18%</f>
        <v>37799.46</v>
      </c>
      <c r="T891" s="22" t="s">
        <v>1507</v>
      </c>
    </row>
    <row r="892" spans="2:20" x14ac:dyDescent="0.3">
      <c r="B892" s="5" t="s">
        <v>850</v>
      </c>
      <c r="C892" s="1">
        <v>6827896</v>
      </c>
      <c r="D892" s="1">
        <v>30</v>
      </c>
      <c r="E892" s="1" t="s">
        <v>12</v>
      </c>
      <c r="F892" s="16">
        <v>45868</v>
      </c>
      <c r="G892" s="1" t="s">
        <v>1470</v>
      </c>
      <c r="H892" s="1" t="s">
        <v>1483</v>
      </c>
      <c r="I892" s="17" t="s">
        <v>1503</v>
      </c>
      <c r="J892" s="18" t="s">
        <v>28</v>
      </c>
      <c r="K892" s="19" t="s">
        <v>26</v>
      </c>
      <c r="L892" s="19" t="s">
        <v>35</v>
      </c>
      <c r="M892" s="20">
        <v>10</v>
      </c>
      <c r="N892" s="21">
        <v>42999</v>
      </c>
      <c r="O892" s="22">
        <v>15</v>
      </c>
      <c r="P892" s="23">
        <v>365491.5</v>
      </c>
      <c r="Q892" s="22">
        <v>4.5999999999999996</v>
      </c>
      <c r="R892" s="22">
        <v>20</v>
      </c>
      <c r="S892" s="23">
        <f>(Table13[[#This Row],[Unit Price]]*Table13[[#This Row],[No.of Units]])*18%</f>
        <v>77398.2</v>
      </c>
      <c r="T892" s="22" t="s">
        <v>1508</v>
      </c>
    </row>
    <row r="893" spans="2:20" x14ac:dyDescent="0.3">
      <c r="B893" s="5" t="s">
        <v>851</v>
      </c>
      <c r="C893" s="1">
        <v>6531661</v>
      </c>
      <c r="D893" s="1">
        <v>58</v>
      </c>
      <c r="E893" s="1" t="s">
        <v>20</v>
      </c>
      <c r="F893" s="16">
        <v>45868</v>
      </c>
      <c r="G893" s="1" t="s">
        <v>1475</v>
      </c>
      <c r="H893" s="1" t="s">
        <v>1471</v>
      </c>
      <c r="I893" s="17" t="s">
        <v>1502</v>
      </c>
      <c r="J893" s="18" t="s">
        <v>13</v>
      </c>
      <c r="K893" s="19" t="s">
        <v>14</v>
      </c>
      <c r="L893" s="19" t="s">
        <v>42</v>
      </c>
      <c r="M893" s="20">
        <v>5</v>
      </c>
      <c r="N893" s="21">
        <v>99999</v>
      </c>
      <c r="O893" s="22">
        <v>10</v>
      </c>
      <c r="P893" s="23">
        <v>449995.5</v>
      </c>
      <c r="Q893" s="22">
        <v>4.7</v>
      </c>
      <c r="R893" s="22">
        <v>20</v>
      </c>
      <c r="S893" s="23">
        <f>(Table13[[#This Row],[Unit Price]]*Table13[[#This Row],[No.of Units]])*18%</f>
        <v>89999.099999999991</v>
      </c>
      <c r="T893" s="22" t="s">
        <v>1508</v>
      </c>
    </row>
    <row r="894" spans="2:20" x14ac:dyDescent="0.3">
      <c r="B894" s="5" t="s">
        <v>852</v>
      </c>
      <c r="C894" s="1">
        <v>7474272</v>
      </c>
      <c r="D894" s="1">
        <v>44</v>
      </c>
      <c r="E894" s="1" t="s">
        <v>12</v>
      </c>
      <c r="F894" s="16">
        <v>45868</v>
      </c>
      <c r="G894" s="1" t="s">
        <v>1470</v>
      </c>
      <c r="H894" s="1" t="s">
        <v>1471</v>
      </c>
      <c r="I894" s="17" t="s">
        <v>1503</v>
      </c>
      <c r="J894" s="18" t="s">
        <v>17</v>
      </c>
      <c r="K894" s="19" t="s">
        <v>18</v>
      </c>
      <c r="L894" s="19" t="s">
        <v>42</v>
      </c>
      <c r="M894" s="20">
        <v>40</v>
      </c>
      <c r="N894" s="21">
        <v>4999</v>
      </c>
      <c r="O894" s="22">
        <v>18</v>
      </c>
      <c r="P894" s="23">
        <v>163967.20000000001</v>
      </c>
      <c r="Q894" s="22">
        <v>4.4000000000000004</v>
      </c>
      <c r="R894" s="22">
        <v>20</v>
      </c>
      <c r="S894" s="23">
        <f>(Table13[[#This Row],[Unit Price]]*Table13[[#This Row],[No.of Units]])*18%</f>
        <v>35992.799999999996</v>
      </c>
      <c r="T894" s="22" t="s">
        <v>1508</v>
      </c>
    </row>
    <row r="895" spans="2:20" x14ac:dyDescent="0.3">
      <c r="B895" s="5" t="s">
        <v>853</v>
      </c>
      <c r="C895" s="1">
        <v>155203</v>
      </c>
      <c r="D895" s="1">
        <v>27</v>
      </c>
      <c r="E895" s="1" t="s">
        <v>12</v>
      </c>
      <c r="F895" s="16">
        <v>45868</v>
      </c>
      <c r="G895" s="1" t="s">
        <v>1473</v>
      </c>
      <c r="H895" s="1" t="s">
        <v>1482</v>
      </c>
      <c r="I895" s="17" t="s">
        <v>1504</v>
      </c>
      <c r="J895" s="18" t="s">
        <v>21</v>
      </c>
      <c r="K895" s="19" t="s">
        <v>18</v>
      </c>
      <c r="L895" s="19" t="s">
        <v>42</v>
      </c>
      <c r="M895" s="20">
        <v>11</v>
      </c>
      <c r="N895" s="21">
        <v>24900</v>
      </c>
      <c r="O895" s="22">
        <v>5</v>
      </c>
      <c r="P895" s="23">
        <v>260205</v>
      </c>
      <c r="Q895" s="22">
        <v>4.8</v>
      </c>
      <c r="R895" s="22">
        <v>20</v>
      </c>
      <c r="S895" s="23">
        <f>(Table13[[#This Row],[Unit Price]]*Table13[[#This Row],[No.of Units]])*18%</f>
        <v>49302</v>
      </c>
      <c r="T895" s="22" t="s">
        <v>1508</v>
      </c>
    </row>
    <row r="896" spans="2:20" x14ac:dyDescent="0.3">
      <c r="B896" s="5" t="s">
        <v>854</v>
      </c>
      <c r="C896" s="1">
        <v>6856164</v>
      </c>
      <c r="D896" s="1">
        <v>66</v>
      </c>
      <c r="E896" s="1" t="s">
        <v>20</v>
      </c>
      <c r="F896" s="16">
        <v>45868</v>
      </c>
      <c r="G896" s="1" t="s">
        <v>1470</v>
      </c>
      <c r="H896" s="1" t="s">
        <v>1471</v>
      </c>
      <c r="I896" s="17" t="s">
        <v>1505</v>
      </c>
      <c r="J896" s="18" t="s">
        <v>23</v>
      </c>
      <c r="K896" s="19" t="s">
        <v>14</v>
      </c>
      <c r="L896" s="19" t="s">
        <v>42</v>
      </c>
      <c r="M896" s="20">
        <v>3</v>
      </c>
      <c r="N896" s="21">
        <v>84999</v>
      </c>
      <c r="O896" s="22">
        <v>12</v>
      </c>
      <c r="P896" s="23">
        <v>224397.36</v>
      </c>
      <c r="Q896" s="22">
        <v>4.5</v>
      </c>
      <c r="R896" s="22">
        <v>20</v>
      </c>
      <c r="S896" s="23">
        <f>(Table13[[#This Row],[Unit Price]]*Table13[[#This Row],[No.of Units]])*18%</f>
        <v>45899.46</v>
      </c>
      <c r="T896" s="22" t="s">
        <v>1507</v>
      </c>
    </row>
    <row r="897" spans="2:20" x14ac:dyDescent="0.3">
      <c r="B897" s="5" t="s">
        <v>855</v>
      </c>
      <c r="C897" s="1">
        <v>663538</v>
      </c>
      <c r="D897" s="1">
        <v>49</v>
      </c>
      <c r="E897" s="1" t="s">
        <v>12</v>
      </c>
      <c r="F897" s="16">
        <v>45868</v>
      </c>
      <c r="G897" s="1" t="s">
        <v>1470</v>
      </c>
      <c r="H897" s="1" t="s">
        <v>1471</v>
      </c>
      <c r="I897" s="17" t="s">
        <v>1504</v>
      </c>
      <c r="J897" s="18" t="s">
        <v>25</v>
      </c>
      <c r="K897" s="19" t="s">
        <v>26</v>
      </c>
      <c r="L897" s="19" t="s">
        <v>42</v>
      </c>
      <c r="M897" s="20">
        <v>4</v>
      </c>
      <c r="N897" s="21">
        <v>69999</v>
      </c>
      <c r="O897" s="22">
        <v>8</v>
      </c>
      <c r="P897" s="23">
        <v>257596.32</v>
      </c>
      <c r="Q897" s="22">
        <v>4.8</v>
      </c>
      <c r="R897" s="22">
        <v>20</v>
      </c>
      <c r="S897" s="23">
        <f>(Table13[[#This Row],[Unit Price]]*Table13[[#This Row],[No.of Units]])*18%</f>
        <v>50399.28</v>
      </c>
      <c r="T897" s="22" t="s">
        <v>1508</v>
      </c>
    </row>
    <row r="898" spans="2:20" x14ac:dyDescent="0.3">
      <c r="B898" s="5" t="s">
        <v>856</v>
      </c>
      <c r="C898" s="1">
        <v>6572067</v>
      </c>
      <c r="D898" s="1">
        <v>30</v>
      </c>
      <c r="E898" s="1" t="s">
        <v>12</v>
      </c>
      <c r="F898" s="16">
        <v>45868</v>
      </c>
      <c r="G898" s="1" t="s">
        <v>1470</v>
      </c>
      <c r="H898" s="1" t="s">
        <v>1480</v>
      </c>
      <c r="I898" s="17" t="s">
        <v>1503</v>
      </c>
      <c r="J898" s="18" t="s">
        <v>28</v>
      </c>
      <c r="K898" s="19" t="s">
        <v>26</v>
      </c>
      <c r="L898" s="19" t="s">
        <v>42</v>
      </c>
      <c r="M898" s="20">
        <v>8</v>
      </c>
      <c r="N898" s="21">
        <v>42999</v>
      </c>
      <c r="O898" s="22">
        <v>15</v>
      </c>
      <c r="P898" s="23">
        <v>292393.2</v>
      </c>
      <c r="Q898" s="22">
        <v>4.5999999999999996</v>
      </c>
      <c r="R898" s="22">
        <v>20</v>
      </c>
      <c r="S898" s="23">
        <f>(Table13[[#This Row],[Unit Price]]*Table13[[#This Row],[No.of Units]])*18%</f>
        <v>61918.559999999998</v>
      </c>
      <c r="T898" s="22" t="s">
        <v>1508</v>
      </c>
    </row>
    <row r="899" spans="2:20" x14ac:dyDescent="0.3">
      <c r="B899" s="5" t="s">
        <v>857</v>
      </c>
      <c r="C899" s="1">
        <v>8676194</v>
      </c>
      <c r="D899" s="1">
        <v>35</v>
      </c>
      <c r="E899" s="1" t="s">
        <v>12</v>
      </c>
      <c r="F899" s="16">
        <v>45868</v>
      </c>
      <c r="G899" s="1" t="s">
        <v>1470</v>
      </c>
      <c r="H899" s="1" t="s">
        <v>1471</v>
      </c>
      <c r="I899" s="17" t="s">
        <v>1502</v>
      </c>
      <c r="J899" s="18" t="s">
        <v>13</v>
      </c>
      <c r="K899" s="19" t="s">
        <v>14</v>
      </c>
      <c r="L899" s="19" t="s">
        <v>49</v>
      </c>
      <c r="M899" s="20">
        <v>5</v>
      </c>
      <c r="N899" s="21">
        <v>99999</v>
      </c>
      <c r="O899" s="22">
        <v>10</v>
      </c>
      <c r="P899" s="23">
        <v>449995.5</v>
      </c>
      <c r="Q899" s="22">
        <v>4.7</v>
      </c>
      <c r="R899" s="22">
        <v>20</v>
      </c>
      <c r="S899" s="23">
        <f>(Table13[[#This Row],[Unit Price]]*Table13[[#This Row],[No.of Units]])*18%</f>
        <v>89999.099999999991</v>
      </c>
      <c r="T899" s="22" t="s">
        <v>1508</v>
      </c>
    </row>
    <row r="900" spans="2:20" x14ac:dyDescent="0.3">
      <c r="B900" s="5" t="s">
        <v>858</v>
      </c>
      <c r="C900" s="1">
        <v>6006451</v>
      </c>
      <c r="D900" s="1">
        <v>38</v>
      </c>
      <c r="E900" s="1" t="s">
        <v>12</v>
      </c>
      <c r="F900" s="16">
        <v>45868</v>
      </c>
      <c r="G900" s="1" t="s">
        <v>1470</v>
      </c>
      <c r="H900" s="1" t="s">
        <v>1482</v>
      </c>
      <c r="I900" s="17" t="s">
        <v>1503</v>
      </c>
      <c r="J900" s="18" t="s">
        <v>17</v>
      </c>
      <c r="K900" s="19" t="s">
        <v>18</v>
      </c>
      <c r="L900" s="19" t="s">
        <v>49</v>
      </c>
      <c r="M900" s="20">
        <v>59</v>
      </c>
      <c r="N900" s="21">
        <v>4999</v>
      </c>
      <c r="O900" s="22">
        <v>18</v>
      </c>
      <c r="P900" s="23">
        <v>241851.62</v>
      </c>
      <c r="Q900" s="22">
        <v>4.4000000000000004</v>
      </c>
      <c r="R900" s="22">
        <v>20</v>
      </c>
      <c r="S900" s="23">
        <f>(Table13[[#This Row],[Unit Price]]*Table13[[#This Row],[No.of Units]])*18%</f>
        <v>53089.38</v>
      </c>
      <c r="T900" s="22" t="s">
        <v>1508</v>
      </c>
    </row>
    <row r="901" spans="2:20" x14ac:dyDescent="0.3">
      <c r="B901" s="5" t="s">
        <v>859</v>
      </c>
      <c r="C901" s="1">
        <v>1554862</v>
      </c>
      <c r="D901" s="1">
        <v>48</v>
      </c>
      <c r="E901" s="1" t="s">
        <v>12</v>
      </c>
      <c r="F901" s="16">
        <v>45868</v>
      </c>
      <c r="G901" s="1" t="s">
        <v>1470</v>
      </c>
      <c r="H901" s="1" t="s">
        <v>1483</v>
      </c>
      <c r="I901" s="17" t="s">
        <v>1504</v>
      </c>
      <c r="J901" s="18" t="s">
        <v>21</v>
      </c>
      <c r="K901" s="19" t="s">
        <v>18</v>
      </c>
      <c r="L901" s="19" t="s">
        <v>49</v>
      </c>
      <c r="M901" s="20">
        <v>13</v>
      </c>
      <c r="N901" s="21">
        <v>24900</v>
      </c>
      <c r="O901" s="22">
        <v>5</v>
      </c>
      <c r="P901" s="23">
        <v>307515</v>
      </c>
      <c r="Q901" s="22">
        <v>4.8</v>
      </c>
      <c r="R901" s="22">
        <v>20</v>
      </c>
      <c r="S901" s="23">
        <f>(Table13[[#This Row],[Unit Price]]*Table13[[#This Row],[No.of Units]])*18%</f>
        <v>58266</v>
      </c>
      <c r="T901" s="22" t="s">
        <v>1508</v>
      </c>
    </row>
    <row r="902" spans="2:20" x14ac:dyDescent="0.3">
      <c r="B902" s="5" t="s">
        <v>860</v>
      </c>
      <c r="C902" s="1">
        <v>3806917</v>
      </c>
      <c r="D902" s="1">
        <v>23</v>
      </c>
      <c r="E902" s="1" t="s">
        <v>12</v>
      </c>
      <c r="F902" s="16">
        <v>45868</v>
      </c>
      <c r="G902" s="1" t="s">
        <v>1470</v>
      </c>
      <c r="H902" s="1" t="s">
        <v>1483</v>
      </c>
      <c r="I902" s="17" t="s">
        <v>1505</v>
      </c>
      <c r="J902" s="18" t="s">
        <v>23</v>
      </c>
      <c r="K902" s="19" t="s">
        <v>14</v>
      </c>
      <c r="L902" s="19" t="s">
        <v>49</v>
      </c>
      <c r="M902" s="20">
        <v>4</v>
      </c>
      <c r="N902" s="21">
        <v>84999</v>
      </c>
      <c r="O902" s="22">
        <v>12</v>
      </c>
      <c r="P902" s="23">
        <v>299196.48</v>
      </c>
      <c r="Q902" s="22">
        <v>4.5</v>
      </c>
      <c r="R902" s="22">
        <v>20</v>
      </c>
      <c r="S902" s="23">
        <f>(Table13[[#This Row],[Unit Price]]*Table13[[#This Row],[No.of Units]])*18%</f>
        <v>61199.28</v>
      </c>
      <c r="T902" s="22" t="s">
        <v>1508</v>
      </c>
    </row>
    <row r="903" spans="2:20" x14ac:dyDescent="0.3">
      <c r="B903" s="5" t="s">
        <v>861</v>
      </c>
      <c r="C903" s="1">
        <v>3789491</v>
      </c>
      <c r="D903" s="1">
        <v>46</v>
      </c>
      <c r="E903" s="1" t="s">
        <v>12</v>
      </c>
      <c r="F903" s="16">
        <v>45868</v>
      </c>
      <c r="G903" s="1" t="s">
        <v>1470</v>
      </c>
      <c r="H903" s="1" t="s">
        <v>1472</v>
      </c>
      <c r="I903" s="17" t="s">
        <v>1504</v>
      </c>
      <c r="J903" s="18" t="s">
        <v>25</v>
      </c>
      <c r="K903" s="19" t="s">
        <v>26</v>
      </c>
      <c r="L903" s="19" t="s">
        <v>49</v>
      </c>
      <c r="M903" s="20">
        <v>3</v>
      </c>
      <c r="N903" s="21">
        <v>69999</v>
      </c>
      <c r="O903" s="22">
        <v>8</v>
      </c>
      <c r="P903" s="23">
        <v>193197.24</v>
      </c>
      <c r="Q903" s="22">
        <v>4.8</v>
      </c>
      <c r="R903" s="22">
        <v>20</v>
      </c>
      <c r="S903" s="23">
        <f>(Table13[[#This Row],[Unit Price]]*Table13[[#This Row],[No.of Units]])*18%</f>
        <v>37799.46</v>
      </c>
      <c r="T903" s="22" t="s">
        <v>1508</v>
      </c>
    </row>
    <row r="904" spans="2:20" x14ac:dyDescent="0.3">
      <c r="B904" s="5" t="s">
        <v>862</v>
      </c>
      <c r="C904" s="1">
        <v>453363</v>
      </c>
      <c r="D904" s="1">
        <v>29</v>
      </c>
      <c r="E904" s="1" t="s">
        <v>12</v>
      </c>
      <c r="F904" s="16">
        <v>45868</v>
      </c>
      <c r="G904" s="1" t="s">
        <v>1470</v>
      </c>
      <c r="H904" s="1" t="s">
        <v>1482</v>
      </c>
      <c r="I904" s="17" t="s">
        <v>1503</v>
      </c>
      <c r="J904" s="18" t="s">
        <v>28</v>
      </c>
      <c r="K904" s="19" t="s">
        <v>26</v>
      </c>
      <c r="L904" s="19" t="s">
        <v>49</v>
      </c>
      <c r="M904" s="20">
        <v>8</v>
      </c>
      <c r="N904" s="21">
        <v>42999</v>
      </c>
      <c r="O904" s="22">
        <v>15</v>
      </c>
      <c r="P904" s="23">
        <v>292393.2</v>
      </c>
      <c r="Q904" s="22">
        <v>4.5999999999999996</v>
      </c>
      <c r="R904" s="22">
        <v>20</v>
      </c>
      <c r="S904" s="23">
        <f>(Table13[[#This Row],[Unit Price]]*Table13[[#This Row],[No.of Units]])*18%</f>
        <v>61918.559999999998</v>
      </c>
      <c r="T904" s="22" t="s">
        <v>1508</v>
      </c>
    </row>
    <row r="905" spans="2:20" x14ac:dyDescent="0.3">
      <c r="B905" s="5" t="s">
        <v>863</v>
      </c>
      <c r="C905" s="1">
        <v>5098546</v>
      </c>
      <c r="D905" s="1">
        <v>40</v>
      </c>
      <c r="E905" s="1" t="s">
        <v>12</v>
      </c>
      <c r="F905" s="16">
        <v>45875</v>
      </c>
      <c r="G905" s="1" t="s">
        <v>1470</v>
      </c>
      <c r="H905" s="1" t="s">
        <v>1471</v>
      </c>
      <c r="I905" s="17" t="s">
        <v>1502</v>
      </c>
      <c r="J905" s="18" t="s">
        <v>13</v>
      </c>
      <c r="K905" s="19" t="s">
        <v>14</v>
      </c>
      <c r="L905" s="19" t="s">
        <v>15</v>
      </c>
      <c r="M905" s="20">
        <v>6</v>
      </c>
      <c r="N905" s="21">
        <v>99999</v>
      </c>
      <c r="O905" s="22">
        <v>10</v>
      </c>
      <c r="P905" s="23">
        <v>539994.6</v>
      </c>
      <c r="Q905" s="22">
        <v>4.7</v>
      </c>
      <c r="R905" s="22">
        <v>20</v>
      </c>
      <c r="S905" s="23">
        <f>(Table13[[#This Row],[Unit Price]]*Table13[[#This Row],[No.of Units]])*18%</f>
        <v>107998.92</v>
      </c>
      <c r="T905" s="22" t="s">
        <v>1507</v>
      </c>
    </row>
    <row r="906" spans="2:20" x14ac:dyDescent="0.3">
      <c r="B906" s="5" t="s">
        <v>864</v>
      </c>
      <c r="C906" s="1">
        <v>5300804</v>
      </c>
      <c r="D906" s="1">
        <v>46</v>
      </c>
      <c r="E906" s="1" t="s">
        <v>12</v>
      </c>
      <c r="F906" s="16">
        <v>45875</v>
      </c>
      <c r="G906" s="1" t="s">
        <v>1470</v>
      </c>
      <c r="H906" s="1" t="s">
        <v>1471</v>
      </c>
      <c r="I906" s="17" t="s">
        <v>1503</v>
      </c>
      <c r="J906" s="18" t="s">
        <v>17</v>
      </c>
      <c r="K906" s="19" t="s">
        <v>18</v>
      </c>
      <c r="L906" s="19" t="s">
        <v>15</v>
      </c>
      <c r="M906" s="20">
        <v>48</v>
      </c>
      <c r="N906" s="21">
        <v>4999</v>
      </c>
      <c r="O906" s="22">
        <v>18</v>
      </c>
      <c r="P906" s="23">
        <v>196760.64</v>
      </c>
      <c r="Q906" s="22">
        <v>4.4000000000000004</v>
      </c>
      <c r="R906" s="22">
        <v>20</v>
      </c>
      <c r="S906" s="23">
        <f>(Table13[[#This Row],[Unit Price]]*Table13[[#This Row],[No.of Units]])*18%</f>
        <v>43191.360000000001</v>
      </c>
      <c r="T906" s="22" t="s">
        <v>1507</v>
      </c>
    </row>
    <row r="907" spans="2:20" x14ac:dyDescent="0.3">
      <c r="B907" s="5" t="s">
        <v>865</v>
      </c>
      <c r="C907" s="1">
        <v>3662956</v>
      </c>
      <c r="D907" s="1">
        <v>47</v>
      </c>
      <c r="E907" s="1" t="s">
        <v>12</v>
      </c>
      <c r="F907" s="16">
        <v>45875</v>
      </c>
      <c r="G907" s="1" t="s">
        <v>1470</v>
      </c>
      <c r="H907" s="1" t="s">
        <v>1471</v>
      </c>
      <c r="I907" s="17" t="s">
        <v>1504</v>
      </c>
      <c r="J907" s="18" t="s">
        <v>21</v>
      </c>
      <c r="K907" s="19" t="s">
        <v>18</v>
      </c>
      <c r="L907" s="19" t="s">
        <v>15</v>
      </c>
      <c r="M907" s="20">
        <v>8</v>
      </c>
      <c r="N907" s="21">
        <v>24900</v>
      </c>
      <c r="O907" s="22">
        <v>5</v>
      </c>
      <c r="P907" s="23">
        <v>189240</v>
      </c>
      <c r="Q907" s="22">
        <v>4.8</v>
      </c>
      <c r="R907" s="22">
        <v>20</v>
      </c>
      <c r="S907" s="23">
        <f>(Table13[[#This Row],[Unit Price]]*Table13[[#This Row],[No.of Units]])*18%</f>
        <v>35856</v>
      </c>
      <c r="T907" s="22" t="s">
        <v>1508</v>
      </c>
    </row>
    <row r="908" spans="2:20" x14ac:dyDescent="0.3">
      <c r="B908" s="5" t="s">
        <v>866</v>
      </c>
      <c r="C908" s="1">
        <v>531561</v>
      </c>
      <c r="D908" s="1">
        <v>20</v>
      </c>
      <c r="E908" s="1" t="s">
        <v>12</v>
      </c>
      <c r="F908" s="16">
        <v>45875</v>
      </c>
      <c r="G908" s="1" t="s">
        <v>1470</v>
      </c>
      <c r="H908" s="1" t="s">
        <v>1482</v>
      </c>
      <c r="I908" s="17" t="s">
        <v>1505</v>
      </c>
      <c r="J908" s="18" t="s">
        <v>23</v>
      </c>
      <c r="K908" s="19" t="s">
        <v>14</v>
      </c>
      <c r="L908" s="19" t="s">
        <v>15</v>
      </c>
      <c r="M908" s="20">
        <v>3</v>
      </c>
      <c r="N908" s="21">
        <v>84999</v>
      </c>
      <c r="O908" s="22">
        <v>12</v>
      </c>
      <c r="P908" s="23">
        <v>224397.36</v>
      </c>
      <c r="Q908" s="22">
        <v>4.5</v>
      </c>
      <c r="R908" s="22">
        <v>20</v>
      </c>
      <c r="S908" s="23">
        <f>(Table13[[#This Row],[Unit Price]]*Table13[[#This Row],[No.of Units]])*18%</f>
        <v>45899.46</v>
      </c>
      <c r="T908" s="22" t="s">
        <v>1507</v>
      </c>
    </row>
    <row r="909" spans="2:20" x14ac:dyDescent="0.3">
      <c r="B909" s="5" t="s">
        <v>867</v>
      </c>
      <c r="C909" s="1">
        <v>9833713</v>
      </c>
      <c r="D909" s="1">
        <v>22</v>
      </c>
      <c r="E909" s="1" t="s">
        <v>12</v>
      </c>
      <c r="F909" s="16">
        <v>45875</v>
      </c>
      <c r="G909" s="1" t="s">
        <v>1470</v>
      </c>
      <c r="H909" s="1" t="s">
        <v>1472</v>
      </c>
      <c r="I909" s="17" t="s">
        <v>1504</v>
      </c>
      <c r="J909" s="18" t="s">
        <v>25</v>
      </c>
      <c r="K909" s="19" t="s">
        <v>26</v>
      </c>
      <c r="L909" s="19" t="s">
        <v>15</v>
      </c>
      <c r="M909" s="20">
        <v>3</v>
      </c>
      <c r="N909" s="21">
        <v>69999</v>
      </c>
      <c r="O909" s="22">
        <v>8</v>
      </c>
      <c r="P909" s="23">
        <v>193197.24</v>
      </c>
      <c r="Q909" s="22">
        <v>4.8</v>
      </c>
      <c r="R909" s="22">
        <v>20</v>
      </c>
      <c r="S909" s="23">
        <f>(Table13[[#This Row],[Unit Price]]*Table13[[#This Row],[No.of Units]])*18%</f>
        <v>37799.46</v>
      </c>
      <c r="T909" s="22" t="s">
        <v>1508</v>
      </c>
    </row>
    <row r="910" spans="2:20" x14ac:dyDescent="0.3">
      <c r="B910" s="5" t="s">
        <v>868</v>
      </c>
      <c r="C910" s="1">
        <v>1294687</v>
      </c>
      <c r="D910" s="1">
        <v>27</v>
      </c>
      <c r="E910" s="1" t="s">
        <v>12</v>
      </c>
      <c r="F910" s="16">
        <v>45875</v>
      </c>
      <c r="G910" s="1" t="s">
        <v>1470</v>
      </c>
      <c r="H910" s="1" t="s">
        <v>1471</v>
      </c>
      <c r="I910" s="17" t="s">
        <v>1503</v>
      </c>
      <c r="J910" s="18" t="s">
        <v>28</v>
      </c>
      <c r="K910" s="19" t="s">
        <v>26</v>
      </c>
      <c r="L910" s="19" t="s">
        <v>15</v>
      </c>
      <c r="M910" s="20">
        <v>7</v>
      </c>
      <c r="N910" s="21">
        <v>42999</v>
      </c>
      <c r="O910" s="22">
        <v>15</v>
      </c>
      <c r="P910" s="23">
        <v>255844.05</v>
      </c>
      <c r="Q910" s="22">
        <v>4.5999999999999996</v>
      </c>
      <c r="R910" s="22">
        <v>20</v>
      </c>
      <c r="S910" s="23">
        <f>(Table13[[#This Row],[Unit Price]]*Table13[[#This Row],[No.of Units]])*18%</f>
        <v>54178.74</v>
      </c>
      <c r="T910" s="22" t="s">
        <v>1508</v>
      </c>
    </row>
    <row r="911" spans="2:20" x14ac:dyDescent="0.3">
      <c r="B911" s="5" t="s">
        <v>869</v>
      </c>
      <c r="C911" s="1">
        <v>6527765</v>
      </c>
      <c r="D911" s="1">
        <v>69</v>
      </c>
      <c r="E911" s="1" t="s">
        <v>20</v>
      </c>
      <c r="F911" s="16">
        <v>45875</v>
      </c>
      <c r="G911" s="1" t="s">
        <v>1470</v>
      </c>
      <c r="H911" s="1" t="s">
        <v>1472</v>
      </c>
      <c r="I911" s="17" t="s">
        <v>1502</v>
      </c>
      <c r="J911" s="18" t="s">
        <v>13</v>
      </c>
      <c r="K911" s="19" t="s">
        <v>14</v>
      </c>
      <c r="L911" s="19" t="s">
        <v>29</v>
      </c>
      <c r="M911" s="20">
        <v>6</v>
      </c>
      <c r="N911" s="21">
        <v>99999</v>
      </c>
      <c r="O911" s="22">
        <v>10</v>
      </c>
      <c r="P911" s="23">
        <v>539994.6</v>
      </c>
      <c r="Q911" s="22">
        <v>4.7</v>
      </c>
      <c r="R911" s="22">
        <v>20</v>
      </c>
      <c r="S911" s="23">
        <f>(Table13[[#This Row],[Unit Price]]*Table13[[#This Row],[No.of Units]])*18%</f>
        <v>107998.92</v>
      </c>
      <c r="T911" s="22" t="s">
        <v>1507</v>
      </c>
    </row>
    <row r="912" spans="2:20" x14ac:dyDescent="0.3">
      <c r="B912" s="5" t="s">
        <v>870</v>
      </c>
      <c r="C912" s="1">
        <v>1421330</v>
      </c>
      <c r="D912" s="1">
        <v>24</v>
      </c>
      <c r="E912" s="1" t="s">
        <v>12</v>
      </c>
      <c r="F912" s="16">
        <v>45875</v>
      </c>
      <c r="G912" s="1" t="s">
        <v>1470</v>
      </c>
      <c r="H912" s="1" t="s">
        <v>1471</v>
      </c>
      <c r="I912" s="17" t="s">
        <v>1503</v>
      </c>
      <c r="J912" s="18" t="s">
        <v>17</v>
      </c>
      <c r="K912" s="19" t="s">
        <v>18</v>
      </c>
      <c r="L912" s="19" t="s">
        <v>29</v>
      </c>
      <c r="M912" s="20">
        <v>58</v>
      </c>
      <c r="N912" s="21">
        <v>4999</v>
      </c>
      <c r="O912" s="22">
        <v>18</v>
      </c>
      <c r="P912" s="23">
        <v>237752.44</v>
      </c>
      <c r="Q912" s="22">
        <v>4.4000000000000004</v>
      </c>
      <c r="R912" s="22">
        <v>20</v>
      </c>
      <c r="S912" s="23">
        <f>(Table13[[#This Row],[Unit Price]]*Table13[[#This Row],[No.of Units]])*18%</f>
        <v>52189.56</v>
      </c>
      <c r="T912" s="22" t="s">
        <v>1508</v>
      </c>
    </row>
    <row r="913" spans="2:20" x14ac:dyDescent="0.3">
      <c r="B913" s="5" t="s">
        <v>871</v>
      </c>
      <c r="C913" s="1">
        <v>8545866</v>
      </c>
      <c r="D913" s="1">
        <v>25</v>
      </c>
      <c r="E913" s="1" t="s">
        <v>12</v>
      </c>
      <c r="F913" s="16">
        <v>45875</v>
      </c>
      <c r="G913" s="1" t="s">
        <v>1470</v>
      </c>
      <c r="H913" s="1" t="s">
        <v>1471</v>
      </c>
      <c r="I913" s="17" t="s">
        <v>1504</v>
      </c>
      <c r="J913" s="18" t="s">
        <v>21</v>
      </c>
      <c r="K913" s="19" t="s">
        <v>18</v>
      </c>
      <c r="L913" s="19" t="s">
        <v>29</v>
      </c>
      <c r="M913" s="20">
        <v>11</v>
      </c>
      <c r="N913" s="21">
        <v>24900</v>
      </c>
      <c r="O913" s="22">
        <v>5</v>
      </c>
      <c r="P913" s="23">
        <v>260205</v>
      </c>
      <c r="Q913" s="22">
        <v>4.8</v>
      </c>
      <c r="R913" s="22">
        <v>20</v>
      </c>
      <c r="S913" s="23">
        <f>(Table13[[#This Row],[Unit Price]]*Table13[[#This Row],[No.of Units]])*18%</f>
        <v>49302</v>
      </c>
      <c r="T913" s="22" t="s">
        <v>1507</v>
      </c>
    </row>
    <row r="914" spans="2:20" x14ac:dyDescent="0.3">
      <c r="B914" s="5" t="s">
        <v>872</v>
      </c>
      <c r="C914" s="1">
        <v>161822</v>
      </c>
      <c r="D914" s="1">
        <v>42</v>
      </c>
      <c r="E914" s="1" t="s">
        <v>12</v>
      </c>
      <c r="F914" s="16">
        <v>45875</v>
      </c>
      <c r="G914" s="1" t="s">
        <v>1470</v>
      </c>
      <c r="H914" s="1" t="s">
        <v>1472</v>
      </c>
      <c r="I914" s="17" t="s">
        <v>1505</v>
      </c>
      <c r="J914" s="18" t="s">
        <v>23</v>
      </c>
      <c r="K914" s="19" t="s">
        <v>14</v>
      </c>
      <c r="L914" s="19" t="s">
        <v>29</v>
      </c>
      <c r="M914" s="20">
        <v>5</v>
      </c>
      <c r="N914" s="21">
        <v>84999</v>
      </c>
      <c r="O914" s="22">
        <v>12</v>
      </c>
      <c r="P914" s="23">
        <v>373995.6</v>
      </c>
      <c r="Q914" s="22">
        <v>4.5</v>
      </c>
      <c r="R914" s="22">
        <v>20</v>
      </c>
      <c r="S914" s="23">
        <f>(Table13[[#This Row],[Unit Price]]*Table13[[#This Row],[No.of Units]])*18%</f>
        <v>76499.099999999991</v>
      </c>
      <c r="T914" s="22" t="s">
        <v>1507</v>
      </c>
    </row>
    <row r="915" spans="2:20" x14ac:dyDescent="0.3">
      <c r="B915" s="5" t="s">
        <v>873</v>
      </c>
      <c r="C915" s="1">
        <v>8352525</v>
      </c>
      <c r="D915" s="1">
        <v>62</v>
      </c>
      <c r="E915" s="1" t="s">
        <v>20</v>
      </c>
      <c r="F915" s="16">
        <v>45875</v>
      </c>
      <c r="G915" s="1" t="s">
        <v>1470</v>
      </c>
      <c r="H915" s="1" t="s">
        <v>1482</v>
      </c>
      <c r="I915" s="17" t="s">
        <v>1504</v>
      </c>
      <c r="J915" s="18" t="s">
        <v>25</v>
      </c>
      <c r="K915" s="19" t="s">
        <v>26</v>
      </c>
      <c r="L915" s="19" t="s">
        <v>29</v>
      </c>
      <c r="M915" s="20">
        <v>6</v>
      </c>
      <c r="N915" s="21">
        <v>69999</v>
      </c>
      <c r="O915" s="22">
        <v>8</v>
      </c>
      <c r="P915" s="23">
        <v>386394.48</v>
      </c>
      <c r="Q915" s="22">
        <v>4.8</v>
      </c>
      <c r="R915" s="22">
        <v>20</v>
      </c>
      <c r="S915" s="23">
        <f>(Table13[[#This Row],[Unit Price]]*Table13[[#This Row],[No.of Units]])*18%</f>
        <v>75598.92</v>
      </c>
      <c r="T915" s="22" t="s">
        <v>1508</v>
      </c>
    </row>
    <row r="916" spans="2:20" x14ac:dyDescent="0.3">
      <c r="B916" s="5" t="s">
        <v>874</v>
      </c>
      <c r="C916" s="1">
        <v>9889721</v>
      </c>
      <c r="D916" s="1">
        <v>40</v>
      </c>
      <c r="E916" s="1" t="s">
        <v>12</v>
      </c>
      <c r="F916" s="16">
        <v>45875</v>
      </c>
      <c r="G916" s="1" t="s">
        <v>1473</v>
      </c>
      <c r="H916" s="1" t="s">
        <v>1472</v>
      </c>
      <c r="I916" s="17" t="s">
        <v>1503</v>
      </c>
      <c r="J916" s="18" t="s">
        <v>28</v>
      </c>
      <c r="K916" s="19" t="s">
        <v>26</v>
      </c>
      <c r="L916" s="19" t="s">
        <v>29</v>
      </c>
      <c r="M916" s="20">
        <v>10</v>
      </c>
      <c r="N916" s="21">
        <v>42999</v>
      </c>
      <c r="O916" s="22">
        <v>15</v>
      </c>
      <c r="P916" s="23">
        <v>365491.5</v>
      </c>
      <c r="Q916" s="22">
        <v>4.5999999999999996</v>
      </c>
      <c r="R916" s="22">
        <v>20</v>
      </c>
      <c r="S916" s="23">
        <f>(Table13[[#This Row],[Unit Price]]*Table13[[#This Row],[No.of Units]])*18%</f>
        <v>77398.2</v>
      </c>
      <c r="T916" s="22" t="s">
        <v>1508</v>
      </c>
    </row>
    <row r="917" spans="2:20" x14ac:dyDescent="0.3">
      <c r="B917" s="5" t="s">
        <v>874</v>
      </c>
      <c r="C917" s="1">
        <v>9889721</v>
      </c>
      <c r="D917" s="1">
        <v>26</v>
      </c>
      <c r="E917" s="1" t="s">
        <v>12</v>
      </c>
      <c r="F917" s="16">
        <v>45875</v>
      </c>
      <c r="G917" s="1" t="s">
        <v>1470</v>
      </c>
      <c r="H917" s="1" t="s">
        <v>1472</v>
      </c>
      <c r="I917" s="17" t="s">
        <v>1502</v>
      </c>
      <c r="J917" s="18" t="s">
        <v>13</v>
      </c>
      <c r="K917" s="19" t="s">
        <v>14</v>
      </c>
      <c r="L917" s="19" t="s">
        <v>35</v>
      </c>
      <c r="M917" s="20">
        <v>6</v>
      </c>
      <c r="N917" s="21">
        <v>99999</v>
      </c>
      <c r="O917" s="22">
        <v>10</v>
      </c>
      <c r="P917" s="23">
        <v>539994.6</v>
      </c>
      <c r="Q917" s="22">
        <v>4.7</v>
      </c>
      <c r="R917" s="22">
        <v>20</v>
      </c>
      <c r="S917" s="23">
        <f>(Table13[[#This Row],[Unit Price]]*Table13[[#This Row],[No.of Units]])*18%</f>
        <v>107998.92</v>
      </c>
      <c r="T917" s="22" t="s">
        <v>1507</v>
      </c>
    </row>
    <row r="918" spans="2:20" x14ac:dyDescent="0.3">
      <c r="B918" s="5" t="s">
        <v>875</v>
      </c>
      <c r="C918" s="1">
        <v>2928429</v>
      </c>
      <c r="D918" s="1">
        <v>33</v>
      </c>
      <c r="E918" s="1" t="s">
        <v>12</v>
      </c>
      <c r="F918" s="16">
        <v>45875</v>
      </c>
      <c r="G918" s="1" t="s">
        <v>1470</v>
      </c>
      <c r="H918" s="1" t="s">
        <v>1471</v>
      </c>
      <c r="I918" s="17" t="s">
        <v>1503</v>
      </c>
      <c r="J918" s="18" t="s">
        <v>17</v>
      </c>
      <c r="K918" s="19" t="s">
        <v>18</v>
      </c>
      <c r="L918" s="19" t="s">
        <v>35</v>
      </c>
      <c r="M918" s="20">
        <v>59</v>
      </c>
      <c r="N918" s="21">
        <v>4999</v>
      </c>
      <c r="O918" s="22">
        <v>18</v>
      </c>
      <c r="P918" s="23">
        <v>241851.62</v>
      </c>
      <c r="Q918" s="22">
        <v>4.4000000000000004</v>
      </c>
      <c r="R918" s="22">
        <v>20</v>
      </c>
      <c r="S918" s="23">
        <f>(Table13[[#This Row],[Unit Price]]*Table13[[#This Row],[No.of Units]])*18%</f>
        <v>53089.38</v>
      </c>
      <c r="T918" s="22" t="s">
        <v>1507</v>
      </c>
    </row>
    <row r="919" spans="2:20" x14ac:dyDescent="0.3">
      <c r="B919" s="5" t="s">
        <v>876</v>
      </c>
      <c r="C919" s="1">
        <v>4094878</v>
      </c>
      <c r="D919" s="1">
        <v>22</v>
      </c>
      <c r="E919" s="1" t="s">
        <v>12</v>
      </c>
      <c r="F919" s="16">
        <v>45875</v>
      </c>
      <c r="G919" s="1" t="s">
        <v>1470</v>
      </c>
      <c r="H919" s="1" t="s">
        <v>1483</v>
      </c>
      <c r="I919" s="17" t="s">
        <v>1504</v>
      </c>
      <c r="J919" s="18" t="s">
        <v>21</v>
      </c>
      <c r="K919" s="19" t="s">
        <v>18</v>
      </c>
      <c r="L919" s="19" t="s">
        <v>35</v>
      </c>
      <c r="M919" s="20">
        <v>7</v>
      </c>
      <c r="N919" s="21">
        <v>24900</v>
      </c>
      <c r="O919" s="22">
        <v>5</v>
      </c>
      <c r="P919" s="23">
        <v>165585</v>
      </c>
      <c r="Q919" s="22">
        <v>4.8</v>
      </c>
      <c r="R919" s="22">
        <v>20</v>
      </c>
      <c r="S919" s="23">
        <f>(Table13[[#This Row],[Unit Price]]*Table13[[#This Row],[No.of Units]])*18%</f>
        <v>31374</v>
      </c>
      <c r="T919" s="22" t="s">
        <v>1508</v>
      </c>
    </row>
    <row r="920" spans="2:20" x14ac:dyDescent="0.3">
      <c r="B920" s="5" t="s">
        <v>877</v>
      </c>
      <c r="C920" s="1">
        <v>3326468</v>
      </c>
      <c r="D920" s="1">
        <v>42</v>
      </c>
      <c r="E920" s="1" t="s">
        <v>12</v>
      </c>
      <c r="F920" s="16">
        <v>45875</v>
      </c>
      <c r="G920" s="1" t="s">
        <v>1470</v>
      </c>
      <c r="H920" s="1" t="s">
        <v>1472</v>
      </c>
      <c r="I920" s="17" t="s">
        <v>1505</v>
      </c>
      <c r="J920" s="18" t="s">
        <v>23</v>
      </c>
      <c r="K920" s="19" t="s">
        <v>14</v>
      </c>
      <c r="L920" s="19" t="s">
        <v>35</v>
      </c>
      <c r="M920" s="20">
        <v>6</v>
      </c>
      <c r="N920" s="21">
        <v>84999</v>
      </c>
      <c r="O920" s="22">
        <v>12</v>
      </c>
      <c r="P920" s="23">
        <v>448794.72</v>
      </c>
      <c r="Q920" s="22">
        <v>4.5</v>
      </c>
      <c r="R920" s="22">
        <v>20</v>
      </c>
      <c r="S920" s="23">
        <f>(Table13[[#This Row],[Unit Price]]*Table13[[#This Row],[No.of Units]])*18%</f>
        <v>91798.92</v>
      </c>
      <c r="T920" s="22" t="s">
        <v>1508</v>
      </c>
    </row>
    <row r="921" spans="2:20" x14ac:dyDescent="0.3">
      <c r="B921" s="5" t="s">
        <v>878</v>
      </c>
      <c r="C921" s="1">
        <v>3577335</v>
      </c>
      <c r="D921" s="1">
        <v>18</v>
      </c>
      <c r="E921" s="1" t="s">
        <v>34</v>
      </c>
      <c r="F921" s="16">
        <v>45875</v>
      </c>
      <c r="G921" s="1" t="s">
        <v>1470</v>
      </c>
      <c r="H921" s="1" t="s">
        <v>1482</v>
      </c>
      <c r="I921" s="17" t="s">
        <v>1504</v>
      </c>
      <c r="J921" s="18" t="s">
        <v>25</v>
      </c>
      <c r="K921" s="19" t="s">
        <v>26</v>
      </c>
      <c r="L921" s="19" t="s">
        <v>35</v>
      </c>
      <c r="M921" s="20">
        <v>6</v>
      </c>
      <c r="N921" s="21">
        <v>69999</v>
      </c>
      <c r="O921" s="22">
        <v>8</v>
      </c>
      <c r="P921" s="23">
        <v>386394.48</v>
      </c>
      <c r="Q921" s="22">
        <v>4.8</v>
      </c>
      <c r="R921" s="22">
        <v>20</v>
      </c>
      <c r="S921" s="23">
        <f>(Table13[[#This Row],[Unit Price]]*Table13[[#This Row],[No.of Units]])*18%</f>
        <v>75598.92</v>
      </c>
      <c r="T921" s="22" t="s">
        <v>1508</v>
      </c>
    </row>
    <row r="922" spans="2:20" x14ac:dyDescent="0.3">
      <c r="B922" s="5" t="s">
        <v>879</v>
      </c>
      <c r="C922" s="1">
        <v>6008360</v>
      </c>
      <c r="D922" s="1">
        <v>26</v>
      </c>
      <c r="E922" s="1" t="s">
        <v>12</v>
      </c>
      <c r="F922" s="16">
        <v>45875</v>
      </c>
      <c r="G922" s="1" t="s">
        <v>1470</v>
      </c>
      <c r="H922" s="1" t="s">
        <v>1472</v>
      </c>
      <c r="I922" s="17" t="s">
        <v>1503</v>
      </c>
      <c r="J922" s="18" t="s">
        <v>28</v>
      </c>
      <c r="K922" s="19" t="s">
        <v>26</v>
      </c>
      <c r="L922" s="19" t="s">
        <v>35</v>
      </c>
      <c r="M922" s="20">
        <v>8</v>
      </c>
      <c r="N922" s="21">
        <v>42999</v>
      </c>
      <c r="O922" s="22">
        <v>15</v>
      </c>
      <c r="P922" s="23">
        <v>292393.2</v>
      </c>
      <c r="Q922" s="22">
        <v>4.5999999999999996</v>
      </c>
      <c r="R922" s="22">
        <v>20</v>
      </c>
      <c r="S922" s="23">
        <f>(Table13[[#This Row],[Unit Price]]*Table13[[#This Row],[No.of Units]])*18%</f>
        <v>61918.559999999998</v>
      </c>
      <c r="T922" s="22" t="s">
        <v>1508</v>
      </c>
    </row>
    <row r="923" spans="2:20" x14ac:dyDescent="0.3">
      <c r="B923" s="5" t="s">
        <v>880</v>
      </c>
      <c r="C923" s="1">
        <v>4041108</v>
      </c>
      <c r="D923" s="1">
        <v>29</v>
      </c>
      <c r="E923" s="1" t="s">
        <v>12</v>
      </c>
      <c r="F923" s="16">
        <v>45875</v>
      </c>
      <c r="G923" s="1" t="s">
        <v>1470</v>
      </c>
      <c r="H923" s="1" t="s">
        <v>1483</v>
      </c>
      <c r="I923" s="17" t="s">
        <v>1502</v>
      </c>
      <c r="J923" s="18" t="s">
        <v>13</v>
      </c>
      <c r="K923" s="19" t="s">
        <v>14</v>
      </c>
      <c r="L923" s="19" t="s">
        <v>42</v>
      </c>
      <c r="M923" s="20">
        <v>3</v>
      </c>
      <c r="N923" s="21">
        <v>99999</v>
      </c>
      <c r="O923" s="22">
        <v>10</v>
      </c>
      <c r="P923" s="23">
        <v>269997.3</v>
      </c>
      <c r="Q923" s="22">
        <v>4.7</v>
      </c>
      <c r="R923" s="22">
        <v>20</v>
      </c>
      <c r="S923" s="23">
        <f>(Table13[[#This Row],[Unit Price]]*Table13[[#This Row],[No.of Units]])*18%</f>
        <v>53999.46</v>
      </c>
      <c r="T923" s="22" t="s">
        <v>1507</v>
      </c>
    </row>
    <row r="924" spans="2:20" x14ac:dyDescent="0.3">
      <c r="B924" s="5" t="s">
        <v>881</v>
      </c>
      <c r="C924" s="1">
        <v>412154</v>
      </c>
      <c r="D924" s="1">
        <v>18</v>
      </c>
      <c r="E924" s="1" t="s">
        <v>34</v>
      </c>
      <c r="F924" s="16">
        <v>45875</v>
      </c>
      <c r="G924" s="1" t="s">
        <v>1470</v>
      </c>
      <c r="H924" s="1" t="s">
        <v>1471</v>
      </c>
      <c r="I924" s="17" t="s">
        <v>1503</v>
      </c>
      <c r="J924" s="18" t="s">
        <v>17</v>
      </c>
      <c r="K924" s="19" t="s">
        <v>18</v>
      </c>
      <c r="L924" s="19" t="s">
        <v>42</v>
      </c>
      <c r="M924" s="20">
        <v>48</v>
      </c>
      <c r="N924" s="21">
        <v>4999</v>
      </c>
      <c r="O924" s="22">
        <v>18</v>
      </c>
      <c r="P924" s="23">
        <v>196760.64</v>
      </c>
      <c r="Q924" s="22">
        <v>4.4000000000000004</v>
      </c>
      <c r="R924" s="22">
        <v>20</v>
      </c>
      <c r="S924" s="23">
        <f>(Table13[[#This Row],[Unit Price]]*Table13[[#This Row],[No.of Units]])*18%</f>
        <v>43191.360000000001</v>
      </c>
      <c r="T924" s="22" t="s">
        <v>1508</v>
      </c>
    </row>
    <row r="925" spans="2:20" x14ac:dyDescent="0.3">
      <c r="B925" s="5" t="s">
        <v>882</v>
      </c>
      <c r="C925" s="1">
        <v>5774555</v>
      </c>
      <c r="D925" s="1">
        <v>22</v>
      </c>
      <c r="E925" s="1" t="s">
        <v>12</v>
      </c>
      <c r="F925" s="16">
        <v>45875</v>
      </c>
      <c r="G925" s="1" t="s">
        <v>1470</v>
      </c>
      <c r="H925" s="1" t="s">
        <v>1482</v>
      </c>
      <c r="I925" s="17" t="s">
        <v>1504</v>
      </c>
      <c r="J925" s="18" t="s">
        <v>21</v>
      </c>
      <c r="K925" s="19" t="s">
        <v>18</v>
      </c>
      <c r="L925" s="19" t="s">
        <v>42</v>
      </c>
      <c r="M925" s="20">
        <v>8</v>
      </c>
      <c r="N925" s="21">
        <v>24900</v>
      </c>
      <c r="O925" s="22">
        <v>5</v>
      </c>
      <c r="P925" s="23">
        <v>189240</v>
      </c>
      <c r="Q925" s="22">
        <v>4.8</v>
      </c>
      <c r="R925" s="22">
        <v>20</v>
      </c>
      <c r="S925" s="23">
        <f>(Table13[[#This Row],[Unit Price]]*Table13[[#This Row],[No.of Units]])*18%</f>
        <v>35856</v>
      </c>
      <c r="T925" s="22" t="s">
        <v>1507</v>
      </c>
    </row>
    <row r="926" spans="2:20" x14ac:dyDescent="0.3">
      <c r="B926" s="5" t="s">
        <v>883</v>
      </c>
      <c r="C926" s="1">
        <v>9793868</v>
      </c>
      <c r="D926" s="1">
        <v>44</v>
      </c>
      <c r="E926" s="1" t="s">
        <v>12</v>
      </c>
      <c r="F926" s="16">
        <v>45875</v>
      </c>
      <c r="G926" s="1" t="s">
        <v>1470</v>
      </c>
      <c r="H926" s="1" t="s">
        <v>1472</v>
      </c>
      <c r="I926" s="17" t="s">
        <v>1505</v>
      </c>
      <c r="J926" s="18" t="s">
        <v>23</v>
      </c>
      <c r="K926" s="19" t="s">
        <v>14</v>
      </c>
      <c r="L926" s="19" t="s">
        <v>42</v>
      </c>
      <c r="M926" s="20">
        <v>2</v>
      </c>
      <c r="N926" s="21">
        <v>84999</v>
      </c>
      <c r="O926" s="22">
        <v>12</v>
      </c>
      <c r="P926" s="23">
        <v>149598.24</v>
      </c>
      <c r="Q926" s="22">
        <v>4.5</v>
      </c>
      <c r="R926" s="22">
        <v>20</v>
      </c>
      <c r="S926" s="23">
        <f>(Table13[[#This Row],[Unit Price]]*Table13[[#This Row],[No.of Units]])*18%</f>
        <v>30599.64</v>
      </c>
      <c r="T926" s="22" t="s">
        <v>1507</v>
      </c>
    </row>
    <row r="927" spans="2:20" x14ac:dyDescent="0.3">
      <c r="B927" s="5" t="s">
        <v>883</v>
      </c>
      <c r="C927" s="1">
        <v>9793868</v>
      </c>
      <c r="D927" s="1">
        <v>76</v>
      </c>
      <c r="E927" s="1" t="s">
        <v>20</v>
      </c>
      <c r="F927" s="16">
        <v>45875</v>
      </c>
      <c r="G927" s="1" t="s">
        <v>1470</v>
      </c>
      <c r="H927" s="1" t="s">
        <v>1471</v>
      </c>
      <c r="I927" s="17" t="s">
        <v>1504</v>
      </c>
      <c r="J927" s="18" t="s">
        <v>25</v>
      </c>
      <c r="K927" s="19" t="s">
        <v>26</v>
      </c>
      <c r="L927" s="19" t="s">
        <v>42</v>
      </c>
      <c r="M927" s="20">
        <v>2</v>
      </c>
      <c r="N927" s="21">
        <v>69999</v>
      </c>
      <c r="O927" s="22">
        <v>8</v>
      </c>
      <c r="P927" s="23">
        <v>128798.16</v>
      </c>
      <c r="Q927" s="22">
        <v>4.8</v>
      </c>
      <c r="R927" s="22">
        <v>20</v>
      </c>
      <c r="S927" s="23">
        <f>(Table13[[#This Row],[Unit Price]]*Table13[[#This Row],[No.of Units]])*18%</f>
        <v>25199.64</v>
      </c>
      <c r="T927" s="22" t="s">
        <v>1508</v>
      </c>
    </row>
    <row r="928" spans="2:20" x14ac:dyDescent="0.3">
      <c r="B928" s="5" t="s">
        <v>884</v>
      </c>
      <c r="C928" s="1">
        <v>8340679</v>
      </c>
      <c r="D928" s="1">
        <v>40</v>
      </c>
      <c r="E928" s="1" t="s">
        <v>12</v>
      </c>
      <c r="F928" s="16">
        <v>45875</v>
      </c>
      <c r="G928" s="1" t="s">
        <v>1470</v>
      </c>
      <c r="H928" s="1" t="s">
        <v>1483</v>
      </c>
      <c r="I928" s="17" t="s">
        <v>1503</v>
      </c>
      <c r="J928" s="18" t="s">
        <v>28</v>
      </c>
      <c r="K928" s="19" t="s">
        <v>26</v>
      </c>
      <c r="L928" s="19" t="s">
        <v>42</v>
      </c>
      <c r="M928" s="20">
        <v>7</v>
      </c>
      <c r="N928" s="21">
        <v>42999</v>
      </c>
      <c r="O928" s="22">
        <v>15</v>
      </c>
      <c r="P928" s="23">
        <v>255844.05</v>
      </c>
      <c r="Q928" s="22">
        <v>4.5999999999999996</v>
      </c>
      <c r="R928" s="22">
        <v>20</v>
      </c>
      <c r="S928" s="23">
        <f>(Table13[[#This Row],[Unit Price]]*Table13[[#This Row],[No.of Units]])*18%</f>
        <v>54178.74</v>
      </c>
      <c r="T928" s="22" t="s">
        <v>1507</v>
      </c>
    </row>
    <row r="929" spans="2:20" x14ac:dyDescent="0.3">
      <c r="B929" s="5" t="s">
        <v>885</v>
      </c>
      <c r="C929" s="1">
        <v>3651024</v>
      </c>
      <c r="D929" s="1">
        <v>69</v>
      </c>
      <c r="E929" s="1" t="s">
        <v>20</v>
      </c>
      <c r="F929" s="16">
        <v>45875</v>
      </c>
      <c r="G929" s="1" t="s">
        <v>1470</v>
      </c>
      <c r="H929" s="1" t="s">
        <v>1472</v>
      </c>
      <c r="I929" s="17" t="s">
        <v>1502</v>
      </c>
      <c r="J929" s="18" t="s">
        <v>13</v>
      </c>
      <c r="K929" s="19" t="s">
        <v>14</v>
      </c>
      <c r="L929" s="19" t="s">
        <v>49</v>
      </c>
      <c r="M929" s="20">
        <v>5</v>
      </c>
      <c r="N929" s="21">
        <v>99999</v>
      </c>
      <c r="O929" s="22">
        <v>10</v>
      </c>
      <c r="P929" s="23">
        <v>449995.5</v>
      </c>
      <c r="Q929" s="22">
        <v>4.7</v>
      </c>
      <c r="R929" s="22">
        <v>20</v>
      </c>
      <c r="S929" s="23">
        <f>(Table13[[#This Row],[Unit Price]]*Table13[[#This Row],[No.of Units]])*18%</f>
        <v>89999.099999999991</v>
      </c>
      <c r="T929" s="22" t="s">
        <v>1508</v>
      </c>
    </row>
    <row r="930" spans="2:20" x14ac:dyDescent="0.3">
      <c r="B930" s="5" t="s">
        <v>886</v>
      </c>
      <c r="C930" s="1">
        <v>4086571</v>
      </c>
      <c r="D930" s="1">
        <v>78</v>
      </c>
      <c r="E930" s="1" t="s">
        <v>20</v>
      </c>
      <c r="F930" s="16">
        <v>45875</v>
      </c>
      <c r="G930" s="1" t="s">
        <v>1470</v>
      </c>
      <c r="H930" s="1" t="s">
        <v>1472</v>
      </c>
      <c r="I930" s="17" t="s">
        <v>1503</v>
      </c>
      <c r="J930" s="18" t="s">
        <v>17</v>
      </c>
      <c r="K930" s="19" t="s">
        <v>18</v>
      </c>
      <c r="L930" s="19" t="s">
        <v>49</v>
      </c>
      <c r="M930" s="20">
        <v>37</v>
      </c>
      <c r="N930" s="21">
        <v>4999</v>
      </c>
      <c r="O930" s="22">
        <v>18</v>
      </c>
      <c r="P930" s="23">
        <v>151669.66</v>
      </c>
      <c r="Q930" s="22">
        <v>4.4000000000000004</v>
      </c>
      <c r="R930" s="22">
        <v>20</v>
      </c>
      <c r="S930" s="23">
        <f>(Table13[[#This Row],[Unit Price]]*Table13[[#This Row],[No.of Units]])*18%</f>
        <v>33293.339999999997</v>
      </c>
      <c r="T930" s="22" t="s">
        <v>1508</v>
      </c>
    </row>
    <row r="931" spans="2:20" x14ac:dyDescent="0.3">
      <c r="B931" s="5" t="s">
        <v>887</v>
      </c>
      <c r="C931" s="1">
        <v>8101571</v>
      </c>
      <c r="D931" s="1">
        <v>39</v>
      </c>
      <c r="E931" s="1" t="s">
        <v>12</v>
      </c>
      <c r="F931" s="16">
        <v>45875</v>
      </c>
      <c r="G931" s="1" t="s">
        <v>1470</v>
      </c>
      <c r="H931" s="1" t="s">
        <v>1482</v>
      </c>
      <c r="I931" s="17" t="s">
        <v>1504</v>
      </c>
      <c r="J931" s="18" t="s">
        <v>21</v>
      </c>
      <c r="K931" s="19" t="s">
        <v>18</v>
      </c>
      <c r="L931" s="19" t="s">
        <v>49</v>
      </c>
      <c r="M931" s="20">
        <v>9</v>
      </c>
      <c r="N931" s="21">
        <v>24900</v>
      </c>
      <c r="O931" s="22">
        <v>5</v>
      </c>
      <c r="P931" s="23">
        <v>212895</v>
      </c>
      <c r="Q931" s="22">
        <v>4.8</v>
      </c>
      <c r="R931" s="22">
        <v>20</v>
      </c>
      <c r="S931" s="23">
        <f>(Table13[[#This Row],[Unit Price]]*Table13[[#This Row],[No.of Units]])*18%</f>
        <v>40338</v>
      </c>
      <c r="T931" s="22" t="s">
        <v>1508</v>
      </c>
    </row>
    <row r="932" spans="2:20" x14ac:dyDescent="0.3">
      <c r="B932" s="5" t="s">
        <v>888</v>
      </c>
      <c r="C932" s="1">
        <v>2494201</v>
      </c>
      <c r="D932" s="1">
        <v>19</v>
      </c>
      <c r="E932" s="1" t="s">
        <v>34</v>
      </c>
      <c r="F932" s="16">
        <v>45875</v>
      </c>
      <c r="G932" s="1" t="s">
        <v>1470</v>
      </c>
      <c r="H932" s="1" t="s">
        <v>1482</v>
      </c>
      <c r="I932" s="17" t="s">
        <v>1505</v>
      </c>
      <c r="J932" s="18" t="s">
        <v>23</v>
      </c>
      <c r="K932" s="19" t="s">
        <v>14</v>
      </c>
      <c r="L932" s="19" t="s">
        <v>49</v>
      </c>
      <c r="M932" s="20">
        <v>5</v>
      </c>
      <c r="N932" s="21">
        <v>84999</v>
      </c>
      <c r="O932" s="22">
        <v>12</v>
      </c>
      <c r="P932" s="23">
        <v>373995.6</v>
      </c>
      <c r="Q932" s="22">
        <v>4.5</v>
      </c>
      <c r="R932" s="22">
        <v>20</v>
      </c>
      <c r="S932" s="23">
        <f>(Table13[[#This Row],[Unit Price]]*Table13[[#This Row],[No.of Units]])*18%</f>
        <v>76499.099999999991</v>
      </c>
      <c r="T932" s="22" t="s">
        <v>1508</v>
      </c>
    </row>
    <row r="933" spans="2:20" x14ac:dyDescent="0.3">
      <c r="B933" s="5" t="s">
        <v>889</v>
      </c>
      <c r="C933" s="1">
        <v>2072482</v>
      </c>
      <c r="D933" s="1">
        <v>34</v>
      </c>
      <c r="E933" s="1" t="s">
        <v>12</v>
      </c>
      <c r="F933" s="16">
        <v>45875</v>
      </c>
      <c r="G933" s="1" t="s">
        <v>1470</v>
      </c>
      <c r="H933" s="1" t="s">
        <v>1472</v>
      </c>
      <c r="I933" s="17" t="s">
        <v>1504</v>
      </c>
      <c r="J933" s="18" t="s">
        <v>25</v>
      </c>
      <c r="K933" s="19" t="s">
        <v>26</v>
      </c>
      <c r="L933" s="19" t="s">
        <v>49</v>
      </c>
      <c r="M933" s="20">
        <v>2</v>
      </c>
      <c r="N933" s="21">
        <v>69999</v>
      </c>
      <c r="O933" s="22">
        <v>8</v>
      </c>
      <c r="P933" s="23">
        <v>128798.16</v>
      </c>
      <c r="Q933" s="22">
        <v>4.8</v>
      </c>
      <c r="R933" s="22">
        <v>20</v>
      </c>
      <c r="S933" s="23">
        <f>(Table13[[#This Row],[Unit Price]]*Table13[[#This Row],[No.of Units]])*18%</f>
        <v>25199.64</v>
      </c>
      <c r="T933" s="22" t="s">
        <v>1508</v>
      </c>
    </row>
    <row r="934" spans="2:20" x14ac:dyDescent="0.3">
      <c r="B934" s="5" t="s">
        <v>890</v>
      </c>
      <c r="C934" s="1">
        <v>1942302</v>
      </c>
      <c r="D934" s="1">
        <v>27</v>
      </c>
      <c r="E934" s="1" t="s">
        <v>12</v>
      </c>
      <c r="F934" s="16">
        <v>45875</v>
      </c>
      <c r="G934" s="1" t="s">
        <v>1470</v>
      </c>
      <c r="H934" s="1" t="s">
        <v>1472</v>
      </c>
      <c r="I934" s="17" t="s">
        <v>1503</v>
      </c>
      <c r="J934" s="18" t="s">
        <v>28</v>
      </c>
      <c r="K934" s="19" t="s">
        <v>26</v>
      </c>
      <c r="L934" s="19" t="s">
        <v>49</v>
      </c>
      <c r="M934" s="20">
        <v>7</v>
      </c>
      <c r="N934" s="21">
        <v>42999</v>
      </c>
      <c r="O934" s="22">
        <v>15</v>
      </c>
      <c r="P934" s="23">
        <v>255844.05</v>
      </c>
      <c r="Q934" s="22">
        <v>4.5999999999999996</v>
      </c>
      <c r="R934" s="22">
        <v>20</v>
      </c>
      <c r="S934" s="23">
        <f>(Table13[[#This Row],[Unit Price]]*Table13[[#This Row],[No.of Units]])*18%</f>
        <v>54178.74</v>
      </c>
      <c r="T934" s="22" t="s">
        <v>1508</v>
      </c>
    </row>
    <row r="935" spans="2:20" x14ac:dyDescent="0.3">
      <c r="B935" s="5" t="s">
        <v>891</v>
      </c>
      <c r="C935" s="1">
        <v>4183814</v>
      </c>
      <c r="D935" s="1">
        <v>59</v>
      </c>
      <c r="E935" s="1" t="s">
        <v>20</v>
      </c>
      <c r="F935" s="16">
        <v>45882</v>
      </c>
      <c r="G935" s="1" t="s">
        <v>1470</v>
      </c>
      <c r="H935" s="1" t="s">
        <v>1481</v>
      </c>
      <c r="I935" s="17" t="s">
        <v>1502</v>
      </c>
      <c r="J935" s="18" t="s">
        <v>13</v>
      </c>
      <c r="K935" s="19" t="s">
        <v>14</v>
      </c>
      <c r="L935" s="19" t="s">
        <v>15</v>
      </c>
      <c r="M935" s="20">
        <v>4</v>
      </c>
      <c r="N935" s="21">
        <v>99999</v>
      </c>
      <c r="O935" s="22">
        <v>10</v>
      </c>
      <c r="P935" s="23">
        <v>359996.4</v>
      </c>
      <c r="Q935" s="22">
        <v>4.7</v>
      </c>
      <c r="R935" s="22">
        <v>20</v>
      </c>
      <c r="S935" s="23">
        <f>(Table13[[#This Row],[Unit Price]]*Table13[[#This Row],[No.of Units]])*18%</f>
        <v>71999.28</v>
      </c>
      <c r="T935" s="22" t="s">
        <v>1508</v>
      </c>
    </row>
    <row r="936" spans="2:20" x14ac:dyDescent="0.3">
      <c r="B936" s="5" t="s">
        <v>892</v>
      </c>
      <c r="C936" s="1">
        <v>3629671</v>
      </c>
      <c r="D936" s="1">
        <v>33</v>
      </c>
      <c r="E936" s="1" t="s">
        <v>12</v>
      </c>
      <c r="F936" s="16">
        <v>45882</v>
      </c>
      <c r="G936" s="1" t="s">
        <v>1470</v>
      </c>
      <c r="H936" s="1" t="s">
        <v>1472</v>
      </c>
      <c r="I936" s="17" t="s">
        <v>1503</v>
      </c>
      <c r="J936" s="18" t="s">
        <v>17</v>
      </c>
      <c r="K936" s="19" t="s">
        <v>18</v>
      </c>
      <c r="L936" s="19" t="s">
        <v>15</v>
      </c>
      <c r="M936" s="20">
        <v>39</v>
      </c>
      <c r="N936" s="21">
        <v>4999</v>
      </c>
      <c r="O936" s="22">
        <v>18</v>
      </c>
      <c r="P936" s="23">
        <v>159868.02000000002</v>
      </c>
      <c r="Q936" s="22">
        <v>4.4000000000000004</v>
      </c>
      <c r="R936" s="22">
        <v>20</v>
      </c>
      <c r="S936" s="23">
        <f>(Table13[[#This Row],[Unit Price]]*Table13[[#This Row],[No.of Units]])*18%</f>
        <v>35092.979999999996</v>
      </c>
      <c r="T936" s="22" t="s">
        <v>1508</v>
      </c>
    </row>
    <row r="937" spans="2:20" x14ac:dyDescent="0.3">
      <c r="B937" s="5" t="s">
        <v>893</v>
      </c>
      <c r="C937" s="1">
        <v>9941188</v>
      </c>
      <c r="D937" s="1">
        <v>38</v>
      </c>
      <c r="E937" s="1" t="s">
        <v>12</v>
      </c>
      <c r="F937" s="16">
        <v>45882</v>
      </c>
      <c r="G937" s="1" t="s">
        <v>1470</v>
      </c>
      <c r="H937" s="1" t="s">
        <v>1472</v>
      </c>
      <c r="I937" s="17" t="s">
        <v>1504</v>
      </c>
      <c r="J937" s="18" t="s">
        <v>21</v>
      </c>
      <c r="K937" s="19" t="s">
        <v>18</v>
      </c>
      <c r="L937" s="19" t="s">
        <v>15</v>
      </c>
      <c r="M937" s="20">
        <v>5</v>
      </c>
      <c r="N937" s="21">
        <v>24900</v>
      </c>
      <c r="O937" s="22">
        <v>5</v>
      </c>
      <c r="P937" s="23">
        <v>118275</v>
      </c>
      <c r="Q937" s="22">
        <v>4.8</v>
      </c>
      <c r="R937" s="22">
        <v>20</v>
      </c>
      <c r="S937" s="23">
        <f>(Table13[[#This Row],[Unit Price]]*Table13[[#This Row],[No.of Units]])*18%</f>
        <v>22410</v>
      </c>
      <c r="T937" s="22" t="s">
        <v>1508</v>
      </c>
    </row>
    <row r="938" spans="2:20" x14ac:dyDescent="0.3">
      <c r="B938" s="5" t="s">
        <v>894</v>
      </c>
      <c r="C938" s="1">
        <v>2975043</v>
      </c>
      <c r="D938" s="1">
        <v>31</v>
      </c>
      <c r="E938" s="1" t="s">
        <v>12</v>
      </c>
      <c r="F938" s="16">
        <v>45882</v>
      </c>
      <c r="G938" s="1" t="s">
        <v>1470</v>
      </c>
      <c r="H938" s="1" t="s">
        <v>1472</v>
      </c>
      <c r="I938" s="17" t="s">
        <v>1505</v>
      </c>
      <c r="J938" s="18" t="s">
        <v>23</v>
      </c>
      <c r="K938" s="19" t="s">
        <v>14</v>
      </c>
      <c r="L938" s="19" t="s">
        <v>15</v>
      </c>
      <c r="M938" s="20">
        <v>2</v>
      </c>
      <c r="N938" s="21">
        <v>84999</v>
      </c>
      <c r="O938" s="22">
        <v>12</v>
      </c>
      <c r="P938" s="23">
        <v>149598.24</v>
      </c>
      <c r="Q938" s="22">
        <v>4.5</v>
      </c>
      <c r="R938" s="22">
        <v>20</v>
      </c>
      <c r="S938" s="23">
        <f>(Table13[[#This Row],[Unit Price]]*Table13[[#This Row],[No.of Units]])*18%</f>
        <v>30599.64</v>
      </c>
      <c r="T938" s="22" t="s">
        <v>1508</v>
      </c>
    </row>
    <row r="939" spans="2:20" x14ac:dyDescent="0.3">
      <c r="B939" s="5" t="s">
        <v>895</v>
      </c>
      <c r="C939" s="1">
        <v>909589</v>
      </c>
      <c r="D939" s="1">
        <v>37</v>
      </c>
      <c r="E939" s="1" t="s">
        <v>12</v>
      </c>
      <c r="F939" s="16">
        <v>45882</v>
      </c>
      <c r="G939" s="1" t="s">
        <v>1475</v>
      </c>
      <c r="H939" s="1" t="s">
        <v>1472</v>
      </c>
      <c r="I939" s="17" t="s">
        <v>1504</v>
      </c>
      <c r="J939" s="18" t="s">
        <v>25</v>
      </c>
      <c r="K939" s="19" t="s">
        <v>26</v>
      </c>
      <c r="L939" s="19" t="s">
        <v>15</v>
      </c>
      <c r="M939" s="20">
        <v>2</v>
      </c>
      <c r="N939" s="21">
        <v>69999</v>
      </c>
      <c r="O939" s="22">
        <v>8</v>
      </c>
      <c r="P939" s="23">
        <v>128798.16</v>
      </c>
      <c r="Q939" s="22">
        <v>4.8</v>
      </c>
      <c r="R939" s="22">
        <v>20</v>
      </c>
      <c r="S939" s="23">
        <f>(Table13[[#This Row],[Unit Price]]*Table13[[#This Row],[No.of Units]])*18%</f>
        <v>25199.64</v>
      </c>
      <c r="T939" s="22" t="s">
        <v>1508</v>
      </c>
    </row>
    <row r="940" spans="2:20" x14ac:dyDescent="0.3">
      <c r="B940" s="5" t="s">
        <v>896</v>
      </c>
      <c r="C940" s="1">
        <v>1642533</v>
      </c>
      <c r="D940" s="1">
        <v>27</v>
      </c>
      <c r="E940" s="1" t="s">
        <v>12</v>
      </c>
      <c r="F940" s="16">
        <v>45882</v>
      </c>
      <c r="G940" s="1" t="s">
        <v>1470</v>
      </c>
      <c r="H940" s="1" t="s">
        <v>1481</v>
      </c>
      <c r="I940" s="17" t="s">
        <v>1503</v>
      </c>
      <c r="J940" s="18" t="s">
        <v>28</v>
      </c>
      <c r="K940" s="19" t="s">
        <v>26</v>
      </c>
      <c r="L940" s="19" t="s">
        <v>15</v>
      </c>
      <c r="M940" s="20">
        <v>5</v>
      </c>
      <c r="N940" s="21">
        <v>42999</v>
      </c>
      <c r="O940" s="22">
        <v>15</v>
      </c>
      <c r="P940" s="23">
        <v>182745.75</v>
      </c>
      <c r="Q940" s="22">
        <v>4.5999999999999996</v>
      </c>
      <c r="R940" s="22">
        <v>20</v>
      </c>
      <c r="S940" s="23">
        <f>(Table13[[#This Row],[Unit Price]]*Table13[[#This Row],[No.of Units]])*18%</f>
        <v>38699.1</v>
      </c>
      <c r="T940" s="22" t="s">
        <v>1507</v>
      </c>
    </row>
    <row r="941" spans="2:20" x14ac:dyDescent="0.3">
      <c r="B941" s="5" t="s">
        <v>897</v>
      </c>
      <c r="C941" s="1">
        <v>8074188</v>
      </c>
      <c r="D941" s="1">
        <v>26</v>
      </c>
      <c r="E941" s="1" t="s">
        <v>12</v>
      </c>
      <c r="F941" s="16">
        <v>45882</v>
      </c>
      <c r="G941" s="1" t="s">
        <v>1470</v>
      </c>
      <c r="H941" s="1" t="s">
        <v>1471</v>
      </c>
      <c r="I941" s="17" t="s">
        <v>1502</v>
      </c>
      <c r="J941" s="18" t="s">
        <v>13</v>
      </c>
      <c r="K941" s="19" t="s">
        <v>14</v>
      </c>
      <c r="L941" s="19" t="s">
        <v>29</v>
      </c>
      <c r="M941" s="20">
        <v>5</v>
      </c>
      <c r="N941" s="21">
        <v>99999</v>
      </c>
      <c r="O941" s="22">
        <v>10</v>
      </c>
      <c r="P941" s="23">
        <v>449995.5</v>
      </c>
      <c r="Q941" s="22">
        <v>4.7</v>
      </c>
      <c r="R941" s="22">
        <v>20</v>
      </c>
      <c r="S941" s="23">
        <f>(Table13[[#This Row],[Unit Price]]*Table13[[#This Row],[No.of Units]])*18%</f>
        <v>89999.099999999991</v>
      </c>
      <c r="T941" s="22" t="s">
        <v>1508</v>
      </c>
    </row>
    <row r="942" spans="2:20" x14ac:dyDescent="0.3">
      <c r="B942" s="5" t="s">
        <v>898</v>
      </c>
      <c r="C942" s="1">
        <v>709714</v>
      </c>
      <c r="D942" s="1">
        <v>37</v>
      </c>
      <c r="E942" s="1" t="s">
        <v>12</v>
      </c>
      <c r="F942" s="16">
        <v>45882</v>
      </c>
      <c r="G942" s="1" t="s">
        <v>1470</v>
      </c>
      <c r="H942" s="1" t="s">
        <v>1471</v>
      </c>
      <c r="I942" s="17" t="s">
        <v>1503</v>
      </c>
      <c r="J942" s="18" t="s">
        <v>17</v>
      </c>
      <c r="K942" s="19" t="s">
        <v>18</v>
      </c>
      <c r="L942" s="19" t="s">
        <v>29</v>
      </c>
      <c r="M942" s="20">
        <v>57</v>
      </c>
      <c r="N942" s="21">
        <v>4999</v>
      </c>
      <c r="O942" s="22">
        <v>18</v>
      </c>
      <c r="P942" s="23">
        <v>233653.26</v>
      </c>
      <c r="Q942" s="22">
        <v>4.4000000000000004</v>
      </c>
      <c r="R942" s="22">
        <v>20</v>
      </c>
      <c r="S942" s="23">
        <f>(Table13[[#This Row],[Unit Price]]*Table13[[#This Row],[No.of Units]])*18%</f>
        <v>51289.74</v>
      </c>
      <c r="T942" s="22" t="s">
        <v>1507</v>
      </c>
    </row>
    <row r="943" spans="2:20" x14ac:dyDescent="0.3">
      <c r="B943" s="5" t="s">
        <v>899</v>
      </c>
      <c r="C943" s="1">
        <v>6573904</v>
      </c>
      <c r="D943" s="1">
        <v>72</v>
      </c>
      <c r="E943" s="1" t="s">
        <v>20</v>
      </c>
      <c r="F943" s="16">
        <v>45882</v>
      </c>
      <c r="G943" s="1" t="s">
        <v>1470</v>
      </c>
      <c r="H943" s="1" t="s">
        <v>1482</v>
      </c>
      <c r="I943" s="17" t="s">
        <v>1504</v>
      </c>
      <c r="J943" s="18" t="s">
        <v>21</v>
      </c>
      <c r="K943" s="19" t="s">
        <v>18</v>
      </c>
      <c r="L943" s="19" t="s">
        <v>29</v>
      </c>
      <c r="M943" s="20">
        <v>6</v>
      </c>
      <c r="N943" s="21">
        <v>24900</v>
      </c>
      <c r="O943" s="22">
        <v>5</v>
      </c>
      <c r="P943" s="23">
        <v>141930</v>
      </c>
      <c r="Q943" s="22">
        <v>4.8</v>
      </c>
      <c r="R943" s="22">
        <v>20</v>
      </c>
      <c r="S943" s="23">
        <f>(Table13[[#This Row],[Unit Price]]*Table13[[#This Row],[No.of Units]])*18%</f>
        <v>26892</v>
      </c>
      <c r="T943" s="22" t="s">
        <v>1508</v>
      </c>
    </row>
    <row r="944" spans="2:20" x14ac:dyDescent="0.3">
      <c r="B944" s="5" t="s">
        <v>900</v>
      </c>
      <c r="C944" s="1">
        <v>8738723</v>
      </c>
      <c r="D944" s="1">
        <v>34</v>
      </c>
      <c r="E944" s="1" t="s">
        <v>12</v>
      </c>
      <c r="F944" s="16">
        <v>45882</v>
      </c>
      <c r="G944" s="1" t="s">
        <v>1470</v>
      </c>
      <c r="H944" s="1" t="s">
        <v>1471</v>
      </c>
      <c r="I944" s="17" t="s">
        <v>1505</v>
      </c>
      <c r="J944" s="18" t="s">
        <v>23</v>
      </c>
      <c r="K944" s="19" t="s">
        <v>14</v>
      </c>
      <c r="L944" s="19" t="s">
        <v>29</v>
      </c>
      <c r="M944" s="20">
        <v>4</v>
      </c>
      <c r="N944" s="21">
        <v>84999</v>
      </c>
      <c r="O944" s="22">
        <v>12</v>
      </c>
      <c r="P944" s="23">
        <v>299196.48</v>
      </c>
      <c r="Q944" s="22">
        <v>4.5</v>
      </c>
      <c r="R944" s="22">
        <v>20</v>
      </c>
      <c r="S944" s="23">
        <f>(Table13[[#This Row],[Unit Price]]*Table13[[#This Row],[No.of Units]])*18%</f>
        <v>61199.28</v>
      </c>
      <c r="T944" s="22" t="s">
        <v>1508</v>
      </c>
    </row>
    <row r="945" spans="2:20" x14ac:dyDescent="0.3">
      <c r="B945" s="5" t="s">
        <v>901</v>
      </c>
      <c r="C945" s="1">
        <v>6194318</v>
      </c>
      <c r="D945" s="1">
        <v>39</v>
      </c>
      <c r="E945" s="1" t="s">
        <v>12</v>
      </c>
      <c r="F945" s="16">
        <v>45882</v>
      </c>
      <c r="G945" s="1" t="s">
        <v>1470</v>
      </c>
      <c r="H945" s="1" t="s">
        <v>1471</v>
      </c>
      <c r="I945" s="17" t="s">
        <v>1504</v>
      </c>
      <c r="J945" s="18" t="s">
        <v>25</v>
      </c>
      <c r="K945" s="19" t="s">
        <v>26</v>
      </c>
      <c r="L945" s="19" t="s">
        <v>29</v>
      </c>
      <c r="M945" s="20">
        <v>6</v>
      </c>
      <c r="N945" s="21">
        <v>69999</v>
      </c>
      <c r="O945" s="22">
        <v>8</v>
      </c>
      <c r="P945" s="23">
        <v>386394.48</v>
      </c>
      <c r="Q945" s="22">
        <v>4.8</v>
      </c>
      <c r="R945" s="22">
        <v>20</v>
      </c>
      <c r="S945" s="23">
        <f>(Table13[[#This Row],[Unit Price]]*Table13[[#This Row],[No.of Units]])*18%</f>
        <v>75598.92</v>
      </c>
      <c r="T945" s="22" t="s">
        <v>1507</v>
      </c>
    </row>
    <row r="946" spans="2:20" x14ac:dyDescent="0.3">
      <c r="B946" s="5" t="s">
        <v>902</v>
      </c>
      <c r="C946" s="1">
        <v>4038476</v>
      </c>
      <c r="D946" s="1">
        <v>22</v>
      </c>
      <c r="E946" s="1" t="s">
        <v>12</v>
      </c>
      <c r="F946" s="16">
        <v>45882</v>
      </c>
      <c r="G946" s="1" t="s">
        <v>1470</v>
      </c>
      <c r="H946" s="1" t="s">
        <v>1472</v>
      </c>
      <c r="I946" s="17" t="s">
        <v>1503</v>
      </c>
      <c r="J946" s="18" t="s">
        <v>28</v>
      </c>
      <c r="K946" s="19" t="s">
        <v>26</v>
      </c>
      <c r="L946" s="19" t="s">
        <v>29</v>
      </c>
      <c r="M946" s="20">
        <v>5</v>
      </c>
      <c r="N946" s="21">
        <v>42999</v>
      </c>
      <c r="O946" s="22">
        <v>15</v>
      </c>
      <c r="P946" s="23">
        <v>182745.75</v>
      </c>
      <c r="Q946" s="22">
        <v>4.5999999999999996</v>
      </c>
      <c r="R946" s="22">
        <v>20</v>
      </c>
      <c r="S946" s="23">
        <f>(Table13[[#This Row],[Unit Price]]*Table13[[#This Row],[No.of Units]])*18%</f>
        <v>38699.1</v>
      </c>
      <c r="T946" s="22" t="s">
        <v>1508</v>
      </c>
    </row>
    <row r="947" spans="2:20" x14ac:dyDescent="0.3">
      <c r="B947" s="5" t="s">
        <v>903</v>
      </c>
      <c r="C947" s="1">
        <v>7440385</v>
      </c>
      <c r="D947" s="1">
        <v>35</v>
      </c>
      <c r="E947" s="1" t="s">
        <v>12</v>
      </c>
      <c r="F947" s="16">
        <v>45882</v>
      </c>
      <c r="G947" s="1" t="s">
        <v>1470</v>
      </c>
      <c r="H947" s="1" t="s">
        <v>1481</v>
      </c>
      <c r="I947" s="17" t="s">
        <v>1502</v>
      </c>
      <c r="J947" s="18" t="s">
        <v>13</v>
      </c>
      <c r="K947" s="19" t="s">
        <v>14</v>
      </c>
      <c r="L947" s="19" t="s">
        <v>35</v>
      </c>
      <c r="M947" s="20">
        <v>5</v>
      </c>
      <c r="N947" s="21">
        <v>99999</v>
      </c>
      <c r="O947" s="22">
        <v>10</v>
      </c>
      <c r="P947" s="23">
        <v>449995.5</v>
      </c>
      <c r="Q947" s="22">
        <v>4.7</v>
      </c>
      <c r="R947" s="22">
        <v>20</v>
      </c>
      <c r="S947" s="23">
        <f>(Table13[[#This Row],[Unit Price]]*Table13[[#This Row],[No.of Units]])*18%</f>
        <v>89999.099999999991</v>
      </c>
      <c r="T947" s="22" t="s">
        <v>1508</v>
      </c>
    </row>
    <row r="948" spans="2:20" x14ac:dyDescent="0.3">
      <c r="B948" s="5" t="s">
        <v>904</v>
      </c>
      <c r="C948" s="1">
        <v>6619987</v>
      </c>
      <c r="D948" s="1">
        <v>19</v>
      </c>
      <c r="E948" s="1" t="s">
        <v>34</v>
      </c>
      <c r="F948" s="16">
        <v>45882</v>
      </c>
      <c r="G948" s="1" t="s">
        <v>1470</v>
      </c>
      <c r="H948" s="1" t="s">
        <v>1471</v>
      </c>
      <c r="I948" s="17" t="s">
        <v>1503</v>
      </c>
      <c r="J948" s="18" t="s">
        <v>17</v>
      </c>
      <c r="K948" s="19" t="s">
        <v>18</v>
      </c>
      <c r="L948" s="19" t="s">
        <v>35</v>
      </c>
      <c r="M948" s="20">
        <v>32</v>
      </c>
      <c r="N948" s="21">
        <v>4999</v>
      </c>
      <c r="O948" s="22">
        <v>18</v>
      </c>
      <c r="P948" s="23">
        <v>131173.76000000001</v>
      </c>
      <c r="Q948" s="22">
        <v>4.4000000000000004</v>
      </c>
      <c r="R948" s="22">
        <v>20</v>
      </c>
      <c r="S948" s="23">
        <f>(Table13[[#This Row],[Unit Price]]*Table13[[#This Row],[No.of Units]])*18%</f>
        <v>28794.239999999998</v>
      </c>
      <c r="T948" s="22" t="s">
        <v>1507</v>
      </c>
    </row>
    <row r="949" spans="2:20" x14ac:dyDescent="0.3">
      <c r="B949" s="5" t="s">
        <v>905</v>
      </c>
      <c r="C949" s="1">
        <v>9142846</v>
      </c>
      <c r="D949" s="1">
        <v>28</v>
      </c>
      <c r="E949" s="1" t="s">
        <v>12</v>
      </c>
      <c r="F949" s="16">
        <v>45882</v>
      </c>
      <c r="G949" s="1" t="s">
        <v>1470</v>
      </c>
      <c r="H949" s="1" t="s">
        <v>1471</v>
      </c>
      <c r="I949" s="17" t="s">
        <v>1504</v>
      </c>
      <c r="J949" s="18" t="s">
        <v>21</v>
      </c>
      <c r="K949" s="19" t="s">
        <v>18</v>
      </c>
      <c r="L949" s="19" t="s">
        <v>35</v>
      </c>
      <c r="M949" s="20">
        <v>6</v>
      </c>
      <c r="N949" s="21">
        <v>24900</v>
      </c>
      <c r="O949" s="22">
        <v>5</v>
      </c>
      <c r="P949" s="23">
        <v>141930</v>
      </c>
      <c r="Q949" s="22">
        <v>4.8</v>
      </c>
      <c r="R949" s="22">
        <v>20</v>
      </c>
      <c r="S949" s="23">
        <f>(Table13[[#This Row],[Unit Price]]*Table13[[#This Row],[No.of Units]])*18%</f>
        <v>26892</v>
      </c>
      <c r="T949" s="22" t="s">
        <v>1508</v>
      </c>
    </row>
    <row r="950" spans="2:20" x14ac:dyDescent="0.3">
      <c r="B950" s="5" t="s">
        <v>906</v>
      </c>
      <c r="C950" s="1">
        <v>2901693</v>
      </c>
      <c r="D950" s="1">
        <v>28</v>
      </c>
      <c r="E950" s="1" t="s">
        <v>12</v>
      </c>
      <c r="F950" s="16">
        <v>45882</v>
      </c>
      <c r="G950" s="1" t="s">
        <v>1470</v>
      </c>
      <c r="H950" s="1" t="s">
        <v>1482</v>
      </c>
      <c r="I950" s="17" t="s">
        <v>1505</v>
      </c>
      <c r="J950" s="18" t="s">
        <v>23</v>
      </c>
      <c r="K950" s="19" t="s">
        <v>14</v>
      </c>
      <c r="L950" s="19" t="s">
        <v>35</v>
      </c>
      <c r="M950" s="20">
        <v>3</v>
      </c>
      <c r="N950" s="21">
        <v>84999</v>
      </c>
      <c r="O950" s="22">
        <v>12</v>
      </c>
      <c r="P950" s="23">
        <v>224397.36</v>
      </c>
      <c r="Q950" s="22">
        <v>4.5</v>
      </c>
      <c r="R950" s="22">
        <v>20</v>
      </c>
      <c r="S950" s="23">
        <f>(Table13[[#This Row],[Unit Price]]*Table13[[#This Row],[No.of Units]])*18%</f>
        <v>45899.46</v>
      </c>
      <c r="T950" s="22" t="s">
        <v>1508</v>
      </c>
    </row>
    <row r="951" spans="2:20" x14ac:dyDescent="0.3">
      <c r="B951" s="5" t="s">
        <v>907</v>
      </c>
      <c r="C951" s="1">
        <v>5023447</v>
      </c>
      <c r="D951" s="1">
        <v>45</v>
      </c>
      <c r="E951" s="1" t="s">
        <v>12</v>
      </c>
      <c r="F951" s="16">
        <v>45882</v>
      </c>
      <c r="G951" s="1" t="s">
        <v>1470</v>
      </c>
      <c r="H951" s="1" t="s">
        <v>1482</v>
      </c>
      <c r="I951" s="17" t="s">
        <v>1504</v>
      </c>
      <c r="J951" s="18" t="s">
        <v>25</v>
      </c>
      <c r="K951" s="19" t="s">
        <v>26</v>
      </c>
      <c r="L951" s="19" t="s">
        <v>35</v>
      </c>
      <c r="M951" s="20">
        <v>3</v>
      </c>
      <c r="N951" s="21">
        <v>69999</v>
      </c>
      <c r="O951" s="22">
        <v>8</v>
      </c>
      <c r="P951" s="23">
        <v>193197.24</v>
      </c>
      <c r="Q951" s="22">
        <v>4.8</v>
      </c>
      <c r="R951" s="22">
        <v>20</v>
      </c>
      <c r="S951" s="23">
        <f>(Table13[[#This Row],[Unit Price]]*Table13[[#This Row],[No.of Units]])*18%</f>
        <v>37799.46</v>
      </c>
      <c r="T951" s="22" t="s">
        <v>1507</v>
      </c>
    </row>
    <row r="952" spans="2:20" x14ac:dyDescent="0.3">
      <c r="B952" s="5" t="s">
        <v>908</v>
      </c>
      <c r="C952" s="1">
        <v>2197786</v>
      </c>
      <c r="D952" s="1">
        <v>48</v>
      </c>
      <c r="E952" s="1" t="s">
        <v>12</v>
      </c>
      <c r="F952" s="16">
        <v>45882</v>
      </c>
      <c r="G952" s="1" t="s">
        <v>1470</v>
      </c>
      <c r="H952" s="1" t="s">
        <v>1481</v>
      </c>
      <c r="I952" s="17" t="s">
        <v>1503</v>
      </c>
      <c r="J952" s="18" t="s">
        <v>28</v>
      </c>
      <c r="K952" s="19" t="s">
        <v>26</v>
      </c>
      <c r="L952" s="19" t="s">
        <v>35</v>
      </c>
      <c r="M952" s="20">
        <v>5</v>
      </c>
      <c r="N952" s="21">
        <v>42999</v>
      </c>
      <c r="O952" s="22">
        <v>15</v>
      </c>
      <c r="P952" s="23">
        <v>182745.75</v>
      </c>
      <c r="Q952" s="22">
        <v>4.5999999999999996</v>
      </c>
      <c r="R952" s="22">
        <v>20</v>
      </c>
      <c r="S952" s="23">
        <f>(Table13[[#This Row],[Unit Price]]*Table13[[#This Row],[No.of Units]])*18%</f>
        <v>38699.1</v>
      </c>
      <c r="T952" s="22" t="s">
        <v>1507</v>
      </c>
    </row>
    <row r="953" spans="2:20" x14ac:dyDescent="0.3">
      <c r="B953" s="5" t="s">
        <v>909</v>
      </c>
      <c r="C953" s="1">
        <v>7351765</v>
      </c>
      <c r="D953" s="1">
        <v>28</v>
      </c>
      <c r="E953" s="1" t="s">
        <v>12</v>
      </c>
      <c r="F953" s="16">
        <v>45882</v>
      </c>
      <c r="G953" s="1" t="s">
        <v>1470</v>
      </c>
      <c r="H953" s="1" t="s">
        <v>1482</v>
      </c>
      <c r="I953" s="17" t="s">
        <v>1502</v>
      </c>
      <c r="J953" s="18" t="s">
        <v>13</v>
      </c>
      <c r="K953" s="19" t="s">
        <v>14</v>
      </c>
      <c r="L953" s="19" t="s">
        <v>42</v>
      </c>
      <c r="M953" s="20">
        <v>5</v>
      </c>
      <c r="N953" s="21">
        <v>99999</v>
      </c>
      <c r="O953" s="22">
        <v>10</v>
      </c>
      <c r="P953" s="23">
        <v>449995.5</v>
      </c>
      <c r="Q953" s="22">
        <v>4.7</v>
      </c>
      <c r="R953" s="22">
        <v>20</v>
      </c>
      <c r="S953" s="23">
        <f>(Table13[[#This Row],[Unit Price]]*Table13[[#This Row],[No.of Units]])*18%</f>
        <v>89999.099999999991</v>
      </c>
      <c r="T953" s="22" t="s">
        <v>1508</v>
      </c>
    </row>
    <row r="954" spans="2:20" x14ac:dyDescent="0.3">
      <c r="B954" s="5" t="s">
        <v>910</v>
      </c>
      <c r="C954" s="1">
        <v>8268269</v>
      </c>
      <c r="D954" s="1">
        <v>35</v>
      </c>
      <c r="E954" s="1" t="s">
        <v>12</v>
      </c>
      <c r="F954" s="16">
        <v>45882</v>
      </c>
      <c r="G954" s="1" t="s">
        <v>1470</v>
      </c>
      <c r="H954" s="1" t="s">
        <v>1471</v>
      </c>
      <c r="I954" s="17" t="s">
        <v>1503</v>
      </c>
      <c r="J954" s="18" t="s">
        <v>17</v>
      </c>
      <c r="K954" s="19" t="s">
        <v>18</v>
      </c>
      <c r="L954" s="19" t="s">
        <v>42</v>
      </c>
      <c r="M954" s="20">
        <v>51</v>
      </c>
      <c r="N954" s="21">
        <v>4999</v>
      </c>
      <c r="O954" s="22">
        <v>18</v>
      </c>
      <c r="P954" s="23">
        <v>209058.18</v>
      </c>
      <c r="Q954" s="22">
        <v>4.4000000000000004</v>
      </c>
      <c r="R954" s="22">
        <v>20</v>
      </c>
      <c r="S954" s="23">
        <f>(Table13[[#This Row],[Unit Price]]*Table13[[#This Row],[No.of Units]])*18%</f>
        <v>45890.82</v>
      </c>
      <c r="T954" s="22" t="s">
        <v>1507</v>
      </c>
    </row>
    <row r="955" spans="2:20" x14ac:dyDescent="0.3">
      <c r="B955" s="5" t="s">
        <v>911</v>
      </c>
      <c r="C955" s="1">
        <v>7419991</v>
      </c>
      <c r="D955" s="1">
        <v>46</v>
      </c>
      <c r="E955" s="1" t="s">
        <v>12</v>
      </c>
      <c r="F955" s="16">
        <v>45882</v>
      </c>
      <c r="G955" s="1" t="s">
        <v>1470</v>
      </c>
      <c r="H955" s="1" t="s">
        <v>1482</v>
      </c>
      <c r="I955" s="17" t="s">
        <v>1504</v>
      </c>
      <c r="J955" s="18" t="s">
        <v>21</v>
      </c>
      <c r="K955" s="19" t="s">
        <v>18</v>
      </c>
      <c r="L955" s="19" t="s">
        <v>42</v>
      </c>
      <c r="M955" s="20">
        <v>13</v>
      </c>
      <c r="N955" s="21">
        <v>24900</v>
      </c>
      <c r="O955" s="22">
        <v>5</v>
      </c>
      <c r="P955" s="23">
        <v>307515</v>
      </c>
      <c r="Q955" s="22">
        <v>4.8</v>
      </c>
      <c r="R955" s="22">
        <v>20</v>
      </c>
      <c r="S955" s="23">
        <f>(Table13[[#This Row],[Unit Price]]*Table13[[#This Row],[No.of Units]])*18%</f>
        <v>58266</v>
      </c>
      <c r="T955" s="22" t="s">
        <v>1508</v>
      </c>
    </row>
    <row r="956" spans="2:20" x14ac:dyDescent="0.3">
      <c r="B956" s="5" t="s">
        <v>912</v>
      </c>
      <c r="C956" s="1">
        <v>4157685</v>
      </c>
      <c r="D956" s="1">
        <v>41</v>
      </c>
      <c r="E956" s="1" t="s">
        <v>12</v>
      </c>
      <c r="F956" s="16">
        <v>45882</v>
      </c>
      <c r="G956" s="1" t="s">
        <v>1470</v>
      </c>
      <c r="H956" s="1" t="s">
        <v>1471</v>
      </c>
      <c r="I956" s="17" t="s">
        <v>1505</v>
      </c>
      <c r="J956" s="18" t="s">
        <v>23</v>
      </c>
      <c r="K956" s="19" t="s">
        <v>14</v>
      </c>
      <c r="L956" s="19" t="s">
        <v>42</v>
      </c>
      <c r="M956" s="20">
        <v>3</v>
      </c>
      <c r="N956" s="21">
        <v>84999</v>
      </c>
      <c r="O956" s="22">
        <v>12</v>
      </c>
      <c r="P956" s="23">
        <v>224397.36</v>
      </c>
      <c r="Q956" s="22">
        <v>4.5</v>
      </c>
      <c r="R956" s="22">
        <v>20</v>
      </c>
      <c r="S956" s="23">
        <f>(Table13[[#This Row],[Unit Price]]*Table13[[#This Row],[No.of Units]])*18%</f>
        <v>45899.46</v>
      </c>
      <c r="T956" s="22" t="s">
        <v>1507</v>
      </c>
    </row>
    <row r="957" spans="2:20" x14ac:dyDescent="0.3">
      <c r="B957" s="5" t="s">
        <v>913</v>
      </c>
      <c r="C957" s="1">
        <v>2316020</v>
      </c>
      <c r="D957" s="1">
        <v>37</v>
      </c>
      <c r="E957" s="1" t="s">
        <v>12</v>
      </c>
      <c r="F957" s="16">
        <v>45882</v>
      </c>
      <c r="G957" s="1" t="s">
        <v>1470</v>
      </c>
      <c r="H957" s="1" t="s">
        <v>1472</v>
      </c>
      <c r="I957" s="17" t="s">
        <v>1504</v>
      </c>
      <c r="J957" s="18" t="s">
        <v>25</v>
      </c>
      <c r="K957" s="19" t="s">
        <v>26</v>
      </c>
      <c r="L957" s="19" t="s">
        <v>42</v>
      </c>
      <c r="M957" s="20">
        <v>4</v>
      </c>
      <c r="N957" s="21">
        <v>69999</v>
      </c>
      <c r="O957" s="22">
        <v>8</v>
      </c>
      <c r="P957" s="23">
        <v>257596.32</v>
      </c>
      <c r="Q957" s="22">
        <v>4.8</v>
      </c>
      <c r="R957" s="22">
        <v>20</v>
      </c>
      <c r="S957" s="23">
        <f>(Table13[[#This Row],[Unit Price]]*Table13[[#This Row],[No.of Units]])*18%</f>
        <v>50399.28</v>
      </c>
      <c r="T957" s="22" t="s">
        <v>1508</v>
      </c>
    </row>
    <row r="958" spans="2:20" x14ac:dyDescent="0.3">
      <c r="B958" s="5" t="s">
        <v>914</v>
      </c>
      <c r="C958" s="1">
        <v>776342</v>
      </c>
      <c r="D958" s="1">
        <v>28</v>
      </c>
      <c r="E958" s="1" t="s">
        <v>12</v>
      </c>
      <c r="F958" s="16">
        <v>45882</v>
      </c>
      <c r="G958" s="1" t="s">
        <v>1470</v>
      </c>
      <c r="H958" s="1" t="s">
        <v>1472</v>
      </c>
      <c r="I958" s="17" t="s">
        <v>1503</v>
      </c>
      <c r="J958" s="18" t="s">
        <v>28</v>
      </c>
      <c r="K958" s="19" t="s">
        <v>26</v>
      </c>
      <c r="L958" s="19" t="s">
        <v>42</v>
      </c>
      <c r="M958" s="20">
        <v>5</v>
      </c>
      <c r="N958" s="21">
        <v>42999</v>
      </c>
      <c r="O958" s="22">
        <v>15</v>
      </c>
      <c r="P958" s="23">
        <v>182745.75</v>
      </c>
      <c r="Q958" s="22">
        <v>4.5999999999999996</v>
      </c>
      <c r="R958" s="22">
        <v>20</v>
      </c>
      <c r="S958" s="23">
        <f>(Table13[[#This Row],[Unit Price]]*Table13[[#This Row],[No.of Units]])*18%</f>
        <v>38699.1</v>
      </c>
      <c r="T958" s="22" t="s">
        <v>1508</v>
      </c>
    </row>
    <row r="959" spans="2:20" x14ac:dyDescent="0.3">
      <c r="B959" s="5" t="s">
        <v>915</v>
      </c>
      <c r="C959" s="1">
        <v>2200412</v>
      </c>
      <c r="D959" s="1">
        <v>34</v>
      </c>
      <c r="E959" s="1" t="s">
        <v>12</v>
      </c>
      <c r="F959" s="16">
        <v>45882</v>
      </c>
      <c r="G959" s="1" t="s">
        <v>1470</v>
      </c>
      <c r="H959" s="1" t="s">
        <v>1481</v>
      </c>
      <c r="I959" s="17" t="s">
        <v>1502</v>
      </c>
      <c r="J959" s="18" t="s">
        <v>13</v>
      </c>
      <c r="K959" s="19" t="s">
        <v>14</v>
      </c>
      <c r="L959" s="19" t="s">
        <v>49</v>
      </c>
      <c r="M959" s="20">
        <v>3</v>
      </c>
      <c r="N959" s="21">
        <v>99999</v>
      </c>
      <c r="O959" s="22">
        <v>10</v>
      </c>
      <c r="P959" s="23">
        <v>269997.3</v>
      </c>
      <c r="Q959" s="22">
        <v>4.7</v>
      </c>
      <c r="R959" s="22">
        <v>20</v>
      </c>
      <c r="S959" s="23">
        <f>(Table13[[#This Row],[Unit Price]]*Table13[[#This Row],[No.of Units]])*18%</f>
        <v>53999.46</v>
      </c>
      <c r="T959" s="22" t="s">
        <v>1508</v>
      </c>
    </row>
    <row r="960" spans="2:20" x14ac:dyDescent="0.3">
      <c r="B960" s="5" t="s">
        <v>916</v>
      </c>
      <c r="C960" s="1">
        <v>8221697</v>
      </c>
      <c r="D960" s="1">
        <v>32</v>
      </c>
      <c r="E960" s="1" t="s">
        <v>12</v>
      </c>
      <c r="F960" s="16">
        <v>45882</v>
      </c>
      <c r="G960" s="1" t="s">
        <v>1470</v>
      </c>
      <c r="H960" s="1" t="s">
        <v>1482</v>
      </c>
      <c r="I960" s="17" t="s">
        <v>1503</v>
      </c>
      <c r="J960" s="18" t="s">
        <v>17</v>
      </c>
      <c r="K960" s="19" t="s">
        <v>18</v>
      </c>
      <c r="L960" s="19" t="s">
        <v>49</v>
      </c>
      <c r="M960" s="20">
        <v>56</v>
      </c>
      <c r="N960" s="21">
        <v>4999</v>
      </c>
      <c r="O960" s="22">
        <v>18</v>
      </c>
      <c r="P960" s="23">
        <v>229554.08000000002</v>
      </c>
      <c r="Q960" s="22">
        <v>4.4000000000000004</v>
      </c>
      <c r="R960" s="22">
        <v>20</v>
      </c>
      <c r="S960" s="23">
        <f>(Table13[[#This Row],[Unit Price]]*Table13[[#This Row],[No.of Units]])*18%</f>
        <v>50389.919999999998</v>
      </c>
      <c r="T960" s="22" t="s">
        <v>1507</v>
      </c>
    </row>
    <row r="961" spans="2:20" x14ac:dyDescent="0.3">
      <c r="B961" s="5" t="s">
        <v>917</v>
      </c>
      <c r="C961" s="1">
        <v>5267552</v>
      </c>
      <c r="D961" s="1">
        <v>20</v>
      </c>
      <c r="E961" s="1" t="s">
        <v>12</v>
      </c>
      <c r="F961" s="16">
        <v>45882</v>
      </c>
      <c r="G961" s="1" t="s">
        <v>1470</v>
      </c>
      <c r="H961" s="1" t="s">
        <v>1472</v>
      </c>
      <c r="I961" s="17" t="s">
        <v>1504</v>
      </c>
      <c r="J961" s="18" t="s">
        <v>21</v>
      </c>
      <c r="K961" s="19" t="s">
        <v>18</v>
      </c>
      <c r="L961" s="19" t="s">
        <v>49</v>
      </c>
      <c r="M961" s="20">
        <v>7</v>
      </c>
      <c r="N961" s="21">
        <v>24900</v>
      </c>
      <c r="O961" s="22">
        <v>5</v>
      </c>
      <c r="P961" s="23">
        <v>165585</v>
      </c>
      <c r="Q961" s="22">
        <v>4.8</v>
      </c>
      <c r="R961" s="22">
        <v>20</v>
      </c>
      <c r="S961" s="23">
        <f>(Table13[[#This Row],[Unit Price]]*Table13[[#This Row],[No.of Units]])*18%</f>
        <v>31374</v>
      </c>
      <c r="T961" s="22" t="s">
        <v>1508</v>
      </c>
    </row>
    <row r="962" spans="2:20" x14ac:dyDescent="0.3">
      <c r="B962" s="5" t="s">
        <v>918</v>
      </c>
      <c r="C962" s="1">
        <v>3885317</v>
      </c>
      <c r="D962" s="1">
        <v>39</v>
      </c>
      <c r="E962" s="1" t="s">
        <v>12</v>
      </c>
      <c r="F962" s="16">
        <v>45882</v>
      </c>
      <c r="G962" s="1" t="s">
        <v>1470</v>
      </c>
      <c r="H962" s="1" t="s">
        <v>1471</v>
      </c>
      <c r="I962" s="17" t="s">
        <v>1505</v>
      </c>
      <c r="J962" s="18" t="s">
        <v>23</v>
      </c>
      <c r="K962" s="19" t="s">
        <v>14</v>
      </c>
      <c r="L962" s="19" t="s">
        <v>49</v>
      </c>
      <c r="M962" s="20">
        <v>5</v>
      </c>
      <c r="N962" s="21">
        <v>84999</v>
      </c>
      <c r="O962" s="22">
        <v>12</v>
      </c>
      <c r="P962" s="23">
        <v>373995.6</v>
      </c>
      <c r="Q962" s="22">
        <v>4.5</v>
      </c>
      <c r="R962" s="22">
        <v>20</v>
      </c>
      <c r="S962" s="23">
        <f>(Table13[[#This Row],[Unit Price]]*Table13[[#This Row],[No.of Units]])*18%</f>
        <v>76499.099999999991</v>
      </c>
      <c r="T962" s="22" t="s">
        <v>1508</v>
      </c>
    </row>
    <row r="963" spans="2:20" x14ac:dyDescent="0.3">
      <c r="B963" s="5" t="s">
        <v>919</v>
      </c>
      <c r="C963" s="1">
        <v>1465947</v>
      </c>
      <c r="D963" s="1">
        <v>47</v>
      </c>
      <c r="E963" s="1" t="s">
        <v>12</v>
      </c>
      <c r="F963" s="16">
        <v>45882</v>
      </c>
      <c r="G963" s="1" t="s">
        <v>1470</v>
      </c>
      <c r="H963" s="1" t="s">
        <v>1472</v>
      </c>
      <c r="I963" s="17" t="s">
        <v>1504</v>
      </c>
      <c r="J963" s="18" t="s">
        <v>25</v>
      </c>
      <c r="K963" s="19" t="s">
        <v>26</v>
      </c>
      <c r="L963" s="19" t="s">
        <v>49</v>
      </c>
      <c r="M963" s="20">
        <v>5</v>
      </c>
      <c r="N963" s="21">
        <v>69999</v>
      </c>
      <c r="O963" s="22">
        <v>8</v>
      </c>
      <c r="P963" s="23">
        <v>321995.40000000002</v>
      </c>
      <c r="Q963" s="22">
        <v>4.8</v>
      </c>
      <c r="R963" s="22">
        <v>20</v>
      </c>
      <c r="S963" s="23">
        <f>(Table13[[#This Row],[Unit Price]]*Table13[[#This Row],[No.of Units]])*18%</f>
        <v>62999.1</v>
      </c>
      <c r="T963" s="22" t="s">
        <v>1508</v>
      </c>
    </row>
    <row r="964" spans="2:20" x14ac:dyDescent="0.3">
      <c r="B964" s="5" t="s">
        <v>920</v>
      </c>
      <c r="C964" s="1">
        <v>6465978</v>
      </c>
      <c r="D964" s="1">
        <v>41</v>
      </c>
      <c r="E964" s="1" t="s">
        <v>12</v>
      </c>
      <c r="F964" s="16">
        <v>45882</v>
      </c>
      <c r="G964" s="1" t="s">
        <v>1470</v>
      </c>
      <c r="H964" s="1" t="s">
        <v>1481</v>
      </c>
      <c r="I964" s="17" t="s">
        <v>1503</v>
      </c>
      <c r="J964" s="18" t="s">
        <v>28</v>
      </c>
      <c r="K964" s="19" t="s">
        <v>26</v>
      </c>
      <c r="L964" s="19" t="s">
        <v>49</v>
      </c>
      <c r="M964" s="20">
        <v>11</v>
      </c>
      <c r="N964" s="21">
        <v>42999</v>
      </c>
      <c r="O964" s="22">
        <v>15</v>
      </c>
      <c r="P964" s="23">
        <v>402040.65</v>
      </c>
      <c r="Q964" s="22">
        <v>4.5999999999999996</v>
      </c>
      <c r="R964" s="22">
        <v>20</v>
      </c>
      <c r="S964" s="23">
        <f>(Table13[[#This Row],[Unit Price]]*Table13[[#This Row],[No.of Units]])*18%</f>
        <v>85138.02</v>
      </c>
      <c r="T964" s="22" t="s">
        <v>1508</v>
      </c>
    </row>
    <row r="965" spans="2:20" x14ac:dyDescent="0.3">
      <c r="B965" s="5" t="s">
        <v>921</v>
      </c>
      <c r="C965" s="1">
        <v>9783452</v>
      </c>
      <c r="D965" s="1">
        <v>21</v>
      </c>
      <c r="E965" s="1" t="s">
        <v>12</v>
      </c>
      <c r="F965" s="16">
        <v>45889</v>
      </c>
      <c r="G965" s="1" t="s">
        <v>1470</v>
      </c>
      <c r="H965" s="1" t="s">
        <v>1472</v>
      </c>
      <c r="I965" s="17" t="s">
        <v>1502</v>
      </c>
      <c r="J965" s="18" t="s">
        <v>13</v>
      </c>
      <c r="K965" s="19" t="s">
        <v>14</v>
      </c>
      <c r="L965" s="19" t="s">
        <v>15</v>
      </c>
      <c r="M965" s="20">
        <v>5</v>
      </c>
      <c r="N965" s="21">
        <v>99999</v>
      </c>
      <c r="O965" s="22">
        <v>10</v>
      </c>
      <c r="P965" s="23">
        <v>449995.5</v>
      </c>
      <c r="Q965" s="22">
        <v>4.7</v>
      </c>
      <c r="R965" s="22">
        <v>20</v>
      </c>
      <c r="S965" s="23">
        <f>(Table13[[#This Row],[Unit Price]]*Table13[[#This Row],[No.of Units]])*18%</f>
        <v>89999.099999999991</v>
      </c>
      <c r="T965" s="22" t="s">
        <v>1507</v>
      </c>
    </row>
    <row r="966" spans="2:20" x14ac:dyDescent="0.3">
      <c r="B966" s="5" t="s">
        <v>922</v>
      </c>
      <c r="C966" s="1">
        <v>3213670</v>
      </c>
      <c r="D966" s="1">
        <v>19</v>
      </c>
      <c r="E966" s="1" t="s">
        <v>34</v>
      </c>
      <c r="F966" s="16">
        <v>45889</v>
      </c>
      <c r="G966" s="1" t="s">
        <v>1470</v>
      </c>
      <c r="H966" s="1" t="s">
        <v>1471</v>
      </c>
      <c r="I966" s="17" t="s">
        <v>1503</v>
      </c>
      <c r="J966" s="18" t="s">
        <v>17</v>
      </c>
      <c r="K966" s="19" t="s">
        <v>18</v>
      </c>
      <c r="L966" s="19" t="s">
        <v>15</v>
      </c>
      <c r="M966" s="20">
        <v>55</v>
      </c>
      <c r="N966" s="21">
        <v>4999</v>
      </c>
      <c r="O966" s="22">
        <v>18</v>
      </c>
      <c r="P966" s="23">
        <v>225454.9</v>
      </c>
      <c r="Q966" s="22">
        <v>4.4000000000000004</v>
      </c>
      <c r="R966" s="22">
        <v>20</v>
      </c>
      <c r="S966" s="23">
        <f>(Table13[[#This Row],[Unit Price]]*Table13[[#This Row],[No.of Units]])*18%</f>
        <v>49490.1</v>
      </c>
      <c r="T966" s="22" t="s">
        <v>1508</v>
      </c>
    </row>
    <row r="967" spans="2:20" x14ac:dyDescent="0.3">
      <c r="B967" s="5" t="s">
        <v>923</v>
      </c>
      <c r="C967" s="1">
        <v>3339810</v>
      </c>
      <c r="D967" s="1">
        <v>39</v>
      </c>
      <c r="E967" s="1" t="s">
        <v>12</v>
      </c>
      <c r="F967" s="16">
        <v>45889</v>
      </c>
      <c r="G967" s="1" t="s">
        <v>1474</v>
      </c>
      <c r="H967" s="1" t="s">
        <v>1482</v>
      </c>
      <c r="I967" s="17" t="s">
        <v>1504</v>
      </c>
      <c r="J967" s="18" t="s">
        <v>21</v>
      </c>
      <c r="K967" s="19" t="s">
        <v>18</v>
      </c>
      <c r="L967" s="19" t="s">
        <v>15</v>
      </c>
      <c r="M967" s="20">
        <v>12</v>
      </c>
      <c r="N967" s="21">
        <v>24900</v>
      </c>
      <c r="O967" s="22">
        <v>5</v>
      </c>
      <c r="P967" s="23">
        <v>283860</v>
      </c>
      <c r="Q967" s="22">
        <v>4.8</v>
      </c>
      <c r="R967" s="22">
        <v>20</v>
      </c>
      <c r="S967" s="23">
        <f>(Table13[[#This Row],[Unit Price]]*Table13[[#This Row],[No.of Units]])*18%</f>
        <v>53784</v>
      </c>
      <c r="T967" s="22" t="s">
        <v>1508</v>
      </c>
    </row>
    <row r="968" spans="2:20" x14ac:dyDescent="0.3">
      <c r="B968" s="5" t="s">
        <v>924</v>
      </c>
      <c r="C968" s="1">
        <v>9980990</v>
      </c>
      <c r="D968" s="1">
        <v>34</v>
      </c>
      <c r="E968" s="1" t="s">
        <v>12</v>
      </c>
      <c r="F968" s="16">
        <v>45889</v>
      </c>
      <c r="G968" s="1" t="s">
        <v>1474</v>
      </c>
      <c r="H968" s="1" t="s">
        <v>1472</v>
      </c>
      <c r="I968" s="17" t="s">
        <v>1505</v>
      </c>
      <c r="J968" s="18" t="s">
        <v>23</v>
      </c>
      <c r="K968" s="19" t="s">
        <v>14</v>
      </c>
      <c r="L968" s="19" t="s">
        <v>15</v>
      </c>
      <c r="M968" s="20">
        <v>3</v>
      </c>
      <c r="N968" s="21">
        <v>84999</v>
      </c>
      <c r="O968" s="22">
        <v>12</v>
      </c>
      <c r="P968" s="23">
        <v>224397.36</v>
      </c>
      <c r="Q968" s="22">
        <v>4.5</v>
      </c>
      <c r="R968" s="22">
        <v>20</v>
      </c>
      <c r="S968" s="23">
        <f>(Table13[[#This Row],[Unit Price]]*Table13[[#This Row],[No.of Units]])*18%</f>
        <v>45899.46</v>
      </c>
      <c r="T968" s="22" t="s">
        <v>1508</v>
      </c>
    </row>
    <row r="969" spans="2:20" x14ac:dyDescent="0.3">
      <c r="B969" s="5" t="s">
        <v>925</v>
      </c>
      <c r="C969" s="1">
        <v>2826022</v>
      </c>
      <c r="D969" s="1">
        <v>41</v>
      </c>
      <c r="E969" s="1" t="s">
        <v>12</v>
      </c>
      <c r="F969" s="16">
        <v>45889</v>
      </c>
      <c r="G969" s="1" t="s">
        <v>1470</v>
      </c>
      <c r="H969" s="1" t="s">
        <v>1471</v>
      </c>
      <c r="I969" s="17" t="s">
        <v>1504</v>
      </c>
      <c r="J969" s="18" t="s">
        <v>25</v>
      </c>
      <c r="K969" s="19" t="s">
        <v>26</v>
      </c>
      <c r="L969" s="19" t="s">
        <v>15</v>
      </c>
      <c r="M969" s="20">
        <v>6</v>
      </c>
      <c r="N969" s="21">
        <v>69999</v>
      </c>
      <c r="O969" s="22">
        <v>8</v>
      </c>
      <c r="P969" s="23">
        <v>386394.48</v>
      </c>
      <c r="Q969" s="22">
        <v>4.8</v>
      </c>
      <c r="R969" s="22">
        <v>20</v>
      </c>
      <c r="S969" s="23">
        <f>(Table13[[#This Row],[Unit Price]]*Table13[[#This Row],[No.of Units]])*18%</f>
        <v>75598.92</v>
      </c>
      <c r="T969" s="22" t="s">
        <v>1508</v>
      </c>
    </row>
    <row r="970" spans="2:20" x14ac:dyDescent="0.3">
      <c r="B970" s="5" t="s">
        <v>926</v>
      </c>
      <c r="C970" s="1">
        <v>9556007</v>
      </c>
      <c r="D970" s="1">
        <v>21</v>
      </c>
      <c r="E970" s="1" t="s">
        <v>12</v>
      </c>
      <c r="F970" s="16">
        <v>45889</v>
      </c>
      <c r="G970" s="1" t="s">
        <v>1470</v>
      </c>
      <c r="H970" s="1" t="s">
        <v>1482</v>
      </c>
      <c r="I970" s="17" t="s">
        <v>1503</v>
      </c>
      <c r="J970" s="18" t="s">
        <v>28</v>
      </c>
      <c r="K970" s="19" t="s">
        <v>26</v>
      </c>
      <c r="L970" s="19" t="s">
        <v>15</v>
      </c>
      <c r="M970" s="20">
        <v>10</v>
      </c>
      <c r="N970" s="21">
        <v>42999</v>
      </c>
      <c r="O970" s="22">
        <v>15</v>
      </c>
      <c r="P970" s="23">
        <v>365491.5</v>
      </c>
      <c r="Q970" s="22">
        <v>4.5999999999999996</v>
      </c>
      <c r="R970" s="22">
        <v>20</v>
      </c>
      <c r="S970" s="23">
        <f>(Table13[[#This Row],[Unit Price]]*Table13[[#This Row],[No.of Units]])*18%</f>
        <v>77398.2</v>
      </c>
      <c r="T970" s="22" t="s">
        <v>1507</v>
      </c>
    </row>
    <row r="971" spans="2:20" x14ac:dyDescent="0.3">
      <c r="B971" s="5" t="s">
        <v>927</v>
      </c>
      <c r="C971" s="1">
        <v>7910008</v>
      </c>
      <c r="D971" s="1">
        <v>25</v>
      </c>
      <c r="E971" s="1" t="s">
        <v>12</v>
      </c>
      <c r="F971" s="16">
        <v>45889</v>
      </c>
      <c r="G971" s="1" t="s">
        <v>1470</v>
      </c>
      <c r="H971" s="1" t="s">
        <v>1483</v>
      </c>
      <c r="I971" s="17" t="s">
        <v>1502</v>
      </c>
      <c r="J971" s="18" t="s">
        <v>13</v>
      </c>
      <c r="K971" s="19" t="s">
        <v>14</v>
      </c>
      <c r="L971" s="19" t="s">
        <v>29</v>
      </c>
      <c r="M971" s="20">
        <v>3</v>
      </c>
      <c r="N971" s="21">
        <v>99999</v>
      </c>
      <c r="O971" s="22">
        <v>10</v>
      </c>
      <c r="P971" s="23">
        <v>269997.3</v>
      </c>
      <c r="Q971" s="22">
        <v>4.7</v>
      </c>
      <c r="R971" s="22">
        <v>20</v>
      </c>
      <c r="S971" s="23">
        <f>(Table13[[#This Row],[Unit Price]]*Table13[[#This Row],[No.of Units]])*18%</f>
        <v>53999.46</v>
      </c>
      <c r="T971" s="22" t="s">
        <v>1507</v>
      </c>
    </row>
    <row r="972" spans="2:20" x14ac:dyDescent="0.3">
      <c r="B972" s="5" t="s">
        <v>928</v>
      </c>
      <c r="C972" s="1">
        <v>3401875</v>
      </c>
      <c r="D972" s="1">
        <v>19</v>
      </c>
      <c r="E972" s="1" t="s">
        <v>34</v>
      </c>
      <c r="F972" s="16">
        <v>45889</v>
      </c>
      <c r="G972" s="1" t="s">
        <v>1470</v>
      </c>
      <c r="H972" s="1" t="s">
        <v>1482</v>
      </c>
      <c r="I972" s="17" t="s">
        <v>1503</v>
      </c>
      <c r="J972" s="18" t="s">
        <v>17</v>
      </c>
      <c r="K972" s="19" t="s">
        <v>18</v>
      </c>
      <c r="L972" s="19" t="s">
        <v>29</v>
      </c>
      <c r="M972" s="20">
        <v>46</v>
      </c>
      <c r="N972" s="21">
        <v>4999</v>
      </c>
      <c r="O972" s="22">
        <v>18</v>
      </c>
      <c r="P972" s="23">
        <v>188562.28</v>
      </c>
      <c r="Q972" s="22">
        <v>4.4000000000000004</v>
      </c>
      <c r="R972" s="22">
        <v>20</v>
      </c>
      <c r="S972" s="23">
        <f>(Table13[[#This Row],[Unit Price]]*Table13[[#This Row],[No.of Units]])*18%</f>
        <v>41391.72</v>
      </c>
      <c r="T972" s="22" t="s">
        <v>1508</v>
      </c>
    </row>
    <row r="973" spans="2:20" x14ac:dyDescent="0.3">
      <c r="B973" s="5" t="s">
        <v>929</v>
      </c>
      <c r="C973" s="1">
        <v>9281615</v>
      </c>
      <c r="D973" s="1">
        <v>52</v>
      </c>
      <c r="E973" s="1" t="s">
        <v>20</v>
      </c>
      <c r="F973" s="16">
        <v>45889</v>
      </c>
      <c r="G973" s="1" t="s">
        <v>1470</v>
      </c>
      <c r="H973" s="1" t="s">
        <v>1472</v>
      </c>
      <c r="I973" s="17" t="s">
        <v>1504</v>
      </c>
      <c r="J973" s="18" t="s">
        <v>21</v>
      </c>
      <c r="K973" s="19" t="s">
        <v>18</v>
      </c>
      <c r="L973" s="19" t="s">
        <v>29</v>
      </c>
      <c r="M973" s="20">
        <v>12</v>
      </c>
      <c r="N973" s="21">
        <v>24900</v>
      </c>
      <c r="O973" s="22">
        <v>5</v>
      </c>
      <c r="P973" s="23">
        <v>283860</v>
      </c>
      <c r="Q973" s="22">
        <v>4.8</v>
      </c>
      <c r="R973" s="22">
        <v>20</v>
      </c>
      <c r="S973" s="23">
        <f>(Table13[[#This Row],[Unit Price]]*Table13[[#This Row],[No.of Units]])*18%</f>
        <v>53784</v>
      </c>
      <c r="T973" s="22" t="s">
        <v>1508</v>
      </c>
    </row>
    <row r="974" spans="2:20" x14ac:dyDescent="0.3">
      <c r="B974" s="5" t="s">
        <v>930</v>
      </c>
      <c r="C974" s="1">
        <v>2556651</v>
      </c>
      <c r="D974" s="1">
        <v>43</v>
      </c>
      <c r="E974" s="1" t="s">
        <v>12</v>
      </c>
      <c r="F974" s="16">
        <v>45889</v>
      </c>
      <c r="G974" s="1" t="s">
        <v>1470</v>
      </c>
      <c r="H974" s="1" t="s">
        <v>1471</v>
      </c>
      <c r="I974" s="17" t="s">
        <v>1505</v>
      </c>
      <c r="J974" s="18" t="s">
        <v>23</v>
      </c>
      <c r="K974" s="19" t="s">
        <v>14</v>
      </c>
      <c r="L974" s="19" t="s">
        <v>29</v>
      </c>
      <c r="M974" s="20">
        <v>3</v>
      </c>
      <c r="N974" s="21">
        <v>84999</v>
      </c>
      <c r="O974" s="22">
        <v>12</v>
      </c>
      <c r="P974" s="23">
        <v>224397.36</v>
      </c>
      <c r="Q974" s="22">
        <v>4.5</v>
      </c>
      <c r="R974" s="22">
        <v>20</v>
      </c>
      <c r="S974" s="23">
        <f>(Table13[[#This Row],[Unit Price]]*Table13[[#This Row],[No.of Units]])*18%</f>
        <v>45899.46</v>
      </c>
      <c r="T974" s="22" t="s">
        <v>1508</v>
      </c>
    </row>
    <row r="975" spans="2:20" x14ac:dyDescent="0.3">
      <c r="B975" s="5" t="s">
        <v>931</v>
      </c>
      <c r="C975" s="1">
        <v>6980134</v>
      </c>
      <c r="D975" s="1">
        <v>39</v>
      </c>
      <c r="E975" s="1" t="s">
        <v>12</v>
      </c>
      <c r="F975" s="16">
        <v>45889</v>
      </c>
      <c r="G975" s="1" t="s">
        <v>1470</v>
      </c>
      <c r="H975" s="1" t="s">
        <v>1482</v>
      </c>
      <c r="I975" s="17" t="s">
        <v>1504</v>
      </c>
      <c r="J975" s="18" t="s">
        <v>25</v>
      </c>
      <c r="K975" s="19" t="s">
        <v>26</v>
      </c>
      <c r="L975" s="19" t="s">
        <v>29</v>
      </c>
      <c r="M975" s="20">
        <v>2</v>
      </c>
      <c r="N975" s="21">
        <v>69999</v>
      </c>
      <c r="O975" s="22">
        <v>8</v>
      </c>
      <c r="P975" s="23">
        <v>128798.16</v>
      </c>
      <c r="Q975" s="22">
        <v>4.8</v>
      </c>
      <c r="R975" s="22">
        <v>20</v>
      </c>
      <c r="S975" s="23">
        <f>(Table13[[#This Row],[Unit Price]]*Table13[[#This Row],[No.of Units]])*18%</f>
        <v>25199.64</v>
      </c>
      <c r="T975" s="22" t="s">
        <v>1508</v>
      </c>
    </row>
    <row r="976" spans="2:20" x14ac:dyDescent="0.3">
      <c r="B976" s="5" t="s">
        <v>932</v>
      </c>
      <c r="C976" s="1">
        <v>7043825</v>
      </c>
      <c r="D976" s="1">
        <v>21</v>
      </c>
      <c r="E976" s="1" t="s">
        <v>12</v>
      </c>
      <c r="F976" s="16">
        <v>45889</v>
      </c>
      <c r="G976" s="1" t="s">
        <v>1470</v>
      </c>
      <c r="H976" s="1" t="s">
        <v>1471</v>
      </c>
      <c r="I976" s="17" t="s">
        <v>1503</v>
      </c>
      <c r="J976" s="18" t="s">
        <v>28</v>
      </c>
      <c r="K976" s="19" t="s">
        <v>26</v>
      </c>
      <c r="L976" s="19" t="s">
        <v>29</v>
      </c>
      <c r="M976" s="20">
        <v>6</v>
      </c>
      <c r="N976" s="21">
        <v>42999</v>
      </c>
      <c r="O976" s="22">
        <v>15</v>
      </c>
      <c r="P976" s="23">
        <v>219294.9</v>
      </c>
      <c r="Q976" s="22">
        <v>4.5999999999999996</v>
      </c>
      <c r="R976" s="22">
        <v>20</v>
      </c>
      <c r="S976" s="23">
        <f>(Table13[[#This Row],[Unit Price]]*Table13[[#This Row],[No.of Units]])*18%</f>
        <v>46438.92</v>
      </c>
      <c r="T976" s="22" t="s">
        <v>1508</v>
      </c>
    </row>
    <row r="977" spans="2:20" x14ac:dyDescent="0.3">
      <c r="B977" s="5" t="s">
        <v>933</v>
      </c>
      <c r="C977" s="1">
        <v>9943161</v>
      </c>
      <c r="D977" s="1">
        <v>43</v>
      </c>
      <c r="E977" s="1" t="s">
        <v>12</v>
      </c>
      <c r="F977" s="16">
        <v>45889</v>
      </c>
      <c r="G977" s="1" t="s">
        <v>1470</v>
      </c>
      <c r="H977" s="1" t="s">
        <v>1471</v>
      </c>
      <c r="I977" s="17" t="s">
        <v>1502</v>
      </c>
      <c r="J977" s="18" t="s">
        <v>13</v>
      </c>
      <c r="K977" s="19" t="s">
        <v>14</v>
      </c>
      <c r="L977" s="19" t="s">
        <v>35</v>
      </c>
      <c r="M977" s="20">
        <v>3</v>
      </c>
      <c r="N977" s="21">
        <v>99999</v>
      </c>
      <c r="O977" s="22">
        <v>10</v>
      </c>
      <c r="P977" s="23">
        <v>269997.3</v>
      </c>
      <c r="Q977" s="22">
        <v>4.7</v>
      </c>
      <c r="R977" s="22">
        <v>20</v>
      </c>
      <c r="S977" s="23">
        <f>(Table13[[#This Row],[Unit Price]]*Table13[[#This Row],[No.of Units]])*18%</f>
        <v>53999.46</v>
      </c>
      <c r="T977" s="22" t="s">
        <v>1508</v>
      </c>
    </row>
    <row r="978" spans="2:20" x14ac:dyDescent="0.3">
      <c r="B978" s="5" t="s">
        <v>934</v>
      </c>
      <c r="C978" s="1">
        <v>6161501</v>
      </c>
      <c r="D978" s="1">
        <v>41</v>
      </c>
      <c r="E978" s="1" t="s">
        <v>12</v>
      </c>
      <c r="F978" s="16">
        <v>45889</v>
      </c>
      <c r="G978" s="1" t="s">
        <v>1470</v>
      </c>
      <c r="H978" s="1" t="s">
        <v>1481</v>
      </c>
      <c r="I978" s="17" t="s">
        <v>1503</v>
      </c>
      <c r="J978" s="18" t="s">
        <v>17</v>
      </c>
      <c r="K978" s="19" t="s">
        <v>18</v>
      </c>
      <c r="L978" s="19" t="s">
        <v>35</v>
      </c>
      <c r="M978" s="20">
        <v>35</v>
      </c>
      <c r="N978" s="21">
        <v>4999</v>
      </c>
      <c r="O978" s="22">
        <v>18</v>
      </c>
      <c r="P978" s="23">
        <v>143471.29999999999</v>
      </c>
      <c r="Q978" s="22">
        <v>4.4000000000000004</v>
      </c>
      <c r="R978" s="22">
        <v>20</v>
      </c>
      <c r="S978" s="23">
        <f>(Table13[[#This Row],[Unit Price]]*Table13[[#This Row],[No.of Units]])*18%</f>
        <v>31493.699999999997</v>
      </c>
      <c r="T978" s="22" t="s">
        <v>1507</v>
      </c>
    </row>
    <row r="979" spans="2:20" x14ac:dyDescent="0.3">
      <c r="B979" s="5" t="s">
        <v>935</v>
      </c>
      <c r="C979" s="1">
        <v>1800054</v>
      </c>
      <c r="D979" s="1">
        <v>27</v>
      </c>
      <c r="E979" s="1" t="s">
        <v>12</v>
      </c>
      <c r="F979" s="16">
        <v>45889</v>
      </c>
      <c r="G979" s="1" t="s">
        <v>1470</v>
      </c>
      <c r="H979" s="1" t="s">
        <v>1471</v>
      </c>
      <c r="I979" s="17" t="s">
        <v>1504</v>
      </c>
      <c r="J979" s="18" t="s">
        <v>21</v>
      </c>
      <c r="K979" s="19" t="s">
        <v>18</v>
      </c>
      <c r="L979" s="19" t="s">
        <v>35</v>
      </c>
      <c r="M979" s="20">
        <v>11</v>
      </c>
      <c r="N979" s="21">
        <v>24900</v>
      </c>
      <c r="O979" s="22">
        <v>5</v>
      </c>
      <c r="P979" s="23">
        <v>260205</v>
      </c>
      <c r="Q979" s="22">
        <v>4.8</v>
      </c>
      <c r="R979" s="22">
        <v>20</v>
      </c>
      <c r="S979" s="23">
        <f>(Table13[[#This Row],[Unit Price]]*Table13[[#This Row],[No.of Units]])*18%</f>
        <v>49302</v>
      </c>
      <c r="T979" s="22" t="s">
        <v>1508</v>
      </c>
    </row>
    <row r="980" spans="2:20" x14ac:dyDescent="0.3">
      <c r="B980" s="5" t="s">
        <v>936</v>
      </c>
      <c r="C980" s="1">
        <v>3817375</v>
      </c>
      <c r="D980" s="1">
        <v>22</v>
      </c>
      <c r="E980" s="1" t="s">
        <v>12</v>
      </c>
      <c r="F980" s="16">
        <v>45889</v>
      </c>
      <c r="G980" s="1" t="s">
        <v>1470</v>
      </c>
      <c r="H980" s="1" t="s">
        <v>1471</v>
      </c>
      <c r="I980" s="17" t="s">
        <v>1505</v>
      </c>
      <c r="J980" s="18" t="s">
        <v>23</v>
      </c>
      <c r="K980" s="19" t="s">
        <v>14</v>
      </c>
      <c r="L980" s="19" t="s">
        <v>35</v>
      </c>
      <c r="M980" s="20">
        <v>2</v>
      </c>
      <c r="N980" s="21">
        <v>84999</v>
      </c>
      <c r="O980" s="22">
        <v>12</v>
      </c>
      <c r="P980" s="23">
        <v>149598.24</v>
      </c>
      <c r="Q980" s="22">
        <v>4.5</v>
      </c>
      <c r="R980" s="22">
        <v>20</v>
      </c>
      <c r="S980" s="23">
        <f>(Table13[[#This Row],[Unit Price]]*Table13[[#This Row],[No.of Units]])*18%</f>
        <v>30599.64</v>
      </c>
      <c r="T980" s="22" t="s">
        <v>1508</v>
      </c>
    </row>
    <row r="981" spans="2:20" x14ac:dyDescent="0.3">
      <c r="B981" s="5" t="s">
        <v>937</v>
      </c>
      <c r="C981" s="1">
        <v>8094337</v>
      </c>
      <c r="D981" s="1">
        <v>57</v>
      </c>
      <c r="E981" s="1" t="s">
        <v>20</v>
      </c>
      <c r="F981" s="16">
        <v>45889</v>
      </c>
      <c r="G981" s="1" t="s">
        <v>1470</v>
      </c>
      <c r="H981" s="1" t="s">
        <v>1480</v>
      </c>
      <c r="I981" s="17" t="s">
        <v>1504</v>
      </c>
      <c r="J981" s="18" t="s">
        <v>25</v>
      </c>
      <c r="K981" s="19" t="s">
        <v>26</v>
      </c>
      <c r="L981" s="19" t="s">
        <v>35</v>
      </c>
      <c r="M981" s="20">
        <v>4</v>
      </c>
      <c r="N981" s="21">
        <v>69999</v>
      </c>
      <c r="O981" s="22">
        <v>8</v>
      </c>
      <c r="P981" s="23">
        <v>257596.32</v>
      </c>
      <c r="Q981" s="22">
        <v>4.8</v>
      </c>
      <c r="R981" s="22">
        <v>20</v>
      </c>
      <c r="S981" s="23">
        <f>(Table13[[#This Row],[Unit Price]]*Table13[[#This Row],[No.of Units]])*18%</f>
        <v>50399.28</v>
      </c>
      <c r="T981" s="22" t="s">
        <v>1507</v>
      </c>
    </row>
    <row r="982" spans="2:20" x14ac:dyDescent="0.3">
      <c r="B982" s="5" t="s">
        <v>938</v>
      </c>
      <c r="C982" s="1">
        <v>409481</v>
      </c>
      <c r="D982" s="1">
        <v>32</v>
      </c>
      <c r="E982" s="1" t="s">
        <v>12</v>
      </c>
      <c r="F982" s="16">
        <v>45889</v>
      </c>
      <c r="G982" s="1" t="s">
        <v>1470</v>
      </c>
      <c r="H982" s="1" t="s">
        <v>1482</v>
      </c>
      <c r="I982" s="17" t="s">
        <v>1503</v>
      </c>
      <c r="J982" s="18" t="s">
        <v>28</v>
      </c>
      <c r="K982" s="19" t="s">
        <v>26</v>
      </c>
      <c r="L982" s="19" t="s">
        <v>35</v>
      </c>
      <c r="M982" s="20">
        <v>4</v>
      </c>
      <c r="N982" s="21">
        <v>42999</v>
      </c>
      <c r="O982" s="22">
        <v>15</v>
      </c>
      <c r="P982" s="23">
        <v>146196.6</v>
      </c>
      <c r="Q982" s="22">
        <v>4.5999999999999996</v>
      </c>
      <c r="R982" s="22">
        <v>20</v>
      </c>
      <c r="S982" s="23">
        <f>(Table13[[#This Row],[Unit Price]]*Table13[[#This Row],[No.of Units]])*18%</f>
        <v>30959.279999999999</v>
      </c>
      <c r="T982" s="22" t="s">
        <v>1508</v>
      </c>
    </row>
    <row r="983" spans="2:20" x14ac:dyDescent="0.3">
      <c r="B983" s="5" t="s">
        <v>939</v>
      </c>
      <c r="C983" s="1">
        <v>5631828</v>
      </c>
      <c r="D983" s="1">
        <v>44</v>
      </c>
      <c r="E983" s="1" t="s">
        <v>12</v>
      </c>
      <c r="F983" s="16">
        <v>45889</v>
      </c>
      <c r="G983" s="1" t="s">
        <v>1470</v>
      </c>
      <c r="H983" s="1" t="s">
        <v>1482</v>
      </c>
      <c r="I983" s="17" t="s">
        <v>1502</v>
      </c>
      <c r="J983" s="18" t="s">
        <v>13</v>
      </c>
      <c r="K983" s="19" t="s">
        <v>14</v>
      </c>
      <c r="L983" s="19" t="s">
        <v>42</v>
      </c>
      <c r="M983" s="20">
        <v>6</v>
      </c>
      <c r="N983" s="21">
        <v>99999</v>
      </c>
      <c r="O983" s="22">
        <v>10</v>
      </c>
      <c r="P983" s="23">
        <v>539994.6</v>
      </c>
      <c r="Q983" s="22">
        <v>4.7</v>
      </c>
      <c r="R983" s="22">
        <v>20</v>
      </c>
      <c r="S983" s="23">
        <f>(Table13[[#This Row],[Unit Price]]*Table13[[#This Row],[No.of Units]])*18%</f>
        <v>107998.92</v>
      </c>
      <c r="T983" s="22" t="s">
        <v>1507</v>
      </c>
    </row>
    <row r="984" spans="2:20" x14ac:dyDescent="0.3">
      <c r="B984" s="5" t="s">
        <v>940</v>
      </c>
      <c r="C984" s="1">
        <v>4300105</v>
      </c>
      <c r="D984" s="1">
        <v>54</v>
      </c>
      <c r="E984" s="1" t="s">
        <v>20</v>
      </c>
      <c r="F984" s="16">
        <v>45889</v>
      </c>
      <c r="G984" s="1" t="s">
        <v>1470</v>
      </c>
      <c r="H984" s="1" t="s">
        <v>1472</v>
      </c>
      <c r="I984" s="17" t="s">
        <v>1503</v>
      </c>
      <c r="J984" s="18" t="s">
        <v>17</v>
      </c>
      <c r="K984" s="19" t="s">
        <v>18</v>
      </c>
      <c r="L984" s="19" t="s">
        <v>42</v>
      </c>
      <c r="M984" s="20">
        <v>46</v>
      </c>
      <c r="N984" s="21">
        <v>4999</v>
      </c>
      <c r="O984" s="22">
        <v>18</v>
      </c>
      <c r="P984" s="23">
        <v>188562.28</v>
      </c>
      <c r="Q984" s="22">
        <v>4.4000000000000004</v>
      </c>
      <c r="R984" s="22">
        <v>20</v>
      </c>
      <c r="S984" s="23">
        <f>(Table13[[#This Row],[Unit Price]]*Table13[[#This Row],[No.of Units]])*18%</f>
        <v>41391.72</v>
      </c>
      <c r="T984" s="22" t="s">
        <v>1508</v>
      </c>
    </row>
    <row r="985" spans="2:20" x14ac:dyDescent="0.3">
      <c r="B985" s="5" t="s">
        <v>941</v>
      </c>
      <c r="C985" s="1">
        <v>2276792</v>
      </c>
      <c r="D985" s="1">
        <v>77</v>
      </c>
      <c r="E985" s="1" t="s">
        <v>20</v>
      </c>
      <c r="F985" s="16">
        <v>45889</v>
      </c>
      <c r="G985" s="1" t="s">
        <v>1470</v>
      </c>
      <c r="H985" s="1" t="s">
        <v>1472</v>
      </c>
      <c r="I985" s="17" t="s">
        <v>1504</v>
      </c>
      <c r="J985" s="18" t="s">
        <v>21</v>
      </c>
      <c r="K985" s="19" t="s">
        <v>18</v>
      </c>
      <c r="L985" s="19" t="s">
        <v>42</v>
      </c>
      <c r="M985" s="20">
        <v>7</v>
      </c>
      <c r="N985" s="21">
        <v>24900</v>
      </c>
      <c r="O985" s="22">
        <v>5</v>
      </c>
      <c r="P985" s="23">
        <v>165585</v>
      </c>
      <c r="Q985" s="22">
        <v>4.8</v>
      </c>
      <c r="R985" s="22">
        <v>20</v>
      </c>
      <c r="S985" s="23">
        <f>(Table13[[#This Row],[Unit Price]]*Table13[[#This Row],[No.of Units]])*18%</f>
        <v>31374</v>
      </c>
      <c r="T985" s="22" t="s">
        <v>1508</v>
      </c>
    </row>
    <row r="986" spans="2:20" x14ac:dyDescent="0.3">
      <c r="B986" s="5" t="s">
        <v>942</v>
      </c>
      <c r="C986" s="1">
        <v>5665972</v>
      </c>
      <c r="D986" s="1">
        <v>22</v>
      </c>
      <c r="E986" s="1" t="s">
        <v>12</v>
      </c>
      <c r="F986" s="16">
        <v>45889</v>
      </c>
      <c r="G986" s="1" t="s">
        <v>1470</v>
      </c>
      <c r="H986" s="1" t="s">
        <v>1482</v>
      </c>
      <c r="I986" s="17" t="s">
        <v>1505</v>
      </c>
      <c r="J986" s="18" t="s">
        <v>23</v>
      </c>
      <c r="K986" s="19" t="s">
        <v>14</v>
      </c>
      <c r="L986" s="19" t="s">
        <v>42</v>
      </c>
      <c r="M986" s="20">
        <v>5</v>
      </c>
      <c r="N986" s="21">
        <v>84999</v>
      </c>
      <c r="O986" s="22">
        <v>12</v>
      </c>
      <c r="P986" s="23">
        <v>373995.6</v>
      </c>
      <c r="Q986" s="22">
        <v>4.5</v>
      </c>
      <c r="R986" s="22">
        <v>20</v>
      </c>
      <c r="S986" s="23">
        <f>(Table13[[#This Row],[Unit Price]]*Table13[[#This Row],[No.of Units]])*18%</f>
        <v>76499.099999999991</v>
      </c>
      <c r="T986" s="22" t="s">
        <v>1508</v>
      </c>
    </row>
    <row r="987" spans="2:20" x14ac:dyDescent="0.3">
      <c r="B987" s="5" t="s">
        <v>943</v>
      </c>
      <c r="C987" s="1">
        <v>9452126</v>
      </c>
      <c r="D987" s="1">
        <v>21</v>
      </c>
      <c r="E987" s="1" t="s">
        <v>12</v>
      </c>
      <c r="F987" s="16">
        <v>45889</v>
      </c>
      <c r="G987" s="1" t="s">
        <v>1470</v>
      </c>
      <c r="H987" s="1" t="s">
        <v>1483</v>
      </c>
      <c r="I987" s="17" t="s">
        <v>1504</v>
      </c>
      <c r="J987" s="18" t="s">
        <v>25</v>
      </c>
      <c r="K987" s="19" t="s">
        <v>26</v>
      </c>
      <c r="L987" s="19" t="s">
        <v>42</v>
      </c>
      <c r="M987" s="20">
        <v>2</v>
      </c>
      <c r="N987" s="21">
        <v>69999</v>
      </c>
      <c r="O987" s="22">
        <v>8</v>
      </c>
      <c r="P987" s="23">
        <v>128798.16</v>
      </c>
      <c r="Q987" s="22">
        <v>4.8</v>
      </c>
      <c r="R987" s="22">
        <v>20</v>
      </c>
      <c r="S987" s="23">
        <f>(Table13[[#This Row],[Unit Price]]*Table13[[#This Row],[No.of Units]])*18%</f>
        <v>25199.64</v>
      </c>
      <c r="T987" s="22" t="s">
        <v>1508</v>
      </c>
    </row>
    <row r="988" spans="2:20" x14ac:dyDescent="0.3">
      <c r="B988" s="5" t="s">
        <v>944</v>
      </c>
      <c r="C988" s="1">
        <v>103546</v>
      </c>
      <c r="D988" s="1">
        <v>47</v>
      </c>
      <c r="E988" s="1" t="s">
        <v>12</v>
      </c>
      <c r="F988" s="16">
        <v>45889</v>
      </c>
      <c r="G988" s="1" t="s">
        <v>1470</v>
      </c>
      <c r="H988" s="1" t="s">
        <v>1483</v>
      </c>
      <c r="I988" s="17" t="s">
        <v>1503</v>
      </c>
      <c r="J988" s="18" t="s">
        <v>28</v>
      </c>
      <c r="K988" s="19" t="s">
        <v>26</v>
      </c>
      <c r="L988" s="19" t="s">
        <v>42</v>
      </c>
      <c r="M988" s="20">
        <v>5</v>
      </c>
      <c r="N988" s="21">
        <v>42999</v>
      </c>
      <c r="O988" s="22">
        <v>15</v>
      </c>
      <c r="P988" s="23">
        <v>182745.75</v>
      </c>
      <c r="Q988" s="22">
        <v>4.5999999999999996</v>
      </c>
      <c r="R988" s="22">
        <v>20</v>
      </c>
      <c r="S988" s="23">
        <f>(Table13[[#This Row],[Unit Price]]*Table13[[#This Row],[No.of Units]])*18%</f>
        <v>38699.1</v>
      </c>
      <c r="T988" s="22" t="s">
        <v>1508</v>
      </c>
    </row>
    <row r="989" spans="2:20" x14ac:dyDescent="0.3">
      <c r="B989" s="5" t="s">
        <v>945</v>
      </c>
      <c r="C989" s="1">
        <v>2218153</v>
      </c>
      <c r="D989" s="1">
        <v>44</v>
      </c>
      <c r="E989" s="1" t="s">
        <v>12</v>
      </c>
      <c r="F989" s="16">
        <v>45889</v>
      </c>
      <c r="G989" s="1" t="s">
        <v>1470</v>
      </c>
      <c r="H989" s="1" t="s">
        <v>1471</v>
      </c>
      <c r="I989" s="17" t="s">
        <v>1502</v>
      </c>
      <c r="J989" s="18" t="s">
        <v>13</v>
      </c>
      <c r="K989" s="19" t="s">
        <v>14</v>
      </c>
      <c r="L989" s="19" t="s">
        <v>49</v>
      </c>
      <c r="M989" s="20">
        <v>4</v>
      </c>
      <c r="N989" s="21">
        <v>99999</v>
      </c>
      <c r="O989" s="22">
        <v>10</v>
      </c>
      <c r="P989" s="23">
        <v>359996.4</v>
      </c>
      <c r="Q989" s="22">
        <v>4.7</v>
      </c>
      <c r="R989" s="22">
        <v>20</v>
      </c>
      <c r="S989" s="23">
        <f>(Table13[[#This Row],[Unit Price]]*Table13[[#This Row],[No.of Units]])*18%</f>
        <v>71999.28</v>
      </c>
      <c r="T989" s="22" t="s">
        <v>1508</v>
      </c>
    </row>
    <row r="990" spans="2:20" x14ac:dyDescent="0.3">
      <c r="B990" s="5" t="s">
        <v>946</v>
      </c>
      <c r="C990" s="1">
        <v>7470771</v>
      </c>
      <c r="D990" s="1">
        <v>36</v>
      </c>
      <c r="E990" s="1" t="s">
        <v>12</v>
      </c>
      <c r="F990" s="16">
        <v>45889</v>
      </c>
      <c r="G990" s="1" t="s">
        <v>1470</v>
      </c>
      <c r="H990" s="1" t="s">
        <v>1472</v>
      </c>
      <c r="I990" s="17" t="s">
        <v>1503</v>
      </c>
      <c r="J990" s="18" t="s">
        <v>17</v>
      </c>
      <c r="K990" s="19" t="s">
        <v>18</v>
      </c>
      <c r="L990" s="19" t="s">
        <v>49</v>
      </c>
      <c r="M990" s="20">
        <v>47</v>
      </c>
      <c r="N990" s="21">
        <v>4999</v>
      </c>
      <c r="O990" s="22">
        <v>18</v>
      </c>
      <c r="P990" s="23">
        <v>192661.46</v>
      </c>
      <c r="Q990" s="22">
        <v>4.4000000000000004</v>
      </c>
      <c r="R990" s="22">
        <v>20</v>
      </c>
      <c r="S990" s="23">
        <f>(Table13[[#This Row],[Unit Price]]*Table13[[#This Row],[No.of Units]])*18%</f>
        <v>42291.54</v>
      </c>
      <c r="T990" s="22" t="s">
        <v>1507</v>
      </c>
    </row>
    <row r="991" spans="2:20" x14ac:dyDescent="0.3">
      <c r="B991" s="5" t="s">
        <v>947</v>
      </c>
      <c r="C991" s="1">
        <v>8008371</v>
      </c>
      <c r="D991" s="1">
        <v>63</v>
      </c>
      <c r="E991" s="1" t="s">
        <v>20</v>
      </c>
      <c r="F991" s="16">
        <v>45889</v>
      </c>
      <c r="G991" s="1" t="s">
        <v>1470</v>
      </c>
      <c r="H991" s="1" t="s">
        <v>1480</v>
      </c>
      <c r="I991" s="17" t="s">
        <v>1504</v>
      </c>
      <c r="J991" s="18" t="s">
        <v>21</v>
      </c>
      <c r="K991" s="19" t="s">
        <v>18</v>
      </c>
      <c r="L991" s="19" t="s">
        <v>49</v>
      </c>
      <c r="M991" s="20">
        <v>12</v>
      </c>
      <c r="N991" s="21">
        <v>24900</v>
      </c>
      <c r="O991" s="22">
        <v>5</v>
      </c>
      <c r="P991" s="23">
        <v>283860</v>
      </c>
      <c r="Q991" s="22">
        <v>4.8</v>
      </c>
      <c r="R991" s="22">
        <v>20</v>
      </c>
      <c r="S991" s="23">
        <f>(Table13[[#This Row],[Unit Price]]*Table13[[#This Row],[No.of Units]])*18%</f>
        <v>53784</v>
      </c>
      <c r="T991" s="22" t="s">
        <v>1508</v>
      </c>
    </row>
    <row r="992" spans="2:20" x14ac:dyDescent="0.3">
      <c r="B992" s="5" t="s">
        <v>948</v>
      </c>
      <c r="C992" s="1">
        <v>5525005</v>
      </c>
      <c r="D992" s="1">
        <v>44</v>
      </c>
      <c r="E992" s="1" t="s">
        <v>12</v>
      </c>
      <c r="F992" s="16">
        <v>45889</v>
      </c>
      <c r="G992" s="1" t="s">
        <v>1470</v>
      </c>
      <c r="H992" s="1" t="s">
        <v>1471</v>
      </c>
      <c r="I992" s="17" t="s">
        <v>1505</v>
      </c>
      <c r="J992" s="18" t="s">
        <v>23</v>
      </c>
      <c r="K992" s="19" t="s">
        <v>14</v>
      </c>
      <c r="L992" s="19" t="s">
        <v>49</v>
      </c>
      <c r="M992" s="20">
        <v>3</v>
      </c>
      <c r="N992" s="21">
        <v>84999</v>
      </c>
      <c r="O992" s="22">
        <v>12</v>
      </c>
      <c r="P992" s="23">
        <v>224397.36</v>
      </c>
      <c r="Q992" s="22">
        <v>4.5</v>
      </c>
      <c r="R992" s="22">
        <v>20</v>
      </c>
      <c r="S992" s="23">
        <f>(Table13[[#This Row],[Unit Price]]*Table13[[#This Row],[No.of Units]])*18%</f>
        <v>45899.46</v>
      </c>
      <c r="T992" s="22" t="s">
        <v>1508</v>
      </c>
    </row>
    <row r="993" spans="2:20" x14ac:dyDescent="0.3">
      <c r="B993" s="5" t="s">
        <v>949</v>
      </c>
      <c r="C993" s="1">
        <v>6713711</v>
      </c>
      <c r="D993" s="1">
        <v>26</v>
      </c>
      <c r="E993" s="1" t="s">
        <v>12</v>
      </c>
      <c r="F993" s="16">
        <v>45889</v>
      </c>
      <c r="G993" s="1" t="s">
        <v>1470</v>
      </c>
      <c r="H993" s="1" t="s">
        <v>1472</v>
      </c>
      <c r="I993" s="17" t="s">
        <v>1504</v>
      </c>
      <c r="J993" s="18" t="s">
        <v>25</v>
      </c>
      <c r="K993" s="19" t="s">
        <v>26</v>
      </c>
      <c r="L993" s="19" t="s">
        <v>49</v>
      </c>
      <c r="M993" s="20">
        <v>3</v>
      </c>
      <c r="N993" s="21">
        <v>69999</v>
      </c>
      <c r="O993" s="22">
        <v>8</v>
      </c>
      <c r="P993" s="23">
        <v>193197.24</v>
      </c>
      <c r="Q993" s="22">
        <v>4.8</v>
      </c>
      <c r="R993" s="22">
        <v>20</v>
      </c>
      <c r="S993" s="23">
        <f>(Table13[[#This Row],[Unit Price]]*Table13[[#This Row],[No.of Units]])*18%</f>
        <v>37799.46</v>
      </c>
      <c r="T993" s="22" t="s">
        <v>1508</v>
      </c>
    </row>
    <row r="994" spans="2:20" x14ac:dyDescent="0.3">
      <c r="B994" s="5" t="s">
        <v>950</v>
      </c>
      <c r="C994" s="1">
        <v>3459640</v>
      </c>
      <c r="D994" s="1">
        <v>22</v>
      </c>
      <c r="E994" s="1" t="s">
        <v>12</v>
      </c>
      <c r="F994" s="16">
        <v>45889</v>
      </c>
      <c r="G994" s="1" t="s">
        <v>1470</v>
      </c>
      <c r="H994" s="1" t="s">
        <v>1471</v>
      </c>
      <c r="I994" s="17" t="s">
        <v>1503</v>
      </c>
      <c r="J994" s="18" t="s">
        <v>28</v>
      </c>
      <c r="K994" s="19" t="s">
        <v>26</v>
      </c>
      <c r="L994" s="19" t="s">
        <v>49</v>
      </c>
      <c r="M994" s="20">
        <v>6</v>
      </c>
      <c r="N994" s="21">
        <v>42999</v>
      </c>
      <c r="O994" s="22">
        <v>15</v>
      </c>
      <c r="P994" s="23">
        <v>219294.9</v>
      </c>
      <c r="Q994" s="22">
        <v>4.5999999999999996</v>
      </c>
      <c r="R994" s="22">
        <v>20</v>
      </c>
      <c r="S994" s="23">
        <f>(Table13[[#This Row],[Unit Price]]*Table13[[#This Row],[No.of Units]])*18%</f>
        <v>46438.92</v>
      </c>
      <c r="T994" s="22" t="s">
        <v>1508</v>
      </c>
    </row>
    <row r="995" spans="2:20" x14ac:dyDescent="0.3">
      <c r="B995" s="5" t="s">
        <v>951</v>
      </c>
      <c r="C995" s="1">
        <v>1139880</v>
      </c>
      <c r="D995" s="1">
        <v>46</v>
      </c>
      <c r="E995" s="1" t="s">
        <v>12</v>
      </c>
      <c r="F995" s="16">
        <v>45896</v>
      </c>
      <c r="G995" s="1" t="s">
        <v>1470</v>
      </c>
      <c r="H995" s="1" t="s">
        <v>1471</v>
      </c>
      <c r="I995" s="17" t="s">
        <v>1502</v>
      </c>
      <c r="J995" s="18" t="s">
        <v>13</v>
      </c>
      <c r="K995" s="19" t="s">
        <v>14</v>
      </c>
      <c r="L995" s="19" t="s">
        <v>15</v>
      </c>
      <c r="M995" s="20">
        <v>4</v>
      </c>
      <c r="N995" s="21">
        <v>99999</v>
      </c>
      <c r="O995" s="22">
        <v>10</v>
      </c>
      <c r="P995" s="23">
        <v>359996.4</v>
      </c>
      <c r="Q995" s="22">
        <v>4.7</v>
      </c>
      <c r="R995" s="22">
        <v>20</v>
      </c>
      <c r="S995" s="23">
        <f>(Table13[[#This Row],[Unit Price]]*Table13[[#This Row],[No.of Units]])*18%</f>
        <v>71999.28</v>
      </c>
      <c r="T995" s="22" t="s">
        <v>1507</v>
      </c>
    </row>
    <row r="996" spans="2:20" x14ac:dyDescent="0.3">
      <c r="B996" s="5" t="s">
        <v>952</v>
      </c>
      <c r="C996" s="1">
        <v>2147768</v>
      </c>
      <c r="D996" s="1">
        <v>24</v>
      </c>
      <c r="E996" s="1" t="s">
        <v>12</v>
      </c>
      <c r="F996" s="16">
        <v>45896</v>
      </c>
      <c r="G996" s="1" t="s">
        <v>1470</v>
      </c>
      <c r="H996" s="1" t="s">
        <v>1471</v>
      </c>
      <c r="I996" s="17" t="s">
        <v>1503</v>
      </c>
      <c r="J996" s="18" t="s">
        <v>17</v>
      </c>
      <c r="K996" s="19" t="s">
        <v>18</v>
      </c>
      <c r="L996" s="19" t="s">
        <v>15</v>
      </c>
      <c r="M996" s="20">
        <v>44</v>
      </c>
      <c r="N996" s="21">
        <v>4999</v>
      </c>
      <c r="O996" s="22">
        <v>18</v>
      </c>
      <c r="P996" s="23">
        <v>180363.91999999998</v>
      </c>
      <c r="Q996" s="22">
        <v>4.4000000000000004</v>
      </c>
      <c r="R996" s="22">
        <v>20</v>
      </c>
      <c r="S996" s="23">
        <f>(Table13[[#This Row],[Unit Price]]*Table13[[#This Row],[No.of Units]])*18%</f>
        <v>39592.080000000002</v>
      </c>
      <c r="T996" s="22" t="s">
        <v>1508</v>
      </c>
    </row>
    <row r="997" spans="2:20" x14ac:dyDescent="0.3">
      <c r="B997" s="5" t="s">
        <v>953</v>
      </c>
      <c r="C997" s="1">
        <v>1713962</v>
      </c>
      <c r="D997" s="1">
        <v>32</v>
      </c>
      <c r="E997" s="1" t="s">
        <v>12</v>
      </c>
      <c r="F997" s="16">
        <v>45896</v>
      </c>
      <c r="G997" s="1" t="s">
        <v>1470</v>
      </c>
      <c r="H997" s="1" t="s">
        <v>1472</v>
      </c>
      <c r="I997" s="17" t="s">
        <v>1504</v>
      </c>
      <c r="J997" s="18" t="s">
        <v>21</v>
      </c>
      <c r="K997" s="19" t="s">
        <v>18</v>
      </c>
      <c r="L997" s="19" t="s">
        <v>15</v>
      </c>
      <c r="M997" s="20">
        <v>9</v>
      </c>
      <c r="N997" s="21">
        <v>24900</v>
      </c>
      <c r="O997" s="22">
        <v>5</v>
      </c>
      <c r="P997" s="23">
        <v>212895</v>
      </c>
      <c r="Q997" s="22">
        <v>4.8</v>
      </c>
      <c r="R997" s="22">
        <v>20</v>
      </c>
      <c r="S997" s="23">
        <f>(Table13[[#This Row],[Unit Price]]*Table13[[#This Row],[No.of Units]])*18%</f>
        <v>40338</v>
      </c>
      <c r="T997" s="22" t="s">
        <v>1508</v>
      </c>
    </row>
    <row r="998" spans="2:20" x14ac:dyDescent="0.3">
      <c r="B998" s="5" t="s">
        <v>954</v>
      </c>
      <c r="C998" s="1">
        <v>2775921</v>
      </c>
      <c r="D998" s="1">
        <v>32</v>
      </c>
      <c r="E998" s="1" t="s">
        <v>12</v>
      </c>
      <c r="F998" s="16">
        <v>45896</v>
      </c>
      <c r="G998" s="1" t="s">
        <v>1470</v>
      </c>
      <c r="H998" s="1" t="s">
        <v>1471</v>
      </c>
      <c r="I998" s="17" t="s">
        <v>1505</v>
      </c>
      <c r="J998" s="18" t="s">
        <v>23</v>
      </c>
      <c r="K998" s="19" t="s">
        <v>14</v>
      </c>
      <c r="L998" s="19" t="s">
        <v>15</v>
      </c>
      <c r="M998" s="20">
        <v>4</v>
      </c>
      <c r="N998" s="21">
        <v>84999</v>
      </c>
      <c r="O998" s="22">
        <v>12</v>
      </c>
      <c r="P998" s="23">
        <v>299196.48</v>
      </c>
      <c r="Q998" s="22">
        <v>4.5</v>
      </c>
      <c r="R998" s="22">
        <v>20</v>
      </c>
      <c r="S998" s="23">
        <f>(Table13[[#This Row],[Unit Price]]*Table13[[#This Row],[No.of Units]])*18%</f>
        <v>61199.28</v>
      </c>
      <c r="T998" s="22" t="s">
        <v>1508</v>
      </c>
    </row>
    <row r="999" spans="2:20" x14ac:dyDescent="0.3">
      <c r="B999" s="5" t="s">
        <v>955</v>
      </c>
      <c r="C999" s="1">
        <v>6729877</v>
      </c>
      <c r="D999" s="1">
        <v>72</v>
      </c>
      <c r="E999" s="1" t="s">
        <v>20</v>
      </c>
      <c r="F999" s="16">
        <v>45896</v>
      </c>
      <c r="G999" s="1" t="s">
        <v>1470</v>
      </c>
      <c r="H999" s="1" t="s">
        <v>1482</v>
      </c>
      <c r="I999" s="17" t="s">
        <v>1504</v>
      </c>
      <c r="J999" s="18" t="s">
        <v>25</v>
      </c>
      <c r="K999" s="19" t="s">
        <v>26</v>
      </c>
      <c r="L999" s="19" t="s">
        <v>15</v>
      </c>
      <c r="M999" s="20">
        <v>5</v>
      </c>
      <c r="N999" s="21">
        <v>69999</v>
      </c>
      <c r="O999" s="22">
        <v>8</v>
      </c>
      <c r="P999" s="23">
        <v>321995.40000000002</v>
      </c>
      <c r="Q999" s="22">
        <v>4.8</v>
      </c>
      <c r="R999" s="22">
        <v>20</v>
      </c>
      <c r="S999" s="23">
        <f>(Table13[[#This Row],[Unit Price]]*Table13[[#This Row],[No.of Units]])*18%</f>
        <v>62999.1</v>
      </c>
      <c r="T999" s="22" t="s">
        <v>1507</v>
      </c>
    </row>
    <row r="1000" spans="2:20" x14ac:dyDescent="0.3">
      <c r="B1000" s="5" t="s">
        <v>956</v>
      </c>
      <c r="C1000" s="1">
        <v>7452370</v>
      </c>
      <c r="D1000" s="1">
        <v>32</v>
      </c>
      <c r="E1000" s="1" t="s">
        <v>12</v>
      </c>
      <c r="F1000" s="16">
        <v>45896</v>
      </c>
      <c r="G1000" s="1" t="s">
        <v>1470</v>
      </c>
      <c r="H1000" s="1" t="s">
        <v>1472</v>
      </c>
      <c r="I1000" s="17" t="s">
        <v>1503</v>
      </c>
      <c r="J1000" s="18" t="s">
        <v>28</v>
      </c>
      <c r="K1000" s="19" t="s">
        <v>26</v>
      </c>
      <c r="L1000" s="19" t="s">
        <v>15</v>
      </c>
      <c r="M1000" s="20">
        <v>10</v>
      </c>
      <c r="N1000" s="21">
        <v>42999</v>
      </c>
      <c r="O1000" s="22">
        <v>15</v>
      </c>
      <c r="P1000" s="23">
        <v>365491.5</v>
      </c>
      <c r="Q1000" s="22">
        <v>4.5999999999999996</v>
      </c>
      <c r="R1000" s="22">
        <v>20</v>
      </c>
      <c r="S1000" s="23">
        <f>(Table13[[#This Row],[Unit Price]]*Table13[[#This Row],[No.of Units]])*18%</f>
        <v>77398.2</v>
      </c>
      <c r="T1000" s="22" t="s">
        <v>1508</v>
      </c>
    </row>
    <row r="1001" spans="2:20" x14ac:dyDescent="0.3">
      <c r="B1001" s="5" t="s">
        <v>957</v>
      </c>
      <c r="C1001" s="1">
        <v>4610802</v>
      </c>
      <c r="D1001" s="1">
        <v>31</v>
      </c>
      <c r="E1001" s="1" t="s">
        <v>12</v>
      </c>
      <c r="F1001" s="16">
        <v>45896</v>
      </c>
      <c r="G1001" s="1" t="s">
        <v>1475</v>
      </c>
      <c r="H1001" s="1" t="s">
        <v>1471</v>
      </c>
      <c r="I1001" s="17" t="s">
        <v>1502</v>
      </c>
      <c r="J1001" s="18" t="s">
        <v>13</v>
      </c>
      <c r="K1001" s="19" t="s">
        <v>14</v>
      </c>
      <c r="L1001" s="19" t="s">
        <v>29</v>
      </c>
      <c r="M1001" s="20">
        <v>3</v>
      </c>
      <c r="N1001" s="21">
        <v>99999</v>
      </c>
      <c r="O1001" s="22">
        <v>10</v>
      </c>
      <c r="P1001" s="23">
        <v>269997.3</v>
      </c>
      <c r="Q1001" s="22">
        <v>4.7</v>
      </c>
      <c r="R1001" s="22">
        <v>20</v>
      </c>
      <c r="S1001" s="23">
        <f>(Table13[[#This Row],[Unit Price]]*Table13[[#This Row],[No.of Units]])*18%</f>
        <v>53999.46</v>
      </c>
      <c r="T1001" s="22" t="s">
        <v>1507</v>
      </c>
    </row>
    <row r="1002" spans="2:20" x14ac:dyDescent="0.3">
      <c r="B1002" s="5" t="s">
        <v>958</v>
      </c>
      <c r="C1002" s="1">
        <v>8201411</v>
      </c>
      <c r="D1002" s="1">
        <v>22</v>
      </c>
      <c r="E1002" s="1" t="s">
        <v>12</v>
      </c>
      <c r="F1002" s="16">
        <v>45896</v>
      </c>
      <c r="G1002" s="1" t="s">
        <v>1470</v>
      </c>
      <c r="H1002" s="1" t="s">
        <v>1483</v>
      </c>
      <c r="I1002" s="17" t="s">
        <v>1503</v>
      </c>
      <c r="J1002" s="18" t="s">
        <v>17</v>
      </c>
      <c r="K1002" s="19" t="s">
        <v>18</v>
      </c>
      <c r="L1002" s="19" t="s">
        <v>29</v>
      </c>
      <c r="M1002" s="20">
        <v>56</v>
      </c>
      <c r="N1002" s="21">
        <v>4999</v>
      </c>
      <c r="O1002" s="22">
        <v>18</v>
      </c>
      <c r="P1002" s="23">
        <v>229554.08000000002</v>
      </c>
      <c r="Q1002" s="22">
        <v>4.4000000000000004</v>
      </c>
      <c r="R1002" s="22">
        <v>20</v>
      </c>
      <c r="S1002" s="23">
        <f>(Table13[[#This Row],[Unit Price]]*Table13[[#This Row],[No.of Units]])*18%</f>
        <v>50389.919999999998</v>
      </c>
      <c r="T1002" s="22" t="s">
        <v>1507</v>
      </c>
    </row>
    <row r="1003" spans="2:20" x14ac:dyDescent="0.3">
      <c r="B1003" s="5" t="s">
        <v>959</v>
      </c>
      <c r="C1003" s="1">
        <v>3221405</v>
      </c>
      <c r="D1003" s="1">
        <v>38</v>
      </c>
      <c r="E1003" s="1" t="s">
        <v>12</v>
      </c>
      <c r="F1003" s="16">
        <v>45896</v>
      </c>
      <c r="G1003" s="1" t="s">
        <v>1470</v>
      </c>
      <c r="H1003" s="1" t="s">
        <v>1471</v>
      </c>
      <c r="I1003" s="17" t="s">
        <v>1504</v>
      </c>
      <c r="J1003" s="18" t="s">
        <v>21</v>
      </c>
      <c r="K1003" s="19" t="s">
        <v>18</v>
      </c>
      <c r="L1003" s="19" t="s">
        <v>29</v>
      </c>
      <c r="M1003" s="20">
        <v>9</v>
      </c>
      <c r="N1003" s="21">
        <v>24900</v>
      </c>
      <c r="O1003" s="22">
        <v>5</v>
      </c>
      <c r="P1003" s="23">
        <v>212895</v>
      </c>
      <c r="Q1003" s="22">
        <v>4.8</v>
      </c>
      <c r="R1003" s="22">
        <v>20</v>
      </c>
      <c r="S1003" s="23">
        <f>(Table13[[#This Row],[Unit Price]]*Table13[[#This Row],[No.of Units]])*18%</f>
        <v>40338</v>
      </c>
      <c r="T1003" s="22" t="s">
        <v>1507</v>
      </c>
    </row>
    <row r="1004" spans="2:20" x14ac:dyDescent="0.3">
      <c r="B1004" s="5" t="s">
        <v>960</v>
      </c>
      <c r="C1004" s="1">
        <v>2037089</v>
      </c>
      <c r="D1004" s="1">
        <v>26</v>
      </c>
      <c r="E1004" s="1" t="s">
        <v>12</v>
      </c>
      <c r="F1004" s="16">
        <v>45896</v>
      </c>
      <c r="G1004" s="1" t="s">
        <v>1470</v>
      </c>
      <c r="H1004" s="1" t="s">
        <v>1480</v>
      </c>
      <c r="I1004" s="17" t="s">
        <v>1505</v>
      </c>
      <c r="J1004" s="18" t="s">
        <v>23</v>
      </c>
      <c r="K1004" s="19" t="s">
        <v>14</v>
      </c>
      <c r="L1004" s="19" t="s">
        <v>29</v>
      </c>
      <c r="M1004" s="20">
        <v>6</v>
      </c>
      <c r="N1004" s="21">
        <v>84999</v>
      </c>
      <c r="O1004" s="22">
        <v>12</v>
      </c>
      <c r="P1004" s="23">
        <v>448794.72</v>
      </c>
      <c r="Q1004" s="22">
        <v>4.5</v>
      </c>
      <c r="R1004" s="22">
        <v>20</v>
      </c>
      <c r="S1004" s="23">
        <f>(Table13[[#This Row],[Unit Price]]*Table13[[#This Row],[No.of Units]])*18%</f>
        <v>91798.92</v>
      </c>
      <c r="T1004" s="22" t="s">
        <v>1508</v>
      </c>
    </row>
    <row r="1005" spans="2:20" x14ac:dyDescent="0.3">
      <c r="B1005" s="5" t="s">
        <v>961</v>
      </c>
      <c r="C1005" s="1">
        <v>7557394</v>
      </c>
      <c r="D1005" s="1">
        <v>31</v>
      </c>
      <c r="E1005" s="1" t="s">
        <v>12</v>
      </c>
      <c r="F1005" s="16">
        <v>45896</v>
      </c>
      <c r="G1005" s="1" t="s">
        <v>1470</v>
      </c>
      <c r="H1005" s="1" t="s">
        <v>1472</v>
      </c>
      <c r="I1005" s="17" t="s">
        <v>1504</v>
      </c>
      <c r="J1005" s="18" t="s">
        <v>25</v>
      </c>
      <c r="K1005" s="19" t="s">
        <v>26</v>
      </c>
      <c r="L1005" s="19" t="s">
        <v>29</v>
      </c>
      <c r="M1005" s="20">
        <v>2</v>
      </c>
      <c r="N1005" s="21">
        <v>69999</v>
      </c>
      <c r="O1005" s="22">
        <v>8</v>
      </c>
      <c r="P1005" s="23">
        <v>128798.16</v>
      </c>
      <c r="Q1005" s="22">
        <v>4.8</v>
      </c>
      <c r="R1005" s="22">
        <v>20</v>
      </c>
      <c r="S1005" s="23">
        <f>(Table13[[#This Row],[Unit Price]]*Table13[[#This Row],[No.of Units]])*18%</f>
        <v>25199.64</v>
      </c>
      <c r="T1005" s="22" t="s">
        <v>1507</v>
      </c>
    </row>
    <row r="1006" spans="2:20" x14ac:dyDescent="0.3">
      <c r="B1006" s="5" t="s">
        <v>962</v>
      </c>
      <c r="C1006" s="1">
        <v>3323074</v>
      </c>
      <c r="D1006" s="1">
        <v>19</v>
      </c>
      <c r="E1006" s="1" t="s">
        <v>34</v>
      </c>
      <c r="F1006" s="16">
        <v>45896</v>
      </c>
      <c r="G1006" s="1" t="s">
        <v>1470</v>
      </c>
      <c r="H1006" s="1" t="s">
        <v>1471</v>
      </c>
      <c r="I1006" s="17" t="s">
        <v>1503</v>
      </c>
      <c r="J1006" s="18" t="s">
        <v>28</v>
      </c>
      <c r="K1006" s="19" t="s">
        <v>26</v>
      </c>
      <c r="L1006" s="19" t="s">
        <v>29</v>
      </c>
      <c r="M1006" s="20">
        <v>6</v>
      </c>
      <c r="N1006" s="21">
        <v>42999</v>
      </c>
      <c r="O1006" s="22">
        <v>15</v>
      </c>
      <c r="P1006" s="23">
        <v>219294.9</v>
      </c>
      <c r="Q1006" s="22">
        <v>4.5999999999999996</v>
      </c>
      <c r="R1006" s="22">
        <v>20</v>
      </c>
      <c r="S1006" s="23">
        <f>(Table13[[#This Row],[Unit Price]]*Table13[[#This Row],[No.of Units]])*18%</f>
        <v>46438.92</v>
      </c>
      <c r="T1006" s="22" t="s">
        <v>1508</v>
      </c>
    </row>
    <row r="1007" spans="2:20" x14ac:dyDescent="0.3">
      <c r="B1007" s="5" t="s">
        <v>963</v>
      </c>
      <c r="C1007" s="1">
        <v>102795</v>
      </c>
      <c r="D1007" s="1">
        <v>29</v>
      </c>
      <c r="E1007" s="1" t="s">
        <v>12</v>
      </c>
      <c r="F1007" s="16">
        <v>45896</v>
      </c>
      <c r="G1007" s="1" t="s">
        <v>1470</v>
      </c>
      <c r="H1007" s="1" t="s">
        <v>1471</v>
      </c>
      <c r="I1007" s="17" t="s">
        <v>1502</v>
      </c>
      <c r="J1007" s="18" t="s">
        <v>13</v>
      </c>
      <c r="K1007" s="19" t="s">
        <v>14</v>
      </c>
      <c r="L1007" s="19" t="s">
        <v>35</v>
      </c>
      <c r="M1007" s="20">
        <v>4</v>
      </c>
      <c r="N1007" s="21">
        <v>99999</v>
      </c>
      <c r="O1007" s="22">
        <v>10</v>
      </c>
      <c r="P1007" s="23">
        <v>359996.4</v>
      </c>
      <c r="Q1007" s="22">
        <v>4.7</v>
      </c>
      <c r="R1007" s="22">
        <v>20</v>
      </c>
      <c r="S1007" s="23">
        <f>(Table13[[#This Row],[Unit Price]]*Table13[[#This Row],[No.of Units]])*18%</f>
        <v>71999.28</v>
      </c>
      <c r="T1007" s="22" t="s">
        <v>1508</v>
      </c>
    </row>
    <row r="1008" spans="2:20" x14ac:dyDescent="0.3">
      <c r="B1008" s="5" t="s">
        <v>964</v>
      </c>
      <c r="C1008" s="1">
        <v>3147509</v>
      </c>
      <c r="D1008" s="1">
        <v>37</v>
      </c>
      <c r="E1008" s="1" t="s">
        <v>12</v>
      </c>
      <c r="F1008" s="16">
        <v>45896</v>
      </c>
      <c r="G1008" s="1" t="s">
        <v>1470</v>
      </c>
      <c r="H1008" s="1" t="s">
        <v>1472</v>
      </c>
      <c r="I1008" s="17" t="s">
        <v>1503</v>
      </c>
      <c r="J1008" s="18" t="s">
        <v>17</v>
      </c>
      <c r="K1008" s="19" t="s">
        <v>18</v>
      </c>
      <c r="L1008" s="19" t="s">
        <v>35</v>
      </c>
      <c r="M1008" s="20">
        <v>35</v>
      </c>
      <c r="N1008" s="21">
        <v>4999</v>
      </c>
      <c r="O1008" s="22">
        <v>18</v>
      </c>
      <c r="P1008" s="23">
        <v>143471.29999999999</v>
      </c>
      <c r="Q1008" s="22">
        <v>4.4000000000000004</v>
      </c>
      <c r="R1008" s="22">
        <v>20</v>
      </c>
      <c r="S1008" s="23">
        <f>(Table13[[#This Row],[Unit Price]]*Table13[[#This Row],[No.of Units]])*18%</f>
        <v>31493.699999999997</v>
      </c>
      <c r="T1008" s="22" t="s">
        <v>1508</v>
      </c>
    </row>
    <row r="1009" spans="2:20" x14ac:dyDescent="0.3">
      <c r="B1009" s="5" t="s">
        <v>965</v>
      </c>
      <c r="C1009" s="1">
        <v>4438368</v>
      </c>
      <c r="D1009" s="1">
        <v>22</v>
      </c>
      <c r="E1009" s="1" t="s">
        <v>12</v>
      </c>
      <c r="F1009" s="16">
        <v>45896</v>
      </c>
      <c r="G1009" s="1" t="s">
        <v>1470</v>
      </c>
      <c r="H1009" s="1" t="s">
        <v>1482</v>
      </c>
      <c r="I1009" s="17" t="s">
        <v>1504</v>
      </c>
      <c r="J1009" s="18" t="s">
        <v>21</v>
      </c>
      <c r="K1009" s="19" t="s">
        <v>18</v>
      </c>
      <c r="L1009" s="19" t="s">
        <v>35</v>
      </c>
      <c r="M1009" s="20">
        <v>4</v>
      </c>
      <c r="N1009" s="21">
        <v>24900</v>
      </c>
      <c r="O1009" s="22">
        <v>5</v>
      </c>
      <c r="P1009" s="23">
        <v>94620</v>
      </c>
      <c r="Q1009" s="22">
        <v>4.8</v>
      </c>
      <c r="R1009" s="22">
        <v>20</v>
      </c>
      <c r="S1009" s="23">
        <f>(Table13[[#This Row],[Unit Price]]*Table13[[#This Row],[No.of Units]])*18%</f>
        <v>17928</v>
      </c>
      <c r="T1009" s="22" t="s">
        <v>1508</v>
      </c>
    </row>
    <row r="1010" spans="2:20" x14ac:dyDescent="0.3">
      <c r="B1010" s="5" t="s">
        <v>966</v>
      </c>
      <c r="C1010" s="1">
        <v>5800044</v>
      </c>
      <c r="D1010" s="1">
        <v>33</v>
      </c>
      <c r="E1010" s="1" t="s">
        <v>12</v>
      </c>
      <c r="F1010" s="16">
        <v>45896</v>
      </c>
      <c r="G1010" s="1" t="s">
        <v>1470</v>
      </c>
      <c r="H1010" s="1" t="s">
        <v>1472</v>
      </c>
      <c r="I1010" s="17" t="s">
        <v>1505</v>
      </c>
      <c r="J1010" s="18" t="s">
        <v>23</v>
      </c>
      <c r="K1010" s="19" t="s">
        <v>14</v>
      </c>
      <c r="L1010" s="19" t="s">
        <v>35</v>
      </c>
      <c r="M1010" s="20">
        <v>4</v>
      </c>
      <c r="N1010" s="21">
        <v>84999</v>
      </c>
      <c r="O1010" s="22">
        <v>12</v>
      </c>
      <c r="P1010" s="23">
        <v>299196.48</v>
      </c>
      <c r="Q1010" s="22">
        <v>4.5</v>
      </c>
      <c r="R1010" s="22">
        <v>20</v>
      </c>
      <c r="S1010" s="23">
        <f>(Table13[[#This Row],[Unit Price]]*Table13[[#This Row],[No.of Units]])*18%</f>
        <v>61199.28</v>
      </c>
      <c r="T1010" s="22" t="s">
        <v>1507</v>
      </c>
    </row>
    <row r="1011" spans="2:20" x14ac:dyDescent="0.3">
      <c r="B1011" s="5" t="s">
        <v>967</v>
      </c>
      <c r="C1011" s="1">
        <v>6654250</v>
      </c>
      <c r="D1011" s="1">
        <v>43</v>
      </c>
      <c r="E1011" s="1" t="s">
        <v>12</v>
      </c>
      <c r="F1011" s="16">
        <v>45896</v>
      </c>
      <c r="G1011" s="1" t="s">
        <v>1470</v>
      </c>
      <c r="H1011" s="1" t="s">
        <v>1471</v>
      </c>
      <c r="I1011" s="17" t="s">
        <v>1504</v>
      </c>
      <c r="J1011" s="18" t="s">
        <v>25</v>
      </c>
      <c r="K1011" s="19" t="s">
        <v>26</v>
      </c>
      <c r="L1011" s="19" t="s">
        <v>35</v>
      </c>
      <c r="M1011" s="20">
        <v>3</v>
      </c>
      <c r="N1011" s="21">
        <v>69999</v>
      </c>
      <c r="O1011" s="22">
        <v>8</v>
      </c>
      <c r="P1011" s="23">
        <v>193197.24</v>
      </c>
      <c r="Q1011" s="22">
        <v>4.8</v>
      </c>
      <c r="R1011" s="22">
        <v>20</v>
      </c>
      <c r="S1011" s="23">
        <f>(Table13[[#This Row],[Unit Price]]*Table13[[#This Row],[No.of Units]])*18%</f>
        <v>37799.46</v>
      </c>
      <c r="T1011" s="22" t="s">
        <v>1508</v>
      </c>
    </row>
    <row r="1012" spans="2:20" x14ac:dyDescent="0.3">
      <c r="B1012" s="5" t="s">
        <v>968</v>
      </c>
      <c r="C1012" s="1">
        <v>7682756</v>
      </c>
      <c r="D1012" s="1">
        <v>64</v>
      </c>
      <c r="E1012" s="1" t="s">
        <v>20</v>
      </c>
      <c r="F1012" s="16">
        <v>45896</v>
      </c>
      <c r="G1012" s="1" t="s">
        <v>1470</v>
      </c>
      <c r="H1012" s="1" t="s">
        <v>1471</v>
      </c>
      <c r="I1012" s="17" t="s">
        <v>1503</v>
      </c>
      <c r="J1012" s="18" t="s">
        <v>28</v>
      </c>
      <c r="K1012" s="19" t="s">
        <v>26</v>
      </c>
      <c r="L1012" s="19" t="s">
        <v>35</v>
      </c>
      <c r="M1012" s="20">
        <v>9</v>
      </c>
      <c r="N1012" s="21">
        <v>42999</v>
      </c>
      <c r="O1012" s="22">
        <v>15</v>
      </c>
      <c r="P1012" s="23">
        <v>328942.34999999998</v>
      </c>
      <c r="Q1012" s="22">
        <v>4.5999999999999996</v>
      </c>
      <c r="R1012" s="22">
        <v>20</v>
      </c>
      <c r="S1012" s="23">
        <f>(Table13[[#This Row],[Unit Price]]*Table13[[#This Row],[No.of Units]])*18%</f>
        <v>69658.38</v>
      </c>
      <c r="T1012" s="22" t="s">
        <v>1507</v>
      </c>
    </row>
    <row r="1013" spans="2:20" x14ac:dyDescent="0.3">
      <c r="B1013" s="5" t="s">
        <v>969</v>
      </c>
      <c r="C1013" s="1">
        <v>9785816</v>
      </c>
      <c r="D1013" s="1">
        <v>25</v>
      </c>
      <c r="E1013" s="1" t="s">
        <v>12</v>
      </c>
      <c r="F1013" s="16">
        <v>45896</v>
      </c>
      <c r="G1013" s="1" t="s">
        <v>1470</v>
      </c>
      <c r="H1013" s="1" t="s">
        <v>1483</v>
      </c>
      <c r="I1013" s="17" t="s">
        <v>1502</v>
      </c>
      <c r="J1013" s="18" t="s">
        <v>13</v>
      </c>
      <c r="K1013" s="19" t="s">
        <v>14</v>
      </c>
      <c r="L1013" s="19" t="s">
        <v>42</v>
      </c>
      <c r="M1013" s="20">
        <v>5</v>
      </c>
      <c r="N1013" s="21">
        <v>99999</v>
      </c>
      <c r="O1013" s="22">
        <v>10</v>
      </c>
      <c r="P1013" s="23">
        <v>449995.5</v>
      </c>
      <c r="Q1013" s="22">
        <v>4.7</v>
      </c>
      <c r="R1013" s="22">
        <v>20</v>
      </c>
      <c r="S1013" s="23">
        <f>(Table13[[#This Row],[Unit Price]]*Table13[[#This Row],[No.of Units]])*18%</f>
        <v>89999.099999999991</v>
      </c>
      <c r="T1013" s="22" t="s">
        <v>1508</v>
      </c>
    </row>
    <row r="1014" spans="2:20" x14ac:dyDescent="0.3">
      <c r="B1014" s="5" t="s">
        <v>970</v>
      </c>
      <c r="C1014" s="1">
        <v>2365972</v>
      </c>
      <c r="D1014" s="1">
        <v>41</v>
      </c>
      <c r="E1014" s="1" t="s">
        <v>12</v>
      </c>
      <c r="F1014" s="16">
        <v>45896</v>
      </c>
      <c r="G1014" s="1" t="s">
        <v>1470</v>
      </c>
      <c r="H1014" s="1" t="s">
        <v>1472</v>
      </c>
      <c r="I1014" s="17" t="s">
        <v>1503</v>
      </c>
      <c r="J1014" s="18" t="s">
        <v>17</v>
      </c>
      <c r="K1014" s="19" t="s">
        <v>18</v>
      </c>
      <c r="L1014" s="19" t="s">
        <v>42</v>
      </c>
      <c r="M1014" s="20">
        <v>52</v>
      </c>
      <c r="N1014" s="21">
        <v>4999</v>
      </c>
      <c r="O1014" s="22">
        <v>18</v>
      </c>
      <c r="P1014" s="23">
        <v>213157.36</v>
      </c>
      <c r="Q1014" s="22">
        <v>4.4000000000000004</v>
      </c>
      <c r="R1014" s="22">
        <v>20</v>
      </c>
      <c r="S1014" s="23">
        <f>(Table13[[#This Row],[Unit Price]]*Table13[[#This Row],[No.of Units]])*18%</f>
        <v>46790.64</v>
      </c>
      <c r="T1014" s="22" t="s">
        <v>1507</v>
      </c>
    </row>
    <row r="1015" spans="2:20" x14ac:dyDescent="0.3">
      <c r="B1015" s="5" t="s">
        <v>971</v>
      </c>
      <c r="C1015" s="1">
        <v>6050123</v>
      </c>
      <c r="D1015" s="1">
        <v>38</v>
      </c>
      <c r="E1015" s="1" t="s">
        <v>12</v>
      </c>
      <c r="F1015" s="16">
        <v>45896</v>
      </c>
      <c r="G1015" s="1" t="s">
        <v>1475</v>
      </c>
      <c r="H1015" s="1" t="s">
        <v>1471</v>
      </c>
      <c r="I1015" s="17" t="s">
        <v>1504</v>
      </c>
      <c r="J1015" s="18" t="s">
        <v>21</v>
      </c>
      <c r="K1015" s="19" t="s">
        <v>18</v>
      </c>
      <c r="L1015" s="19" t="s">
        <v>42</v>
      </c>
      <c r="M1015" s="20">
        <v>9</v>
      </c>
      <c r="N1015" s="21">
        <v>24900</v>
      </c>
      <c r="O1015" s="22">
        <v>5</v>
      </c>
      <c r="P1015" s="23">
        <v>212895</v>
      </c>
      <c r="Q1015" s="22">
        <v>4.8</v>
      </c>
      <c r="R1015" s="22">
        <v>20</v>
      </c>
      <c r="S1015" s="23">
        <f>(Table13[[#This Row],[Unit Price]]*Table13[[#This Row],[No.of Units]])*18%</f>
        <v>40338</v>
      </c>
      <c r="T1015" s="22" t="s">
        <v>1508</v>
      </c>
    </row>
    <row r="1016" spans="2:20" x14ac:dyDescent="0.3">
      <c r="B1016" s="5" t="s">
        <v>972</v>
      </c>
      <c r="C1016" s="1">
        <v>4846280</v>
      </c>
      <c r="D1016" s="1">
        <v>20</v>
      </c>
      <c r="E1016" s="1" t="s">
        <v>12</v>
      </c>
      <c r="F1016" s="16">
        <v>45896</v>
      </c>
      <c r="G1016" s="1" t="s">
        <v>1470</v>
      </c>
      <c r="H1016" s="1" t="s">
        <v>1471</v>
      </c>
      <c r="I1016" s="17" t="s">
        <v>1505</v>
      </c>
      <c r="J1016" s="18" t="s">
        <v>23</v>
      </c>
      <c r="K1016" s="19" t="s">
        <v>14</v>
      </c>
      <c r="L1016" s="19" t="s">
        <v>42</v>
      </c>
      <c r="M1016" s="20">
        <v>2</v>
      </c>
      <c r="N1016" s="21">
        <v>84999</v>
      </c>
      <c r="O1016" s="22">
        <v>12</v>
      </c>
      <c r="P1016" s="23">
        <v>149598.24</v>
      </c>
      <c r="Q1016" s="22">
        <v>4.5</v>
      </c>
      <c r="R1016" s="22">
        <v>20</v>
      </c>
      <c r="S1016" s="23">
        <f>(Table13[[#This Row],[Unit Price]]*Table13[[#This Row],[No.of Units]])*18%</f>
        <v>30599.64</v>
      </c>
      <c r="T1016" s="22" t="s">
        <v>1508</v>
      </c>
    </row>
    <row r="1017" spans="2:20" x14ac:dyDescent="0.3">
      <c r="B1017" s="5" t="s">
        <v>973</v>
      </c>
      <c r="C1017" s="1">
        <v>5531302</v>
      </c>
      <c r="D1017" s="1">
        <v>42</v>
      </c>
      <c r="E1017" s="1" t="s">
        <v>12</v>
      </c>
      <c r="F1017" s="16">
        <v>45896</v>
      </c>
      <c r="G1017" s="1" t="s">
        <v>1470</v>
      </c>
      <c r="H1017" s="1" t="s">
        <v>1483</v>
      </c>
      <c r="I1017" s="17" t="s">
        <v>1504</v>
      </c>
      <c r="J1017" s="18" t="s">
        <v>25</v>
      </c>
      <c r="K1017" s="19" t="s">
        <v>26</v>
      </c>
      <c r="L1017" s="19" t="s">
        <v>42</v>
      </c>
      <c r="M1017" s="20">
        <v>5</v>
      </c>
      <c r="N1017" s="21">
        <v>69999</v>
      </c>
      <c r="O1017" s="22">
        <v>8</v>
      </c>
      <c r="P1017" s="23">
        <v>321995.40000000002</v>
      </c>
      <c r="Q1017" s="22">
        <v>4.8</v>
      </c>
      <c r="R1017" s="22">
        <v>20</v>
      </c>
      <c r="S1017" s="23">
        <f>(Table13[[#This Row],[Unit Price]]*Table13[[#This Row],[No.of Units]])*18%</f>
        <v>62999.1</v>
      </c>
      <c r="T1017" s="22" t="s">
        <v>1508</v>
      </c>
    </row>
    <row r="1018" spans="2:20" x14ac:dyDescent="0.3">
      <c r="B1018" s="5" t="s">
        <v>974</v>
      </c>
      <c r="C1018" s="1">
        <v>5403329</v>
      </c>
      <c r="D1018" s="1">
        <v>20</v>
      </c>
      <c r="E1018" s="1" t="s">
        <v>12</v>
      </c>
      <c r="F1018" s="16">
        <v>45896</v>
      </c>
      <c r="G1018" s="1" t="s">
        <v>1470</v>
      </c>
      <c r="H1018" s="1" t="s">
        <v>1471</v>
      </c>
      <c r="I1018" s="17" t="s">
        <v>1503</v>
      </c>
      <c r="J1018" s="18" t="s">
        <v>28</v>
      </c>
      <c r="K1018" s="19" t="s">
        <v>26</v>
      </c>
      <c r="L1018" s="19" t="s">
        <v>42</v>
      </c>
      <c r="M1018" s="20">
        <v>6</v>
      </c>
      <c r="N1018" s="21">
        <v>42999</v>
      </c>
      <c r="O1018" s="22">
        <v>15</v>
      </c>
      <c r="P1018" s="23">
        <v>219294.9</v>
      </c>
      <c r="Q1018" s="22">
        <v>4.5999999999999996</v>
      </c>
      <c r="R1018" s="22">
        <v>20</v>
      </c>
      <c r="S1018" s="23">
        <f>(Table13[[#This Row],[Unit Price]]*Table13[[#This Row],[No.of Units]])*18%</f>
        <v>46438.92</v>
      </c>
      <c r="T1018" s="22" t="s">
        <v>1508</v>
      </c>
    </row>
    <row r="1019" spans="2:20" x14ac:dyDescent="0.3">
      <c r="B1019" s="5" t="s">
        <v>975</v>
      </c>
      <c r="C1019" s="1">
        <v>1327021</v>
      </c>
      <c r="D1019" s="1">
        <v>47</v>
      </c>
      <c r="E1019" s="1" t="s">
        <v>12</v>
      </c>
      <c r="F1019" s="16">
        <v>45896</v>
      </c>
      <c r="G1019" s="1" t="s">
        <v>1470</v>
      </c>
      <c r="H1019" s="1" t="s">
        <v>1471</v>
      </c>
      <c r="I1019" s="17" t="s">
        <v>1502</v>
      </c>
      <c r="J1019" s="18" t="s">
        <v>13</v>
      </c>
      <c r="K1019" s="19" t="s">
        <v>14</v>
      </c>
      <c r="L1019" s="19" t="s">
        <v>49</v>
      </c>
      <c r="M1019" s="20">
        <v>6</v>
      </c>
      <c r="N1019" s="21">
        <v>99999</v>
      </c>
      <c r="O1019" s="22">
        <v>10</v>
      </c>
      <c r="P1019" s="23">
        <v>539994.6</v>
      </c>
      <c r="Q1019" s="22">
        <v>4.7</v>
      </c>
      <c r="R1019" s="22">
        <v>20</v>
      </c>
      <c r="S1019" s="23">
        <f>(Table13[[#This Row],[Unit Price]]*Table13[[#This Row],[No.of Units]])*18%</f>
        <v>107998.92</v>
      </c>
      <c r="T1019" s="22" t="s">
        <v>1508</v>
      </c>
    </row>
    <row r="1020" spans="2:20" x14ac:dyDescent="0.3">
      <c r="B1020" s="5" t="s">
        <v>975</v>
      </c>
      <c r="C1020" s="1">
        <v>1327021</v>
      </c>
      <c r="D1020" s="1">
        <v>40</v>
      </c>
      <c r="E1020" s="1" t="s">
        <v>12</v>
      </c>
      <c r="F1020" s="16">
        <v>45896</v>
      </c>
      <c r="G1020" s="1" t="s">
        <v>1470</v>
      </c>
      <c r="H1020" s="1" t="s">
        <v>1471</v>
      </c>
      <c r="I1020" s="17" t="s">
        <v>1503</v>
      </c>
      <c r="J1020" s="18" t="s">
        <v>17</v>
      </c>
      <c r="K1020" s="19" t="s">
        <v>18</v>
      </c>
      <c r="L1020" s="19" t="s">
        <v>49</v>
      </c>
      <c r="M1020" s="20">
        <v>58</v>
      </c>
      <c r="N1020" s="21">
        <v>4999</v>
      </c>
      <c r="O1020" s="22">
        <v>18</v>
      </c>
      <c r="P1020" s="23">
        <v>237752.44</v>
      </c>
      <c r="Q1020" s="22">
        <v>4.4000000000000004</v>
      </c>
      <c r="R1020" s="22">
        <v>20</v>
      </c>
      <c r="S1020" s="23">
        <f>(Table13[[#This Row],[Unit Price]]*Table13[[#This Row],[No.of Units]])*18%</f>
        <v>52189.56</v>
      </c>
      <c r="T1020" s="22" t="s">
        <v>1507</v>
      </c>
    </row>
    <row r="1021" spans="2:20" x14ac:dyDescent="0.3">
      <c r="B1021" s="5" t="s">
        <v>976</v>
      </c>
      <c r="C1021" s="1">
        <v>2338187</v>
      </c>
      <c r="D1021" s="1">
        <v>38</v>
      </c>
      <c r="E1021" s="1" t="s">
        <v>12</v>
      </c>
      <c r="F1021" s="16">
        <v>45896</v>
      </c>
      <c r="G1021" s="1" t="s">
        <v>1470</v>
      </c>
      <c r="H1021" s="1" t="s">
        <v>1471</v>
      </c>
      <c r="I1021" s="17" t="s">
        <v>1504</v>
      </c>
      <c r="J1021" s="18" t="s">
        <v>21</v>
      </c>
      <c r="K1021" s="19" t="s">
        <v>18</v>
      </c>
      <c r="L1021" s="19" t="s">
        <v>49</v>
      </c>
      <c r="M1021" s="20">
        <v>9</v>
      </c>
      <c r="N1021" s="21">
        <v>24900</v>
      </c>
      <c r="O1021" s="22">
        <v>5</v>
      </c>
      <c r="P1021" s="23">
        <v>212895</v>
      </c>
      <c r="Q1021" s="22">
        <v>4.8</v>
      </c>
      <c r="R1021" s="22">
        <v>20</v>
      </c>
      <c r="S1021" s="23">
        <f>(Table13[[#This Row],[Unit Price]]*Table13[[#This Row],[No.of Units]])*18%</f>
        <v>40338</v>
      </c>
      <c r="T1021" s="22" t="s">
        <v>1507</v>
      </c>
    </row>
    <row r="1022" spans="2:20" x14ac:dyDescent="0.3">
      <c r="B1022" s="5" t="s">
        <v>977</v>
      </c>
      <c r="C1022" s="1">
        <v>1476514</v>
      </c>
      <c r="D1022" s="1">
        <v>27</v>
      </c>
      <c r="E1022" s="1" t="s">
        <v>12</v>
      </c>
      <c r="F1022" s="16">
        <v>45896</v>
      </c>
      <c r="G1022" s="1" t="s">
        <v>1470</v>
      </c>
      <c r="H1022" s="1" t="s">
        <v>1472</v>
      </c>
      <c r="I1022" s="17" t="s">
        <v>1505</v>
      </c>
      <c r="J1022" s="18" t="s">
        <v>23</v>
      </c>
      <c r="K1022" s="19" t="s">
        <v>14</v>
      </c>
      <c r="L1022" s="19" t="s">
        <v>49</v>
      </c>
      <c r="M1022" s="20">
        <v>2</v>
      </c>
      <c r="N1022" s="21">
        <v>84999</v>
      </c>
      <c r="O1022" s="22">
        <v>12</v>
      </c>
      <c r="P1022" s="23">
        <v>149598.24</v>
      </c>
      <c r="Q1022" s="22">
        <v>4.5</v>
      </c>
      <c r="R1022" s="22">
        <v>20</v>
      </c>
      <c r="S1022" s="23">
        <f>(Table13[[#This Row],[Unit Price]]*Table13[[#This Row],[No.of Units]])*18%</f>
        <v>30599.64</v>
      </c>
      <c r="T1022" s="22" t="s">
        <v>1508</v>
      </c>
    </row>
    <row r="1023" spans="2:20" x14ac:dyDescent="0.3">
      <c r="B1023" s="5" t="s">
        <v>978</v>
      </c>
      <c r="C1023" s="1">
        <v>9067431</v>
      </c>
      <c r="D1023" s="1">
        <v>51</v>
      </c>
      <c r="E1023" s="1" t="s">
        <v>20</v>
      </c>
      <c r="F1023" s="16">
        <v>45896</v>
      </c>
      <c r="G1023" s="1" t="s">
        <v>1470</v>
      </c>
      <c r="H1023" s="1" t="s">
        <v>1471</v>
      </c>
      <c r="I1023" s="17" t="s">
        <v>1504</v>
      </c>
      <c r="J1023" s="18" t="s">
        <v>25</v>
      </c>
      <c r="K1023" s="19" t="s">
        <v>26</v>
      </c>
      <c r="L1023" s="19" t="s">
        <v>49</v>
      </c>
      <c r="M1023" s="20">
        <v>5</v>
      </c>
      <c r="N1023" s="21">
        <v>69999</v>
      </c>
      <c r="O1023" s="22">
        <v>8</v>
      </c>
      <c r="P1023" s="23">
        <v>321995.40000000002</v>
      </c>
      <c r="Q1023" s="22">
        <v>4.8</v>
      </c>
      <c r="R1023" s="22">
        <v>20</v>
      </c>
      <c r="S1023" s="23">
        <f>(Table13[[#This Row],[Unit Price]]*Table13[[#This Row],[No.of Units]])*18%</f>
        <v>62999.1</v>
      </c>
      <c r="T1023" s="22" t="s">
        <v>1508</v>
      </c>
    </row>
    <row r="1024" spans="2:20" x14ac:dyDescent="0.3">
      <c r="B1024" s="5" t="s">
        <v>979</v>
      </c>
      <c r="C1024" s="1">
        <v>3080765</v>
      </c>
      <c r="D1024" s="1">
        <v>75</v>
      </c>
      <c r="E1024" s="1" t="s">
        <v>20</v>
      </c>
      <c r="F1024" s="16">
        <v>45896</v>
      </c>
      <c r="G1024" s="1" t="s">
        <v>1470</v>
      </c>
      <c r="H1024" s="1" t="s">
        <v>1480</v>
      </c>
      <c r="I1024" s="17" t="s">
        <v>1503</v>
      </c>
      <c r="J1024" s="18" t="s">
        <v>28</v>
      </c>
      <c r="K1024" s="19" t="s">
        <v>26</v>
      </c>
      <c r="L1024" s="19" t="s">
        <v>49</v>
      </c>
      <c r="M1024" s="20">
        <v>10</v>
      </c>
      <c r="N1024" s="21">
        <v>42999</v>
      </c>
      <c r="O1024" s="22">
        <v>15</v>
      </c>
      <c r="P1024" s="23">
        <v>365491.5</v>
      </c>
      <c r="Q1024" s="22">
        <v>4.5999999999999996</v>
      </c>
      <c r="R1024" s="22">
        <v>20</v>
      </c>
      <c r="S1024" s="23">
        <f>(Table13[[#This Row],[Unit Price]]*Table13[[#This Row],[No.of Units]])*18%</f>
        <v>77398.2</v>
      </c>
      <c r="T1024" s="22" t="s">
        <v>1508</v>
      </c>
    </row>
    <row r="1025" spans="2:20" x14ac:dyDescent="0.3">
      <c r="B1025" s="5" t="s">
        <v>980</v>
      </c>
      <c r="C1025" s="1">
        <v>4984515</v>
      </c>
      <c r="D1025" s="1">
        <v>26</v>
      </c>
      <c r="E1025" s="1" t="s">
        <v>12</v>
      </c>
      <c r="F1025" s="16">
        <v>45903</v>
      </c>
      <c r="G1025" s="1" t="s">
        <v>1470</v>
      </c>
      <c r="H1025" s="1" t="s">
        <v>1471</v>
      </c>
      <c r="I1025" s="17" t="s">
        <v>1502</v>
      </c>
      <c r="J1025" s="18" t="s">
        <v>13</v>
      </c>
      <c r="K1025" s="19" t="s">
        <v>14</v>
      </c>
      <c r="L1025" s="19" t="s">
        <v>15</v>
      </c>
      <c r="M1025" s="20">
        <v>5</v>
      </c>
      <c r="N1025" s="21">
        <v>99999</v>
      </c>
      <c r="O1025" s="22">
        <v>10</v>
      </c>
      <c r="P1025" s="23">
        <v>449995.5</v>
      </c>
      <c r="Q1025" s="22">
        <v>4.7</v>
      </c>
      <c r="R1025" s="22">
        <v>20</v>
      </c>
      <c r="S1025" s="23">
        <f>(Table13[[#This Row],[Unit Price]]*Table13[[#This Row],[No.of Units]])*18%</f>
        <v>89999.099999999991</v>
      </c>
      <c r="T1025" s="22" t="s">
        <v>1507</v>
      </c>
    </row>
    <row r="1026" spans="2:20" x14ac:dyDescent="0.3">
      <c r="B1026" s="5" t="s">
        <v>980</v>
      </c>
      <c r="C1026" s="1">
        <v>4984515</v>
      </c>
      <c r="D1026" s="1">
        <v>65</v>
      </c>
      <c r="E1026" s="1" t="s">
        <v>20</v>
      </c>
      <c r="F1026" s="16">
        <v>45903</v>
      </c>
      <c r="G1026" s="1" t="s">
        <v>1470</v>
      </c>
      <c r="H1026" s="1" t="s">
        <v>1471</v>
      </c>
      <c r="I1026" s="17" t="s">
        <v>1503</v>
      </c>
      <c r="J1026" s="18" t="s">
        <v>17</v>
      </c>
      <c r="K1026" s="19" t="s">
        <v>18</v>
      </c>
      <c r="L1026" s="19" t="s">
        <v>15</v>
      </c>
      <c r="M1026" s="20">
        <v>33</v>
      </c>
      <c r="N1026" s="21">
        <v>4999</v>
      </c>
      <c r="O1026" s="22">
        <v>18</v>
      </c>
      <c r="P1026" s="23">
        <v>135272.94</v>
      </c>
      <c r="Q1026" s="22">
        <v>4.4000000000000004</v>
      </c>
      <c r="R1026" s="22">
        <v>20</v>
      </c>
      <c r="S1026" s="23">
        <f>(Table13[[#This Row],[Unit Price]]*Table13[[#This Row],[No.of Units]])*18%</f>
        <v>29694.059999999998</v>
      </c>
      <c r="T1026" s="22" t="s">
        <v>1508</v>
      </c>
    </row>
    <row r="1027" spans="2:20" x14ac:dyDescent="0.3">
      <c r="B1027" s="5" t="s">
        <v>980</v>
      </c>
      <c r="C1027" s="1">
        <v>4984515</v>
      </c>
      <c r="D1027" s="1">
        <v>33</v>
      </c>
      <c r="E1027" s="1" t="s">
        <v>12</v>
      </c>
      <c r="F1027" s="16">
        <v>45903</v>
      </c>
      <c r="G1027" s="1" t="s">
        <v>1470</v>
      </c>
      <c r="H1027" s="1" t="s">
        <v>1471</v>
      </c>
      <c r="I1027" s="17" t="s">
        <v>1504</v>
      </c>
      <c r="J1027" s="18" t="s">
        <v>21</v>
      </c>
      <c r="K1027" s="19" t="s">
        <v>18</v>
      </c>
      <c r="L1027" s="19" t="s">
        <v>15</v>
      </c>
      <c r="M1027" s="20">
        <v>12</v>
      </c>
      <c r="N1027" s="21">
        <v>24900</v>
      </c>
      <c r="O1027" s="22">
        <v>5</v>
      </c>
      <c r="P1027" s="23">
        <v>283860</v>
      </c>
      <c r="Q1027" s="22">
        <v>4.8</v>
      </c>
      <c r="R1027" s="22">
        <v>20</v>
      </c>
      <c r="S1027" s="23">
        <f>(Table13[[#This Row],[Unit Price]]*Table13[[#This Row],[No.of Units]])*18%</f>
        <v>53784</v>
      </c>
      <c r="T1027" s="22" t="s">
        <v>1508</v>
      </c>
    </row>
    <row r="1028" spans="2:20" x14ac:dyDescent="0.3">
      <c r="B1028" s="5" t="s">
        <v>980</v>
      </c>
      <c r="C1028" s="1">
        <v>4984515</v>
      </c>
      <c r="D1028" s="1">
        <v>43</v>
      </c>
      <c r="E1028" s="1" t="s">
        <v>12</v>
      </c>
      <c r="F1028" s="16">
        <v>45903</v>
      </c>
      <c r="G1028" s="1" t="s">
        <v>1470</v>
      </c>
      <c r="H1028" s="1" t="s">
        <v>1481</v>
      </c>
      <c r="I1028" s="17" t="s">
        <v>1505</v>
      </c>
      <c r="J1028" s="18" t="s">
        <v>23</v>
      </c>
      <c r="K1028" s="19" t="s">
        <v>14</v>
      </c>
      <c r="L1028" s="19" t="s">
        <v>15</v>
      </c>
      <c r="M1028" s="20">
        <v>5</v>
      </c>
      <c r="N1028" s="21">
        <v>84999</v>
      </c>
      <c r="O1028" s="22">
        <v>12</v>
      </c>
      <c r="P1028" s="23">
        <v>373995.6</v>
      </c>
      <c r="Q1028" s="22">
        <v>4.5</v>
      </c>
      <c r="R1028" s="22">
        <v>20</v>
      </c>
      <c r="S1028" s="23">
        <f>(Table13[[#This Row],[Unit Price]]*Table13[[#This Row],[No.of Units]])*18%</f>
        <v>76499.099999999991</v>
      </c>
      <c r="T1028" s="22" t="s">
        <v>1508</v>
      </c>
    </row>
    <row r="1029" spans="2:20" x14ac:dyDescent="0.3">
      <c r="B1029" s="5" t="s">
        <v>980</v>
      </c>
      <c r="C1029" s="1">
        <v>4984515</v>
      </c>
      <c r="D1029" s="1">
        <v>58</v>
      </c>
      <c r="E1029" s="1" t="s">
        <v>20</v>
      </c>
      <c r="F1029" s="16">
        <v>45903</v>
      </c>
      <c r="G1029" s="1" t="s">
        <v>1470</v>
      </c>
      <c r="H1029" s="1" t="s">
        <v>1472</v>
      </c>
      <c r="I1029" s="17" t="s">
        <v>1504</v>
      </c>
      <c r="J1029" s="18" t="s">
        <v>25</v>
      </c>
      <c r="K1029" s="19" t="s">
        <v>26</v>
      </c>
      <c r="L1029" s="19" t="s">
        <v>15</v>
      </c>
      <c r="M1029" s="20">
        <v>4</v>
      </c>
      <c r="N1029" s="21">
        <v>69999</v>
      </c>
      <c r="O1029" s="22">
        <v>8</v>
      </c>
      <c r="P1029" s="23">
        <v>257596.32</v>
      </c>
      <c r="Q1029" s="22">
        <v>4.8</v>
      </c>
      <c r="R1029" s="22">
        <v>20</v>
      </c>
      <c r="S1029" s="23">
        <f>(Table13[[#This Row],[Unit Price]]*Table13[[#This Row],[No.of Units]])*18%</f>
        <v>50399.28</v>
      </c>
      <c r="T1029" s="22" t="s">
        <v>1508</v>
      </c>
    </row>
    <row r="1030" spans="2:20" x14ac:dyDescent="0.3">
      <c r="B1030" s="5" t="s">
        <v>980</v>
      </c>
      <c r="C1030" s="1">
        <v>4984515</v>
      </c>
      <c r="D1030" s="1">
        <v>32</v>
      </c>
      <c r="E1030" s="1" t="s">
        <v>12</v>
      </c>
      <c r="F1030" s="16">
        <v>45903</v>
      </c>
      <c r="G1030" s="1" t="s">
        <v>1470</v>
      </c>
      <c r="H1030" s="1" t="s">
        <v>1471</v>
      </c>
      <c r="I1030" s="17" t="s">
        <v>1503</v>
      </c>
      <c r="J1030" s="18" t="s">
        <v>28</v>
      </c>
      <c r="K1030" s="19" t="s">
        <v>26</v>
      </c>
      <c r="L1030" s="19" t="s">
        <v>15</v>
      </c>
      <c r="M1030" s="20">
        <v>9</v>
      </c>
      <c r="N1030" s="21">
        <v>42999</v>
      </c>
      <c r="O1030" s="22">
        <v>15</v>
      </c>
      <c r="P1030" s="23">
        <v>328942.34999999998</v>
      </c>
      <c r="Q1030" s="22">
        <v>4.5999999999999996</v>
      </c>
      <c r="R1030" s="22">
        <v>20</v>
      </c>
      <c r="S1030" s="23">
        <f>(Table13[[#This Row],[Unit Price]]*Table13[[#This Row],[No.of Units]])*18%</f>
        <v>69658.38</v>
      </c>
      <c r="T1030" s="22" t="s">
        <v>1507</v>
      </c>
    </row>
    <row r="1031" spans="2:20" x14ac:dyDescent="0.3">
      <c r="B1031" s="5" t="s">
        <v>980</v>
      </c>
      <c r="C1031" s="1">
        <v>4984515</v>
      </c>
      <c r="D1031" s="1">
        <v>25</v>
      </c>
      <c r="E1031" s="1" t="s">
        <v>12</v>
      </c>
      <c r="F1031" s="16">
        <v>45903</v>
      </c>
      <c r="G1031" s="1" t="s">
        <v>1470</v>
      </c>
      <c r="H1031" s="1" t="s">
        <v>1471</v>
      </c>
      <c r="I1031" s="17" t="s">
        <v>1502</v>
      </c>
      <c r="J1031" s="18" t="s">
        <v>13</v>
      </c>
      <c r="K1031" s="19" t="s">
        <v>14</v>
      </c>
      <c r="L1031" s="19" t="s">
        <v>29</v>
      </c>
      <c r="M1031" s="20">
        <v>5</v>
      </c>
      <c r="N1031" s="21">
        <v>99999</v>
      </c>
      <c r="O1031" s="22">
        <v>10</v>
      </c>
      <c r="P1031" s="23">
        <v>449995.5</v>
      </c>
      <c r="Q1031" s="22">
        <v>4.7</v>
      </c>
      <c r="R1031" s="22">
        <v>20</v>
      </c>
      <c r="S1031" s="23">
        <f>(Table13[[#This Row],[Unit Price]]*Table13[[#This Row],[No.of Units]])*18%</f>
        <v>89999.099999999991</v>
      </c>
      <c r="T1031" s="22" t="s">
        <v>1508</v>
      </c>
    </row>
    <row r="1032" spans="2:20" x14ac:dyDescent="0.3">
      <c r="B1032" s="5" t="s">
        <v>980</v>
      </c>
      <c r="C1032" s="1">
        <v>4984515</v>
      </c>
      <c r="D1032" s="1">
        <v>70</v>
      </c>
      <c r="E1032" s="1" t="s">
        <v>20</v>
      </c>
      <c r="F1032" s="16">
        <v>45903</v>
      </c>
      <c r="G1032" s="1" t="s">
        <v>1470</v>
      </c>
      <c r="H1032" s="1" t="s">
        <v>1471</v>
      </c>
      <c r="I1032" s="17" t="s">
        <v>1503</v>
      </c>
      <c r="J1032" s="18" t="s">
        <v>17</v>
      </c>
      <c r="K1032" s="19" t="s">
        <v>18</v>
      </c>
      <c r="L1032" s="19" t="s">
        <v>29</v>
      </c>
      <c r="M1032" s="20">
        <v>46</v>
      </c>
      <c r="N1032" s="21">
        <v>4999</v>
      </c>
      <c r="O1032" s="22">
        <v>18</v>
      </c>
      <c r="P1032" s="23">
        <v>188562.28</v>
      </c>
      <c r="Q1032" s="22">
        <v>4.4000000000000004</v>
      </c>
      <c r="R1032" s="22">
        <v>20</v>
      </c>
      <c r="S1032" s="23">
        <f>(Table13[[#This Row],[Unit Price]]*Table13[[#This Row],[No.of Units]])*18%</f>
        <v>41391.72</v>
      </c>
      <c r="T1032" s="22" t="s">
        <v>1507</v>
      </c>
    </row>
    <row r="1033" spans="2:20" x14ac:dyDescent="0.3">
      <c r="B1033" s="5" t="s">
        <v>980</v>
      </c>
      <c r="C1033" s="1">
        <v>4984515</v>
      </c>
      <c r="D1033" s="1">
        <v>49</v>
      </c>
      <c r="E1033" s="1" t="s">
        <v>12</v>
      </c>
      <c r="F1033" s="16">
        <v>45903</v>
      </c>
      <c r="G1033" s="1" t="s">
        <v>1470</v>
      </c>
      <c r="H1033" s="1" t="s">
        <v>1472</v>
      </c>
      <c r="I1033" s="17" t="s">
        <v>1504</v>
      </c>
      <c r="J1033" s="18" t="s">
        <v>21</v>
      </c>
      <c r="K1033" s="19" t="s">
        <v>18</v>
      </c>
      <c r="L1033" s="19" t="s">
        <v>29</v>
      </c>
      <c r="M1033" s="20">
        <v>9</v>
      </c>
      <c r="N1033" s="21">
        <v>24900</v>
      </c>
      <c r="O1033" s="22">
        <v>5</v>
      </c>
      <c r="P1033" s="23">
        <v>212895</v>
      </c>
      <c r="Q1033" s="22">
        <v>4.8</v>
      </c>
      <c r="R1033" s="22">
        <v>20</v>
      </c>
      <c r="S1033" s="23">
        <f>(Table13[[#This Row],[Unit Price]]*Table13[[#This Row],[No.of Units]])*18%</f>
        <v>40338</v>
      </c>
      <c r="T1033" s="22" t="s">
        <v>1507</v>
      </c>
    </row>
    <row r="1034" spans="2:20" x14ac:dyDescent="0.3">
      <c r="B1034" s="5" t="s">
        <v>980</v>
      </c>
      <c r="C1034" s="1">
        <v>4984515</v>
      </c>
      <c r="D1034" s="1">
        <v>36</v>
      </c>
      <c r="E1034" s="1" t="s">
        <v>12</v>
      </c>
      <c r="F1034" s="16">
        <v>45903</v>
      </c>
      <c r="G1034" s="1" t="s">
        <v>1470</v>
      </c>
      <c r="H1034" s="1" t="s">
        <v>1472</v>
      </c>
      <c r="I1034" s="17" t="s">
        <v>1505</v>
      </c>
      <c r="J1034" s="18" t="s">
        <v>23</v>
      </c>
      <c r="K1034" s="19" t="s">
        <v>14</v>
      </c>
      <c r="L1034" s="19" t="s">
        <v>29</v>
      </c>
      <c r="M1034" s="20">
        <v>2</v>
      </c>
      <c r="N1034" s="21">
        <v>84999</v>
      </c>
      <c r="O1034" s="22">
        <v>12</v>
      </c>
      <c r="P1034" s="23">
        <v>149598.24</v>
      </c>
      <c r="Q1034" s="22">
        <v>4.5</v>
      </c>
      <c r="R1034" s="22">
        <v>20</v>
      </c>
      <c r="S1034" s="23">
        <f>(Table13[[#This Row],[Unit Price]]*Table13[[#This Row],[No.of Units]])*18%</f>
        <v>30599.64</v>
      </c>
      <c r="T1034" s="22" t="s">
        <v>1507</v>
      </c>
    </row>
    <row r="1035" spans="2:20" x14ac:dyDescent="0.3">
      <c r="B1035" s="5" t="s">
        <v>980</v>
      </c>
      <c r="C1035" s="1">
        <v>4984515</v>
      </c>
      <c r="D1035" s="1">
        <v>30</v>
      </c>
      <c r="E1035" s="1" t="s">
        <v>12</v>
      </c>
      <c r="F1035" s="16">
        <v>45903</v>
      </c>
      <c r="G1035" s="1" t="s">
        <v>1470</v>
      </c>
      <c r="H1035" s="1" t="s">
        <v>1471</v>
      </c>
      <c r="I1035" s="17" t="s">
        <v>1504</v>
      </c>
      <c r="J1035" s="18" t="s">
        <v>25</v>
      </c>
      <c r="K1035" s="19" t="s">
        <v>26</v>
      </c>
      <c r="L1035" s="19" t="s">
        <v>29</v>
      </c>
      <c r="M1035" s="20">
        <v>2</v>
      </c>
      <c r="N1035" s="21">
        <v>69999</v>
      </c>
      <c r="O1035" s="22">
        <v>8</v>
      </c>
      <c r="P1035" s="23">
        <v>128798.16</v>
      </c>
      <c r="Q1035" s="22">
        <v>4.8</v>
      </c>
      <c r="R1035" s="22">
        <v>20</v>
      </c>
      <c r="S1035" s="23">
        <f>(Table13[[#This Row],[Unit Price]]*Table13[[#This Row],[No.of Units]])*18%</f>
        <v>25199.64</v>
      </c>
      <c r="T1035" s="22" t="s">
        <v>1508</v>
      </c>
    </row>
    <row r="1036" spans="2:20" x14ac:dyDescent="0.3">
      <c r="B1036" s="5" t="s">
        <v>980</v>
      </c>
      <c r="C1036" s="1">
        <v>4984515</v>
      </c>
      <c r="D1036" s="1">
        <v>46</v>
      </c>
      <c r="E1036" s="1" t="s">
        <v>12</v>
      </c>
      <c r="F1036" s="16">
        <v>45903</v>
      </c>
      <c r="G1036" s="1" t="s">
        <v>1470</v>
      </c>
      <c r="H1036" s="1" t="s">
        <v>1482</v>
      </c>
      <c r="I1036" s="17" t="s">
        <v>1503</v>
      </c>
      <c r="J1036" s="18" t="s">
        <v>28</v>
      </c>
      <c r="K1036" s="19" t="s">
        <v>26</v>
      </c>
      <c r="L1036" s="19" t="s">
        <v>29</v>
      </c>
      <c r="M1036" s="20">
        <v>5</v>
      </c>
      <c r="N1036" s="21">
        <v>42999</v>
      </c>
      <c r="O1036" s="22">
        <v>15</v>
      </c>
      <c r="P1036" s="23">
        <v>182745.75</v>
      </c>
      <c r="Q1036" s="22">
        <v>4.5999999999999996</v>
      </c>
      <c r="R1036" s="22">
        <v>20</v>
      </c>
      <c r="S1036" s="23">
        <f>(Table13[[#This Row],[Unit Price]]*Table13[[#This Row],[No.of Units]])*18%</f>
        <v>38699.1</v>
      </c>
      <c r="T1036" s="22" t="s">
        <v>1508</v>
      </c>
    </row>
    <row r="1037" spans="2:20" x14ac:dyDescent="0.3">
      <c r="B1037" s="5" t="s">
        <v>981</v>
      </c>
      <c r="C1037" s="1">
        <v>173977</v>
      </c>
      <c r="D1037" s="1">
        <v>50</v>
      </c>
      <c r="E1037" s="1" t="s">
        <v>20</v>
      </c>
      <c r="F1037" s="16">
        <v>45903</v>
      </c>
      <c r="G1037" s="1" t="s">
        <v>1470</v>
      </c>
      <c r="H1037" s="1" t="s">
        <v>1471</v>
      </c>
      <c r="I1037" s="17" t="s">
        <v>1502</v>
      </c>
      <c r="J1037" s="18" t="s">
        <v>13</v>
      </c>
      <c r="K1037" s="19" t="s">
        <v>14</v>
      </c>
      <c r="L1037" s="19" t="s">
        <v>35</v>
      </c>
      <c r="M1037" s="20">
        <v>5</v>
      </c>
      <c r="N1037" s="21">
        <v>99999</v>
      </c>
      <c r="O1037" s="22">
        <v>10</v>
      </c>
      <c r="P1037" s="23">
        <v>449995.5</v>
      </c>
      <c r="Q1037" s="22">
        <v>4.7</v>
      </c>
      <c r="R1037" s="22">
        <v>20</v>
      </c>
      <c r="S1037" s="23">
        <f>(Table13[[#This Row],[Unit Price]]*Table13[[#This Row],[No.of Units]])*18%</f>
        <v>89999.099999999991</v>
      </c>
      <c r="T1037" s="22" t="s">
        <v>1508</v>
      </c>
    </row>
    <row r="1038" spans="2:20" x14ac:dyDescent="0.3">
      <c r="B1038" s="5" t="s">
        <v>981</v>
      </c>
      <c r="C1038" s="1">
        <v>173977</v>
      </c>
      <c r="D1038" s="1">
        <v>41</v>
      </c>
      <c r="E1038" s="1" t="s">
        <v>12</v>
      </c>
      <c r="F1038" s="16">
        <v>45903</v>
      </c>
      <c r="G1038" s="1" t="s">
        <v>1470</v>
      </c>
      <c r="H1038" s="1" t="s">
        <v>1471</v>
      </c>
      <c r="I1038" s="17" t="s">
        <v>1503</v>
      </c>
      <c r="J1038" s="18" t="s">
        <v>17</v>
      </c>
      <c r="K1038" s="19" t="s">
        <v>18</v>
      </c>
      <c r="L1038" s="19" t="s">
        <v>35</v>
      </c>
      <c r="M1038" s="20">
        <v>26</v>
      </c>
      <c r="N1038" s="21">
        <v>4999</v>
      </c>
      <c r="O1038" s="22">
        <v>18</v>
      </c>
      <c r="P1038" s="23">
        <v>106578.68</v>
      </c>
      <c r="Q1038" s="22">
        <v>4.4000000000000004</v>
      </c>
      <c r="R1038" s="22">
        <v>20</v>
      </c>
      <c r="S1038" s="23">
        <f>(Table13[[#This Row],[Unit Price]]*Table13[[#This Row],[No.of Units]])*18%</f>
        <v>23395.32</v>
      </c>
      <c r="T1038" s="22" t="s">
        <v>1508</v>
      </c>
    </row>
    <row r="1039" spans="2:20" x14ac:dyDescent="0.3">
      <c r="B1039" s="5" t="s">
        <v>981</v>
      </c>
      <c r="C1039" s="1">
        <v>173977</v>
      </c>
      <c r="D1039" s="1">
        <v>29</v>
      </c>
      <c r="E1039" s="1" t="s">
        <v>12</v>
      </c>
      <c r="F1039" s="16">
        <v>45903</v>
      </c>
      <c r="G1039" s="1" t="s">
        <v>1470</v>
      </c>
      <c r="H1039" s="1" t="s">
        <v>1471</v>
      </c>
      <c r="I1039" s="17" t="s">
        <v>1504</v>
      </c>
      <c r="J1039" s="18" t="s">
        <v>21</v>
      </c>
      <c r="K1039" s="19" t="s">
        <v>18</v>
      </c>
      <c r="L1039" s="19" t="s">
        <v>35</v>
      </c>
      <c r="M1039" s="20">
        <v>8</v>
      </c>
      <c r="N1039" s="21">
        <v>24900</v>
      </c>
      <c r="O1039" s="22">
        <v>5</v>
      </c>
      <c r="P1039" s="23">
        <v>189240</v>
      </c>
      <c r="Q1039" s="22">
        <v>4.8</v>
      </c>
      <c r="R1039" s="22">
        <v>20</v>
      </c>
      <c r="S1039" s="23">
        <f>(Table13[[#This Row],[Unit Price]]*Table13[[#This Row],[No.of Units]])*18%</f>
        <v>35856</v>
      </c>
      <c r="T1039" s="22" t="s">
        <v>1508</v>
      </c>
    </row>
    <row r="1040" spans="2:20" x14ac:dyDescent="0.3">
      <c r="B1040" s="5" t="s">
        <v>981</v>
      </c>
      <c r="C1040" s="1">
        <v>173977</v>
      </c>
      <c r="D1040" s="1">
        <v>62</v>
      </c>
      <c r="E1040" s="1" t="s">
        <v>20</v>
      </c>
      <c r="F1040" s="16">
        <v>45903</v>
      </c>
      <c r="G1040" s="1" t="s">
        <v>1470</v>
      </c>
      <c r="H1040" s="1" t="s">
        <v>1472</v>
      </c>
      <c r="I1040" s="17" t="s">
        <v>1505</v>
      </c>
      <c r="J1040" s="18" t="s">
        <v>23</v>
      </c>
      <c r="K1040" s="19" t="s">
        <v>14</v>
      </c>
      <c r="L1040" s="19" t="s">
        <v>35</v>
      </c>
      <c r="M1040" s="20">
        <v>3</v>
      </c>
      <c r="N1040" s="21">
        <v>84999</v>
      </c>
      <c r="O1040" s="22">
        <v>12</v>
      </c>
      <c r="P1040" s="23">
        <v>224397.36</v>
      </c>
      <c r="Q1040" s="22">
        <v>4.5</v>
      </c>
      <c r="R1040" s="22">
        <v>20</v>
      </c>
      <c r="S1040" s="23">
        <f>(Table13[[#This Row],[Unit Price]]*Table13[[#This Row],[No.of Units]])*18%</f>
        <v>45899.46</v>
      </c>
      <c r="T1040" s="22" t="s">
        <v>1508</v>
      </c>
    </row>
    <row r="1041" spans="2:20" x14ac:dyDescent="0.3">
      <c r="B1041" s="5" t="s">
        <v>981</v>
      </c>
      <c r="C1041" s="1">
        <v>173977</v>
      </c>
      <c r="D1041" s="1">
        <v>23</v>
      </c>
      <c r="E1041" s="1" t="s">
        <v>12</v>
      </c>
      <c r="F1041" s="16">
        <v>45903</v>
      </c>
      <c r="G1041" s="1" t="s">
        <v>1470</v>
      </c>
      <c r="H1041" s="1" t="s">
        <v>1482</v>
      </c>
      <c r="I1041" s="17" t="s">
        <v>1504</v>
      </c>
      <c r="J1041" s="18" t="s">
        <v>25</v>
      </c>
      <c r="K1041" s="19" t="s">
        <v>26</v>
      </c>
      <c r="L1041" s="19" t="s">
        <v>35</v>
      </c>
      <c r="M1041" s="20">
        <v>1</v>
      </c>
      <c r="N1041" s="21">
        <v>69999</v>
      </c>
      <c r="O1041" s="22">
        <v>8</v>
      </c>
      <c r="P1041" s="23">
        <v>64399.08</v>
      </c>
      <c r="Q1041" s="22">
        <v>4.8</v>
      </c>
      <c r="R1041" s="22">
        <v>20</v>
      </c>
      <c r="S1041" s="23">
        <f>(Table13[[#This Row],[Unit Price]]*Table13[[#This Row],[No.of Units]])*18%</f>
        <v>12599.82</v>
      </c>
      <c r="T1041" s="22" t="s">
        <v>1508</v>
      </c>
    </row>
    <row r="1042" spans="2:20" x14ac:dyDescent="0.3">
      <c r="B1042" s="5" t="s">
        <v>981</v>
      </c>
      <c r="C1042" s="1">
        <v>173977</v>
      </c>
      <c r="D1042" s="1">
        <v>68</v>
      </c>
      <c r="E1042" s="1" t="s">
        <v>20</v>
      </c>
      <c r="F1042" s="16">
        <v>45903</v>
      </c>
      <c r="G1042" s="1" t="s">
        <v>1470</v>
      </c>
      <c r="H1042" s="1" t="s">
        <v>1471</v>
      </c>
      <c r="I1042" s="17" t="s">
        <v>1503</v>
      </c>
      <c r="J1042" s="18" t="s">
        <v>28</v>
      </c>
      <c r="K1042" s="19" t="s">
        <v>26</v>
      </c>
      <c r="L1042" s="19" t="s">
        <v>35</v>
      </c>
      <c r="M1042" s="20">
        <v>1</v>
      </c>
      <c r="N1042" s="21">
        <v>42999</v>
      </c>
      <c r="O1042" s="22">
        <v>15</v>
      </c>
      <c r="P1042" s="23">
        <v>36549.15</v>
      </c>
      <c r="Q1042" s="22">
        <v>4.5999999999999996</v>
      </c>
      <c r="R1042" s="22">
        <v>20</v>
      </c>
      <c r="S1042" s="23">
        <f>(Table13[[#This Row],[Unit Price]]*Table13[[#This Row],[No.of Units]])*18%</f>
        <v>7739.82</v>
      </c>
      <c r="T1042" s="22" t="s">
        <v>1508</v>
      </c>
    </row>
    <row r="1043" spans="2:20" x14ac:dyDescent="0.3">
      <c r="B1043" s="5" t="s">
        <v>981</v>
      </c>
      <c r="C1043" s="1">
        <v>173977</v>
      </c>
      <c r="D1043" s="1">
        <v>25</v>
      </c>
      <c r="E1043" s="1" t="s">
        <v>12</v>
      </c>
      <c r="F1043" s="16">
        <v>45903</v>
      </c>
      <c r="G1043" s="1" t="s">
        <v>1470</v>
      </c>
      <c r="H1043" s="1" t="s">
        <v>1472</v>
      </c>
      <c r="I1043" s="17" t="s">
        <v>1502</v>
      </c>
      <c r="J1043" s="18" t="s">
        <v>13</v>
      </c>
      <c r="K1043" s="19" t="s">
        <v>14</v>
      </c>
      <c r="L1043" s="19" t="s">
        <v>42</v>
      </c>
      <c r="M1043" s="20">
        <v>5</v>
      </c>
      <c r="N1043" s="21">
        <v>99999</v>
      </c>
      <c r="O1043" s="22">
        <v>10</v>
      </c>
      <c r="P1043" s="23">
        <v>449995.5</v>
      </c>
      <c r="Q1043" s="22">
        <v>4.7</v>
      </c>
      <c r="R1043" s="22">
        <v>20</v>
      </c>
      <c r="S1043" s="23">
        <f>(Table13[[#This Row],[Unit Price]]*Table13[[#This Row],[No.of Units]])*18%</f>
        <v>89999.099999999991</v>
      </c>
      <c r="T1043" s="22" t="s">
        <v>1508</v>
      </c>
    </row>
    <row r="1044" spans="2:20" x14ac:dyDescent="0.3">
      <c r="B1044" s="5" t="s">
        <v>981</v>
      </c>
      <c r="C1044" s="1">
        <v>173977</v>
      </c>
      <c r="D1044" s="1">
        <v>25</v>
      </c>
      <c r="E1044" s="1" t="s">
        <v>12</v>
      </c>
      <c r="F1044" s="16">
        <v>45903</v>
      </c>
      <c r="G1044" s="1" t="s">
        <v>1470</v>
      </c>
      <c r="H1044" s="1" t="s">
        <v>1471</v>
      </c>
      <c r="I1044" s="17" t="s">
        <v>1503</v>
      </c>
      <c r="J1044" s="18" t="s">
        <v>17</v>
      </c>
      <c r="K1044" s="19" t="s">
        <v>18</v>
      </c>
      <c r="L1044" s="19" t="s">
        <v>42</v>
      </c>
      <c r="M1044" s="20">
        <v>58</v>
      </c>
      <c r="N1044" s="21">
        <v>4999</v>
      </c>
      <c r="O1044" s="22">
        <v>18</v>
      </c>
      <c r="P1044" s="23">
        <v>237752.44</v>
      </c>
      <c r="Q1044" s="22">
        <v>4.4000000000000004</v>
      </c>
      <c r="R1044" s="22">
        <v>20</v>
      </c>
      <c r="S1044" s="23">
        <f>(Table13[[#This Row],[Unit Price]]*Table13[[#This Row],[No.of Units]])*18%</f>
        <v>52189.56</v>
      </c>
      <c r="T1044" s="22" t="s">
        <v>1508</v>
      </c>
    </row>
    <row r="1045" spans="2:20" x14ac:dyDescent="0.3">
      <c r="B1045" s="5" t="s">
        <v>981</v>
      </c>
      <c r="C1045" s="1">
        <v>173977</v>
      </c>
      <c r="D1045" s="1">
        <v>24</v>
      </c>
      <c r="E1045" s="1" t="s">
        <v>12</v>
      </c>
      <c r="F1045" s="16">
        <v>45903</v>
      </c>
      <c r="G1045" s="1" t="s">
        <v>1470</v>
      </c>
      <c r="H1045" s="1" t="s">
        <v>1481</v>
      </c>
      <c r="I1045" s="17" t="s">
        <v>1504</v>
      </c>
      <c r="J1045" s="18" t="s">
        <v>21</v>
      </c>
      <c r="K1045" s="19" t="s">
        <v>18</v>
      </c>
      <c r="L1045" s="19" t="s">
        <v>42</v>
      </c>
      <c r="M1045" s="20">
        <v>13</v>
      </c>
      <c r="N1045" s="21">
        <v>24900</v>
      </c>
      <c r="O1045" s="22">
        <v>5</v>
      </c>
      <c r="P1045" s="23">
        <v>307515</v>
      </c>
      <c r="Q1045" s="22">
        <v>4.8</v>
      </c>
      <c r="R1045" s="22">
        <v>20</v>
      </c>
      <c r="S1045" s="23">
        <f>(Table13[[#This Row],[Unit Price]]*Table13[[#This Row],[No.of Units]])*18%</f>
        <v>58266</v>
      </c>
      <c r="T1045" s="22" t="s">
        <v>1508</v>
      </c>
    </row>
    <row r="1046" spans="2:20" x14ac:dyDescent="0.3">
      <c r="B1046" s="5" t="s">
        <v>981</v>
      </c>
      <c r="C1046" s="1">
        <v>173977</v>
      </c>
      <c r="D1046" s="1">
        <v>39</v>
      </c>
      <c r="E1046" s="1" t="s">
        <v>12</v>
      </c>
      <c r="F1046" s="16">
        <v>45903</v>
      </c>
      <c r="G1046" s="1" t="s">
        <v>1470</v>
      </c>
      <c r="H1046" s="1" t="s">
        <v>1482</v>
      </c>
      <c r="I1046" s="17" t="s">
        <v>1505</v>
      </c>
      <c r="J1046" s="18" t="s">
        <v>23</v>
      </c>
      <c r="K1046" s="19" t="s">
        <v>14</v>
      </c>
      <c r="L1046" s="19" t="s">
        <v>42</v>
      </c>
      <c r="M1046" s="20">
        <v>5</v>
      </c>
      <c r="N1046" s="21">
        <v>84999</v>
      </c>
      <c r="O1046" s="22">
        <v>12</v>
      </c>
      <c r="P1046" s="23">
        <v>373995.6</v>
      </c>
      <c r="Q1046" s="22">
        <v>4.5</v>
      </c>
      <c r="R1046" s="22">
        <v>20</v>
      </c>
      <c r="S1046" s="23">
        <f>(Table13[[#This Row],[Unit Price]]*Table13[[#This Row],[No.of Units]])*18%</f>
        <v>76499.099999999991</v>
      </c>
      <c r="T1046" s="22" t="s">
        <v>1507</v>
      </c>
    </row>
    <row r="1047" spans="2:20" x14ac:dyDescent="0.3">
      <c r="B1047" s="5" t="s">
        <v>981</v>
      </c>
      <c r="C1047" s="1">
        <v>173977</v>
      </c>
      <c r="D1047" s="1">
        <v>30</v>
      </c>
      <c r="E1047" s="1" t="s">
        <v>12</v>
      </c>
      <c r="F1047" s="16">
        <v>45903</v>
      </c>
      <c r="G1047" s="1" t="s">
        <v>1470</v>
      </c>
      <c r="H1047" s="1" t="s">
        <v>1481</v>
      </c>
      <c r="I1047" s="17" t="s">
        <v>1504</v>
      </c>
      <c r="J1047" s="18" t="s">
        <v>25</v>
      </c>
      <c r="K1047" s="19" t="s">
        <v>26</v>
      </c>
      <c r="L1047" s="19" t="s">
        <v>42</v>
      </c>
      <c r="M1047" s="20">
        <v>5</v>
      </c>
      <c r="N1047" s="21">
        <v>69999</v>
      </c>
      <c r="O1047" s="22">
        <v>8</v>
      </c>
      <c r="P1047" s="23">
        <v>321995.40000000002</v>
      </c>
      <c r="Q1047" s="22">
        <v>4.8</v>
      </c>
      <c r="R1047" s="22">
        <v>20</v>
      </c>
      <c r="S1047" s="23">
        <f>(Table13[[#This Row],[Unit Price]]*Table13[[#This Row],[No.of Units]])*18%</f>
        <v>62999.1</v>
      </c>
      <c r="T1047" s="22" t="s">
        <v>1507</v>
      </c>
    </row>
    <row r="1048" spans="2:20" x14ac:dyDescent="0.3">
      <c r="B1048" s="5" t="s">
        <v>982</v>
      </c>
      <c r="C1048" s="1">
        <v>3781773</v>
      </c>
      <c r="D1048" s="1">
        <v>23</v>
      </c>
      <c r="E1048" s="1" t="s">
        <v>12</v>
      </c>
      <c r="F1048" s="16">
        <v>45903</v>
      </c>
      <c r="G1048" s="1" t="s">
        <v>1470</v>
      </c>
      <c r="H1048" s="1" t="s">
        <v>1482</v>
      </c>
      <c r="I1048" s="17" t="s">
        <v>1503</v>
      </c>
      <c r="J1048" s="18" t="s">
        <v>28</v>
      </c>
      <c r="K1048" s="19" t="s">
        <v>26</v>
      </c>
      <c r="L1048" s="19" t="s">
        <v>42</v>
      </c>
      <c r="M1048" s="20">
        <v>11</v>
      </c>
      <c r="N1048" s="21">
        <v>42999</v>
      </c>
      <c r="O1048" s="22">
        <v>15</v>
      </c>
      <c r="P1048" s="23">
        <v>402040.65</v>
      </c>
      <c r="Q1048" s="22">
        <v>4.5999999999999996</v>
      </c>
      <c r="R1048" s="22">
        <v>20</v>
      </c>
      <c r="S1048" s="23">
        <f>(Table13[[#This Row],[Unit Price]]*Table13[[#This Row],[No.of Units]])*18%</f>
        <v>85138.02</v>
      </c>
      <c r="T1048" s="22" t="s">
        <v>1508</v>
      </c>
    </row>
    <row r="1049" spans="2:20" x14ac:dyDescent="0.3">
      <c r="B1049" s="5" t="s">
        <v>983</v>
      </c>
      <c r="C1049" s="1">
        <v>8901446</v>
      </c>
      <c r="D1049" s="1">
        <v>58</v>
      </c>
      <c r="E1049" s="1" t="s">
        <v>20</v>
      </c>
      <c r="F1049" s="16">
        <v>45903</v>
      </c>
      <c r="G1049" s="1" t="s">
        <v>1470</v>
      </c>
      <c r="H1049" s="1" t="s">
        <v>1482</v>
      </c>
      <c r="I1049" s="17" t="s">
        <v>1502</v>
      </c>
      <c r="J1049" s="18" t="s">
        <v>13</v>
      </c>
      <c r="K1049" s="19" t="s">
        <v>14</v>
      </c>
      <c r="L1049" s="19" t="s">
        <v>49</v>
      </c>
      <c r="M1049" s="20">
        <v>5</v>
      </c>
      <c r="N1049" s="21">
        <v>99999</v>
      </c>
      <c r="O1049" s="22">
        <v>10</v>
      </c>
      <c r="P1049" s="23">
        <v>449995.5</v>
      </c>
      <c r="Q1049" s="22">
        <v>4.7</v>
      </c>
      <c r="R1049" s="22">
        <v>20</v>
      </c>
      <c r="S1049" s="23">
        <f>(Table13[[#This Row],[Unit Price]]*Table13[[#This Row],[No.of Units]])*18%</f>
        <v>89999.099999999991</v>
      </c>
      <c r="T1049" s="22" t="s">
        <v>1507</v>
      </c>
    </row>
    <row r="1050" spans="2:20" x14ac:dyDescent="0.3">
      <c r="B1050" s="5" t="s">
        <v>984</v>
      </c>
      <c r="C1050" s="1">
        <v>6347718</v>
      </c>
      <c r="D1050" s="1">
        <v>58</v>
      </c>
      <c r="E1050" s="1" t="s">
        <v>20</v>
      </c>
      <c r="F1050" s="16">
        <v>45903</v>
      </c>
      <c r="G1050" s="1" t="s">
        <v>1470</v>
      </c>
      <c r="H1050" s="1" t="s">
        <v>1483</v>
      </c>
      <c r="I1050" s="17" t="s">
        <v>1503</v>
      </c>
      <c r="J1050" s="18" t="s">
        <v>17</v>
      </c>
      <c r="K1050" s="19" t="s">
        <v>18</v>
      </c>
      <c r="L1050" s="19" t="s">
        <v>49</v>
      </c>
      <c r="M1050" s="20">
        <v>32</v>
      </c>
      <c r="N1050" s="21">
        <v>4999</v>
      </c>
      <c r="O1050" s="22">
        <v>18</v>
      </c>
      <c r="P1050" s="23">
        <v>131173.76000000001</v>
      </c>
      <c r="Q1050" s="22">
        <v>4.4000000000000004</v>
      </c>
      <c r="R1050" s="22">
        <v>20</v>
      </c>
      <c r="S1050" s="23">
        <f>(Table13[[#This Row],[Unit Price]]*Table13[[#This Row],[No.of Units]])*18%</f>
        <v>28794.239999999998</v>
      </c>
      <c r="T1050" s="22" t="s">
        <v>1508</v>
      </c>
    </row>
    <row r="1051" spans="2:20" x14ac:dyDescent="0.3">
      <c r="B1051" s="5" t="s">
        <v>985</v>
      </c>
      <c r="C1051" s="1">
        <v>9825843</v>
      </c>
      <c r="D1051" s="1">
        <v>33</v>
      </c>
      <c r="E1051" s="1" t="s">
        <v>12</v>
      </c>
      <c r="F1051" s="16">
        <v>45903</v>
      </c>
      <c r="G1051" s="1" t="s">
        <v>1470</v>
      </c>
      <c r="H1051" s="1" t="s">
        <v>1482</v>
      </c>
      <c r="I1051" s="17" t="s">
        <v>1504</v>
      </c>
      <c r="J1051" s="18" t="s">
        <v>21</v>
      </c>
      <c r="K1051" s="19" t="s">
        <v>18</v>
      </c>
      <c r="L1051" s="19" t="s">
        <v>49</v>
      </c>
      <c r="M1051" s="20">
        <v>9</v>
      </c>
      <c r="N1051" s="21">
        <v>24900</v>
      </c>
      <c r="O1051" s="22">
        <v>5</v>
      </c>
      <c r="P1051" s="23">
        <v>212895</v>
      </c>
      <c r="Q1051" s="22">
        <v>4.8</v>
      </c>
      <c r="R1051" s="22">
        <v>20</v>
      </c>
      <c r="S1051" s="23">
        <f>(Table13[[#This Row],[Unit Price]]*Table13[[#This Row],[No.of Units]])*18%</f>
        <v>40338</v>
      </c>
      <c r="T1051" s="22" t="s">
        <v>1508</v>
      </c>
    </row>
    <row r="1052" spans="2:20" x14ac:dyDescent="0.3">
      <c r="B1052" s="5" t="s">
        <v>986</v>
      </c>
      <c r="C1052" s="1">
        <v>7186513</v>
      </c>
      <c r="D1052" s="1">
        <v>43</v>
      </c>
      <c r="E1052" s="1" t="s">
        <v>12</v>
      </c>
      <c r="F1052" s="16">
        <v>45903</v>
      </c>
      <c r="G1052" s="1" t="s">
        <v>1470</v>
      </c>
      <c r="H1052" s="1" t="s">
        <v>1471</v>
      </c>
      <c r="I1052" s="17" t="s">
        <v>1505</v>
      </c>
      <c r="J1052" s="18" t="s">
        <v>23</v>
      </c>
      <c r="K1052" s="19" t="s">
        <v>14</v>
      </c>
      <c r="L1052" s="19" t="s">
        <v>49</v>
      </c>
      <c r="M1052" s="20">
        <v>3</v>
      </c>
      <c r="N1052" s="21">
        <v>84999</v>
      </c>
      <c r="O1052" s="22">
        <v>12</v>
      </c>
      <c r="P1052" s="23">
        <v>224397.36</v>
      </c>
      <c r="Q1052" s="22">
        <v>4.5</v>
      </c>
      <c r="R1052" s="22">
        <v>20</v>
      </c>
      <c r="S1052" s="23">
        <f>(Table13[[#This Row],[Unit Price]]*Table13[[#This Row],[No.of Units]])*18%</f>
        <v>45899.46</v>
      </c>
      <c r="T1052" s="22" t="s">
        <v>1508</v>
      </c>
    </row>
    <row r="1053" spans="2:20" x14ac:dyDescent="0.3">
      <c r="B1053" s="5" t="s">
        <v>987</v>
      </c>
      <c r="C1053" s="1">
        <v>3240121</v>
      </c>
      <c r="D1053" s="1">
        <v>41</v>
      </c>
      <c r="E1053" s="1" t="s">
        <v>12</v>
      </c>
      <c r="F1053" s="16">
        <v>45903</v>
      </c>
      <c r="G1053" s="1" t="s">
        <v>1474</v>
      </c>
      <c r="H1053" s="1" t="s">
        <v>1480</v>
      </c>
      <c r="I1053" s="17" t="s">
        <v>1504</v>
      </c>
      <c r="J1053" s="18" t="s">
        <v>25</v>
      </c>
      <c r="K1053" s="19" t="s">
        <v>26</v>
      </c>
      <c r="L1053" s="19" t="s">
        <v>49</v>
      </c>
      <c r="M1053" s="20">
        <v>2</v>
      </c>
      <c r="N1053" s="21">
        <v>69999</v>
      </c>
      <c r="O1053" s="22">
        <v>8</v>
      </c>
      <c r="P1053" s="23">
        <v>128798.16</v>
      </c>
      <c r="Q1053" s="22">
        <v>4.8</v>
      </c>
      <c r="R1053" s="22">
        <v>20</v>
      </c>
      <c r="S1053" s="23">
        <f>(Table13[[#This Row],[Unit Price]]*Table13[[#This Row],[No.of Units]])*18%</f>
        <v>25199.64</v>
      </c>
      <c r="T1053" s="22" t="s">
        <v>1508</v>
      </c>
    </row>
    <row r="1054" spans="2:20" x14ac:dyDescent="0.3">
      <c r="B1054" s="5" t="s">
        <v>988</v>
      </c>
      <c r="C1054" s="1">
        <v>9995247</v>
      </c>
      <c r="D1054" s="1">
        <v>28</v>
      </c>
      <c r="E1054" s="1" t="s">
        <v>12</v>
      </c>
      <c r="F1054" s="16">
        <v>45903</v>
      </c>
      <c r="G1054" s="1" t="s">
        <v>1470</v>
      </c>
      <c r="H1054" s="1" t="s">
        <v>1482</v>
      </c>
      <c r="I1054" s="17" t="s">
        <v>1503</v>
      </c>
      <c r="J1054" s="18" t="s">
        <v>28</v>
      </c>
      <c r="K1054" s="19" t="s">
        <v>26</v>
      </c>
      <c r="L1054" s="19" t="s">
        <v>49</v>
      </c>
      <c r="M1054" s="20">
        <v>11</v>
      </c>
      <c r="N1054" s="21">
        <v>42999</v>
      </c>
      <c r="O1054" s="22">
        <v>15</v>
      </c>
      <c r="P1054" s="23">
        <v>402040.65</v>
      </c>
      <c r="Q1054" s="22">
        <v>4.5999999999999996</v>
      </c>
      <c r="R1054" s="22">
        <v>20</v>
      </c>
      <c r="S1054" s="23">
        <f>(Table13[[#This Row],[Unit Price]]*Table13[[#This Row],[No.of Units]])*18%</f>
        <v>85138.02</v>
      </c>
      <c r="T1054" s="22" t="s">
        <v>1508</v>
      </c>
    </row>
    <row r="1055" spans="2:20" x14ac:dyDescent="0.3">
      <c r="B1055" s="5" t="s">
        <v>989</v>
      </c>
      <c r="C1055" s="1">
        <v>2713312</v>
      </c>
      <c r="D1055" s="1">
        <v>30</v>
      </c>
      <c r="E1055" s="1" t="s">
        <v>12</v>
      </c>
      <c r="F1055" s="16">
        <v>45910</v>
      </c>
      <c r="G1055" s="1" t="s">
        <v>1474</v>
      </c>
      <c r="H1055" s="1" t="s">
        <v>1480</v>
      </c>
      <c r="I1055" s="17" t="s">
        <v>1502</v>
      </c>
      <c r="J1055" s="18" t="s">
        <v>13</v>
      </c>
      <c r="K1055" s="19" t="s">
        <v>14</v>
      </c>
      <c r="L1055" s="19" t="s">
        <v>15</v>
      </c>
      <c r="M1055" s="20">
        <v>4</v>
      </c>
      <c r="N1055" s="21">
        <v>99999</v>
      </c>
      <c r="O1055" s="22">
        <v>10</v>
      </c>
      <c r="P1055" s="23">
        <v>359996.4</v>
      </c>
      <c r="Q1055" s="22">
        <v>4.7</v>
      </c>
      <c r="R1055" s="22">
        <v>20</v>
      </c>
      <c r="S1055" s="23">
        <f>(Table13[[#This Row],[Unit Price]]*Table13[[#This Row],[No.of Units]])*18%</f>
        <v>71999.28</v>
      </c>
      <c r="T1055" s="22" t="s">
        <v>1507</v>
      </c>
    </row>
    <row r="1056" spans="2:20" x14ac:dyDescent="0.3">
      <c r="B1056" s="5" t="s">
        <v>990</v>
      </c>
      <c r="C1056" s="1">
        <v>8150725</v>
      </c>
      <c r="D1056" s="1">
        <v>42</v>
      </c>
      <c r="E1056" s="1" t="s">
        <v>12</v>
      </c>
      <c r="F1056" s="16">
        <v>45910</v>
      </c>
      <c r="G1056" s="1" t="s">
        <v>1470</v>
      </c>
      <c r="H1056" s="1" t="s">
        <v>1482</v>
      </c>
      <c r="I1056" s="17" t="s">
        <v>1503</v>
      </c>
      <c r="J1056" s="18" t="s">
        <v>17</v>
      </c>
      <c r="K1056" s="19" t="s">
        <v>18</v>
      </c>
      <c r="L1056" s="19" t="s">
        <v>15</v>
      </c>
      <c r="M1056" s="20">
        <v>32</v>
      </c>
      <c r="N1056" s="21">
        <v>4999</v>
      </c>
      <c r="O1056" s="22">
        <v>18</v>
      </c>
      <c r="P1056" s="23">
        <v>131173.76000000001</v>
      </c>
      <c r="Q1056" s="22">
        <v>4.4000000000000004</v>
      </c>
      <c r="R1056" s="22">
        <v>20</v>
      </c>
      <c r="S1056" s="23">
        <f>(Table13[[#This Row],[Unit Price]]*Table13[[#This Row],[No.of Units]])*18%</f>
        <v>28794.239999999998</v>
      </c>
      <c r="T1056" s="22" t="s">
        <v>1507</v>
      </c>
    </row>
    <row r="1057" spans="2:20" x14ac:dyDescent="0.3">
      <c r="B1057" s="5" t="s">
        <v>991</v>
      </c>
      <c r="C1057" s="1">
        <v>5211914</v>
      </c>
      <c r="D1057" s="1">
        <v>65</v>
      </c>
      <c r="E1057" s="1" t="s">
        <v>20</v>
      </c>
      <c r="F1057" s="16">
        <v>45910</v>
      </c>
      <c r="G1057" s="1" t="s">
        <v>1470</v>
      </c>
      <c r="H1057" s="1" t="s">
        <v>1472</v>
      </c>
      <c r="I1057" s="17" t="s">
        <v>1504</v>
      </c>
      <c r="J1057" s="18" t="s">
        <v>21</v>
      </c>
      <c r="K1057" s="19" t="s">
        <v>18</v>
      </c>
      <c r="L1057" s="19" t="s">
        <v>15</v>
      </c>
      <c r="M1057" s="20">
        <v>12</v>
      </c>
      <c r="N1057" s="21">
        <v>24900</v>
      </c>
      <c r="O1057" s="22">
        <v>5</v>
      </c>
      <c r="P1057" s="23">
        <v>283860</v>
      </c>
      <c r="Q1057" s="22">
        <v>4.8</v>
      </c>
      <c r="R1057" s="22">
        <v>20</v>
      </c>
      <c r="S1057" s="23">
        <f>(Table13[[#This Row],[Unit Price]]*Table13[[#This Row],[No.of Units]])*18%</f>
        <v>53784</v>
      </c>
      <c r="T1057" s="22" t="s">
        <v>1507</v>
      </c>
    </row>
    <row r="1058" spans="2:20" x14ac:dyDescent="0.3">
      <c r="B1058" s="5" t="s">
        <v>992</v>
      </c>
      <c r="C1058" s="1">
        <v>3446819</v>
      </c>
      <c r="D1058" s="1">
        <v>21</v>
      </c>
      <c r="E1058" s="1" t="s">
        <v>12</v>
      </c>
      <c r="F1058" s="16">
        <v>45910</v>
      </c>
      <c r="G1058" s="1" t="s">
        <v>1470</v>
      </c>
      <c r="H1058" s="1" t="s">
        <v>1483</v>
      </c>
      <c r="I1058" s="17" t="s">
        <v>1505</v>
      </c>
      <c r="J1058" s="18" t="s">
        <v>23</v>
      </c>
      <c r="K1058" s="19" t="s">
        <v>14</v>
      </c>
      <c r="L1058" s="19" t="s">
        <v>15</v>
      </c>
      <c r="M1058" s="20">
        <v>2</v>
      </c>
      <c r="N1058" s="21">
        <v>84999</v>
      </c>
      <c r="O1058" s="22">
        <v>12</v>
      </c>
      <c r="P1058" s="23">
        <v>149598.24</v>
      </c>
      <c r="Q1058" s="22">
        <v>4.5</v>
      </c>
      <c r="R1058" s="22">
        <v>20</v>
      </c>
      <c r="S1058" s="23">
        <f>(Table13[[#This Row],[Unit Price]]*Table13[[#This Row],[No.of Units]])*18%</f>
        <v>30599.64</v>
      </c>
      <c r="T1058" s="22" t="s">
        <v>1508</v>
      </c>
    </row>
    <row r="1059" spans="2:20" x14ac:dyDescent="0.3">
      <c r="B1059" s="5" t="s">
        <v>992</v>
      </c>
      <c r="C1059" s="1">
        <v>3446819</v>
      </c>
      <c r="D1059" s="1">
        <v>22</v>
      </c>
      <c r="E1059" s="1" t="s">
        <v>12</v>
      </c>
      <c r="F1059" s="16">
        <v>45910</v>
      </c>
      <c r="G1059" s="1" t="s">
        <v>1470</v>
      </c>
      <c r="H1059" s="1" t="s">
        <v>1472</v>
      </c>
      <c r="I1059" s="17" t="s">
        <v>1504</v>
      </c>
      <c r="J1059" s="18" t="s">
        <v>25</v>
      </c>
      <c r="K1059" s="19" t="s">
        <v>26</v>
      </c>
      <c r="L1059" s="19" t="s">
        <v>15</v>
      </c>
      <c r="M1059" s="20">
        <v>6</v>
      </c>
      <c r="N1059" s="21">
        <v>69999</v>
      </c>
      <c r="O1059" s="22">
        <v>8</v>
      </c>
      <c r="P1059" s="23">
        <v>386394.48</v>
      </c>
      <c r="Q1059" s="22">
        <v>4.8</v>
      </c>
      <c r="R1059" s="22">
        <v>20</v>
      </c>
      <c r="S1059" s="23">
        <f>(Table13[[#This Row],[Unit Price]]*Table13[[#This Row],[No.of Units]])*18%</f>
        <v>75598.92</v>
      </c>
      <c r="T1059" s="22" t="s">
        <v>1507</v>
      </c>
    </row>
    <row r="1060" spans="2:20" x14ac:dyDescent="0.3">
      <c r="B1060" s="5" t="s">
        <v>993</v>
      </c>
      <c r="C1060" s="1">
        <v>507148</v>
      </c>
      <c r="D1060" s="1">
        <v>32</v>
      </c>
      <c r="E1060" s="1" t="s">
        <v>12</v>
      </c>
      <c r="F1060" s="16">
        <v>45910</v>
      </c>
      <c r="G1060" s="1" t="s">
        <v>1470</v>
      </c>
      <c r="H1060" s="1" t="s">
        <v>1482</v>
      </c>
      <c r="I1060" s="17" t="s">
        <v>1503</v>
      </c>
      <c r="J1060" s="18" t="s">
        <v>28</v>
      </c>
      <c r="K1060" s="19" t="s">
        <v>26</v>
      </c>
      <c r="L1060" s="19" t="s">
        <v>15</v>
      </c>
      <c r="M1060" s="20">
        <v>9</v>
      </c>
      <c r="N1060" s="21">
        <v>42999</v>
      </c>
      <c r="O1060" s="22">
        <v>15</v>
      </c>
      <c r="P1060" s="23">
        <v>328942.34999999998</v>
      </c>
      <c r="Q1060" s="22">
        <v>4.5999999999999996</v>
      </c>
      <c r="R1060" s="22">
        <v>20</v>
      </c>
      <c r="S1060" s="23">
        <f>(Table13[[#This Row],[Unit Price]]*Table13[[#This Row],[No.of Units]])*18%</f>
        <v>69658.38</v>
      </c>
      <c r="T1060" s="22" t="s">
        <v>1507</v>
      </c>
    </row>
    <row r="1061" spans="2:20" x14ac:dyDescent="0.3">
      <c r="B1061" s="5" t="s">
        <v>993</v>
      </c>
      <c r="C1061" s="1">
        <v>507148</v>
      </c>
      <c r="D1061" s="1">
        <v>69</v>
      </c>
      <c r="E1061" s="1" t="s">
        <v>20</v>
      </c>
      <c r="F1061" s="16">
        <v>45910</v>
      </c>
      <c r="G1061" s="1" t="s">
        <v>1470</v>
      </c>
      <c r="H1061" s="1" t="s">
        <v>1471</v>
      </c>
      <c r="I1061" s="17" t="s">
        <v>1502</v>
      </c>
      <c r="J1061" s="18" t="s">
        <v>13</v>
      </c>
      <c r="K1061" s="19" t="s">
        <v>14</v>
      </c>
      <c r="L1061" s="19" t="s">
        <v>29</v>
      </c>
      <c r="M1061" s="20">
        <v>6</v>
      </c>
      <c r="N1061" s="21">
        <v>99999</v>
      </c>
      <c r="O1061" s="22">
        <v>10</v>
      </c>
      <c r="P1061" s="23">
        <v>539994.6</v>
      </c>
      <c r="Q1061" s="22">
        <v>4.7</v>
      </c>
      <c r="R1061" s="22">
        <v>20</v>
      </c>
      <c r="S1061" s="23">
        <f>(Table13[[#This Row],[Unit Price]]*Table13[[#This Row],[No.of Units]])*18%</f>
        <v>107998.92</v>
      </c>
      <c r="T1061" s="22" t="s">
        <v>1508</v>
      </c>
    </row>
    <row r="1062" spans="2:20" x14ac:dyDescent="0.3">
      <c r="B1062" s="5" t="s">
        <v>994</v>
      </c>
      <c r="C1062" s="1">
        <v>1462525</v>
      </c>
      <c r="D1062" s="1">
        <v>37</v>
      </c>
      <c r="E1062" s="1" t="s">
        <v>12</v>
      </c>
      <c r="F1062" s="16">
        <v>45910</v>
      </c>
      <c r="G1062" s="1" t="s">
        <v>1470</v>
      </c>
      <c r="H1062" s="1" t="s">
        <v>1472</v>
      </c>
      <c r="I1062" s="17" t="s">
        <v>1503</v>
      </c>
      <c r="J1062" s="18" t="s">
        <v>17</v>
      </c>
      <c r="K1062" s="19" t="s">
        <v>18</v>
      </c>
      <c r="L1062" s="19" t="s">
        <v>29</v>
      </c>
      <c r="M1062" s="20">
        <v>59</v>
      </c>
      <c r="N1062" s="21">
        <v>4999</v>
      </c>
      <c r="O1062" s="22">
        <v>18</v>
      </c>
      <c r="P1062" s="23">
        <v>241851.62</v>
      </c>
      <c r="Q1062" s="22">
        <v>4.4000000000000004</v>
      </c>
      <c r="R1062" s="22">
        <v>20</v>
      </c>
      <c r="S1062" s="23">
        <f>(Table13[[#This Row],[Unit Price]]*Table13[[#This Row],[No.of Units]])*18%</f>
        <v>53089.38</v>
      </c>
      <c r="T1062" s="22" t="s">
        <v>1508</v>
      </c>
    </row>
    <row r="1063" spans="2:20" x14ac:dyDescent="0.3">
      <c r="B1063" s="5" t="s">
        <v>995</v>
      </c>
      <c r="C1063" s="1">
        <v>5162864</v>
      </c>
      <c r="D1063" s="1">
        <v>20</v>
      </c>
      <c r="E1063" s="1" t="s">
        <v>12</v>
      </c>
      <c r="F1063" s="16">
        <v>45910</v>
      </c>
      <c r="G1063" s="1" t="s">
        <v>1470</v>
      </c>
      <c r="H1063" s="1" t="s">
        <v>1471</v>
      </c>
      <c r="I1063" s="17" t="s">
        <v>1504</v>
      </c>
      <c r="J1063" s="18" t="s">
        <v>21</v>
      </c>
      <c r="K1063" s="19" t="s">
        <v>18</v>
      </c>
      <c r="L1063" s="19" t="s">
        <v>29</v>
      </c>
      <c r="M1063" s="20">
        <v>5</v>
      </c>
      <c r="N1063" s="21">
        <v>24900</v>
      </c>
      <c r="O1063" s="22">
        <v>5</v>
      </c>
      <c r="P1063" s="23">
        <v>118275</v>
      </c>
      <c r="Q1063" s="22">
        <v>4.8</v>
      </c>
      <c r="R1063" s="22">
        <v>20</v>
      </c>
      <c r="S1063" s="23">
        <f>(Table13[[#This Row],[Unit Price]]*Table13[[#This Row],[No.of Units]])*18%</f>
        <v>22410</v>
      </c>
      <c r="T1063" s="22" t="s">
        <v>1508</v>
      </c>
    </row>
    <row r="1064" spans="2:20" x14ac:dyDescent="0.3">
      <c r="B1064" s="5" t="s">
        <v>996</v>
      </c>
      <c r="C1064" s="1">
        <v>277376</v>
      </c>
      <c r="D1064" s="1">
        <v>50</v>
      </c>
      <c r="E1064" s="1" t="s">
        <v>20</v>
      </c>
      <c r="F1064" s="16">
        <v>45910</v>
      </c>
      <c r="G1064" s="1" t="s">
        <v>1470</v>
      </c>
      <c r="H1064" s="1" t="s">
        <v>1482</v>
      </c>
      <c r="I1064" s="17" t="s">
        <v>1505</v>
      </c>
      <c r="J1064" s="18" t="s">
        <v>23</v>
      </c>
      <c r="K1064" s="19" t="s">
        <v>14</v>
      </c>
      <c r="L1064" s="19" t="s">
        <v>29</v>
      </c>
      <c r="M1064" s="20">
        <v>3</v>
      </c>
      <c r="N1064" s="21">
        <v>84999</v>
      </c>
      <c r="O1064" s="22">
        <v>12</v>
      </c>
      <c r="P1064" s="23">
        <v>224397.36</v>
      </c>
      <c r="Q1064" s="22">
        <v>4.5</v>
      </c>
      <c r="R1064" s="22">
        <v>20</v>
      </c>
      <c r="S1064" s="23">
        <f>(Table13[[#This Row],[Unit Price]]*Table13[[#This Row],[No.of Units]])*18%</f>
        <v>45899.46</v>
      </c>
      <c r="T1064" s="22" t="s">
        <v>1508</v>
      </c>
    </row>
    <row r="1065" spans="2:20" x14ac:dyDescent="0.3">
      <c r="B1065" s="5" t="s">
        <v>997</v>
      </c>
      <c r="C1065" s="1">
        <v>822699</v>
      </c>
      <c r="D1065" s="1">
        <v>41</v>
      </c>
      <c r="E1065" s="1" t="s">
        <v>12</v>
      </c>
      <c r="F1065" s="16">
        <v>45910</v>
      </c>
      <c r="G1065" s="1" t="s">
        <v>1470</v>
      </c>
      <c r="H1065" s="1" t="s">
        <v>1483</v>
      </c>
      <c r="I1065" s="17" t="s">
        <v>1504</v>
      </c>
      <c r="J1065" s="18" t="s">
        <v>25</v>
      </c>
      <c r="K1065" s="19" t="s">
        <v>26</v>
      </c>
      <c r="L1065" s="19" t="s">
        <v>29</v>
      </c>
      <c r="M1065" s="20">
        <v>3</v>
      </c>
      <c r="N1065" s="21">
        <v>69999</v>
      </c>
      <c r="O1065" s="22">
        <v>8</v>
      </c>
      <c r="P1065" s="23">
        <v>193197.24</v>
      </c>
      <c r="Q1065" s="22">
        <v>4.8</v>
      </c>
      <c r="R1065" s="22">
        <v>20</v>
      </c>
      <c r="S1065" s="23">
        <f>(Table13[[#This Row],[Unit Price]]*Table13[[#This Row],[No.of Units]])*18%</f>
        <v>37799.46</v>
      </c>
      <c r="T1065" s="22" t="s">
        <v>1507</v>
      </c>
    </row>
    <row r="1066" spans="2:20" x14ac:dyDescent="0.3">
      <c r="B1066" s="5" t="s">
        <v>998</v>
      </c>
      <c r="C1066" s="1">
        <v>5091416</v>
      </c>
      <c r="D1066" s="1">
        <v>48</v>
      </c>
      <c r="E1066" s="1" t="s">
        <v>12</v>
      </c>
      <c r="F1066" s="16">
        <v>45910</v>
      </c>
      <c r="G1066" s="1" t="s">
        <v>1470</v>
      </c>
      <c r="H1066" s="1" t="s">
        <v>1471</v>
      </c>
      <c r="I1066" s="17" t="s">
        <v>1503</v>
      </c>
      <c r="J1066" s="18" t="s">
        <v>28</v>
      </c>
      <c r="K1066" s="19" t="s">
        <v>26</v>
      </c>
      <c r="L1066" s="19" t="s">
        <v>29</v>
      </c>
      <c r="M1066" s="20">
        <v>8</v>
      </c>
      <c r="N1066" s="21">
        <v>42999</v>
      </c>
      <c r="O1066" s="22">
        <v>15</v>
      </c>
      <c r="P1066" s="23">
        <v>292393.2</v>
      </c>
      <c r="Q1066" s="22">
        <v>4.5999999999999996</v>
      </c>
      <c r="R1066" s="22">
        <v>20</v>
      </c>
      <c r="S1066" s="23">
        <f>(Table13[[#This Row],[Unit Price]]*Table13[[#This Row],[No.of Units]])*18%</f>
        <v>61918.559999999998</v>
      </c>
      <c r="T1066" s="22" t="s">
        <v>1508</v>
      </c>
    </row>
    <row r="1067" spans="2:20" x14ac:dyDescent="0.3">
      <c r="B1067" s="5" t="s">
        <v>999</v>
      </c>
      <c r="C1067" s="1">
        <v>9647815</v>
      </c>
      <c r="D1067" s="1">
        <v>33</v>
      </c>
      <c r="E1067" s="1" t="s">
        <v>12</v>
      </c>
      <c r="F1067" s="16">
        <v>45910</v>
      </c>
      <c r="G1067" s="1" t="s">
        <v>1470</v>
      </c>
      <c r="H1067" s="1" t="s">
        <v>1471</v>
      </c>
      <c r="I1067" s="17" t="s">
        <v>1502</v>
      </c>
      <c r="J1067" s="18" t="s">
        <v>13</v>
      </c>
      <c r="K1067" s="19" t="s">
        <v>14</v>
      </c>
      <c r="L1067" s="19" t="s">
        <v>35</v>
      </c>
      <c r="M1067" s="20">
        <v>6</v>
      </c>
      <c r="N1067" s="21">
        <v>99999</v>
      </c>
      <c r="O1067" s="22">
        <v>10</v>
      </c>
      <c r="P1067" s="23">
        <v>539994.6</v>
      </c>
      <c r="Q1067" s="22">
        <v>4.7</v>
      </c>
      <c r="R1067" s="22">
        <v>20</v>
      </c>
      <c r="S1067" s="23">
        <f>(Table13[[#This Row],[Unit Price]]*Table13[[#This Row],[No.of Units]])*18%</f>
        <v>107998.92</v>
      </c>
      <c r="T1067" s="22" t="s">
        <v>1507</v>
      </c>
    </row>
    <row r="1068" spans="2:20" x14ac:dyDescent="0.3">
      <c r="B1068" s="5" t="s">
        <v>1000</v>
      </c>
      <c r="C1068" s="1">
        <v>159818</v>
      </c>
      <c r="D1068" s="1">
        <v>38</v>
      </c>
      <c r="E1068" s="1" t="s">
        <v>12</v>
      </c>
      <c r="F1068" s="16">
        <v>45910</v>
      </c>
      <c r="G1068" s="1" t="s">
        <v>1470</v>
      </c>
      <c r="H1068" s="1" t="s">
        <v>1471</v>
      </c>
      <c r="I1068" s="17" t="s">
        <v>1503</v>
      </c>
      <c r="J1068" s="18" t="s">
        <v>17</v>
      </c>
      <c r="K1068" s="19" t="s">
        <v>18</v>
      </c>
      <c r="L1068" s="19" t="s">
        <v>35</v>
      </c>
      <c r="M1068" s="20">
        <v>45</v>
      </c>
      <c r="N1068" s="21">
        <v>4999</v>
      </c>
      <c r="O1068" s="22">
        <v>18</v>
      </c>
      <c r="P1068" s="23">
        <v>184463.1</v>
      </c>
      <c r="Q1068" s="22">
        <v>4.4000000000000004</v>
      </c>
      <c r="R1068" s="22">
        <v>20</v>
      </c>
      <c r="S1068" s="23">
        <f>(Table13[[#This Row],[Unit Price]]*Table13[[#This Row],[No.of Units]])*18%</f>
        <v>40491.9</v>
      </c>
      <c r="T1068" s="22" t="s">
        <v>1507</v>
      </c>
    </row>
    <row r="1069" spans="2:20" x14ac:dyDescent="0.3">
      <c r="B1069" s="5" t="s">
        <v>1001</v>
      </c>
      <c r="C1069" s="1">
        <v>9772395</v>
      </c>
      <c r="D1069" s="1">
        <v>67</v>
      </c>
      <c r="E1069" s="1" t="s">
        <v>20</v>
      </c>
      <c r="F1069" s="16">
        <v>45910</v>
      </c>
      <c r="G1069" s="1" t="s">
        <v>1470</v>
      </c>
      <c r="H1069" s="1" t="s">
        <v>1471</v>
      </c>
      <c r="I1069" s="17" t="s">
        <v>1504</v>
      </c>
      <c r="J1069" s="18" t="s">
        <v>21</v>
      </c>
      <c r="K1069" s="19" t="s">
        <v>18</v>
      </c>
      <c r="L1069" s="19" t="s">
        <v>35</v>
      </c>
      <c r="M1069" s="20">
        <v>6</v>
      </c>
      <c r="N1069" s="21">
        <v>24900</v>
      </c>
      <c r="O1069" s="22">
        <v>5</v>
      </c>
      <c r="P1069" s="23">
        <v>141930</v>
      </c>
      <c r="Q1069" s="22">
        <v>4.8</v>
      </c>
      <c r="R1069" s="22">
        <v>20</v>
      </c>
      <c r="S1069" s="23">
        <f>(Table13[[#This Row],[Unit Price]]*Table13[[#This Row],[No.of Units]])*18%</f>
        <v>26892</v>
      </c>
      <c r="T1069" s="22" t="s">
        <v>1507</v>
      </c>
    </row>
    <row r="1070" spans="2:20" x14ac:dyDescent="0.3">
      <c r="B1070" s="5" t="s">
        <v>1002</v>
      </c>
      <c r="C1070" s="1">
        <v>6798354</v>
      </c>
      <c r="D1070" s="1">
        <v>27</v>
      </c>
      <c r="E1070" s="1" t="s">
        <v>12</v>
      </c>
      <c r="F1070" s="16">
        <v>45910</v>
      </c>
      <c r="G1070" s="1" t="s">
        <v>1470</v>
      </c>
      <c r="H1070" s="1" t="s">
        <v>1472</v>
      </c>
      <c r="I1070" s="17" t="s">
        <v>1505</v>
      </c>
      <c r="J1070" s="18" t="s">
        <v>23</v>
      </c>
      <c r="K1070" s="19" t="s">
        <v>14</v>
      </c>
      <c r="L1070" s="19" t="s">
        <v>35</v>
      </c>
      <c r="M1070" s="20">
        <v>4</v>
      </c>
      <c r="N1070" s="21">
        <v>84999</v>
      </c>
      <c r="O1070" s="22">
        <v>12</v>
      </c>
      <c r="P1070" s="23">
        <v>299196.48</v>
      </c>
      <c r="Q1070" s="22">
        <v>4.5</v>
      </c>
      <c r="R1070" s="22">
        <v>20</v>
      </c>
      <c r="S1070" s="23">
        <f>(Table13[[#This Row],[Unit Price]]*Table13[[#This Row],[No.of Units]])*18%</f>
        <v>61199.28</v>
      </c>
      <c r="T1070" s="22" t="s">
        <v>1507</v>
      </c>
    </row>
    <row r="1071" spans="2:20" x14ac:dyDescent="0.3">
      <c r="B1071" s="5" t="s">
        <v>1003</v>
      </c>
      <c r="C1071" s="1">
        <v>1332654</v>
      </c>
      <c r="D1071" s="1">
        <v>29</v>
      </c>
      <c r="E1071" s="1" t="s">
        <v>12</v>
      </c>
      <c r="F1071" s="16">
        <v>45910</v>
      </c>
      <c r="G1071" s="1" t="s">
        <v>1470</v>
      </c>
      <c r="H1071" s="1" t="s">
        <v>1480</v>
      </c>
      <c r="I1071" s="17" t="s">
        <v>1504</v>
      </c>
      <c r="J1071" s="18" t="s">
        <v>25</v>
      </c>
      <c r="K1071" s="19" t="s">
        <v>26</v>
      </c>
      <c r="L1071" s="19" t="s">
        <v>35</v>
      </c>
      <c r="M1071" s="20">
        <v>3</v>
      </c>
      <c r="N1071" s="21">
        <v>69999</v>
      </c>
      <c r="O1071" s="22">
        <v>8</v>
      </c>
      <c r="P1071" s="23">
        <v>193197.24</v>
      </c>
      <c r="Q1071" s="22">
        <v>4.8</v>
      </c>
      <c r="R1071" s="22">
        <v>20</v>
      </c>
      <c r="S1071" s="23">
        <f>(Table13[[#This Row],[Unit Price]]*Table13[[#This Row],[No.of Units]])*18%</f>
        <v>37799.46</v>
      </c>
      <c r="T1071" s="22" t="s">
        <v>1508</v>
      </c>
    </row>
    <row r="1072" spans="2:20" x14ac:dyDescent="0.3">
      <c r="B1072" s="5" t="s">
        <v>1004</v>
      </c>
      <c r="C1072" s="1">
        <v>525055</v>
      </c>
      <c r="D1072" s="1">
        <v>68</v>
      </c>
      <c r="E1072" s="1" t="s">
        <v>20</v>
      </c>
      <c r="F1072" s="16">
        <v>45910</v>
      </c>
      <c r="G1072" s="1" t="s">
        <v>1475</v>
      </c>
      <c r="H1072" s="1" t="s">
        <v>1480</v>
      </c>
      <c r="I1072" s="17" t="s">
        <v>1503</v>
      </c>
      <c r="J1072" s="18" t="s">
        <v>28</v>
      </c>
      <c r="K1072" s="19" t="s">
        <v>26</v>
      </c>
      <c r="L1072" s="19" t="s">
        <v>35</v>
      </c>
      <c r="M1072" s="20">
        <v>5</v>
      </c>
      <c r="N1072" s="21">
        <v>42999</v>
      </c>
      <c r="O1072" s="22">
        <v>15</v>
      </c>
      <c r="P1072" s="23">
        <v>182745.75</v>
      </c>
      <c r="Q1072" s="22">
        <v>4.5999999999999996</v>
      </c>
      <c r="R1072" s="22">
        <v>20</v>
      </c>
      <c r="S1072" s="23">
        <f>(Table13[[#This Row],[Unit Price]]*Table13[[#This Row],[No.of Units]])*18%</f>
        <v>38699.1</v>
      </c>
      <c r="T1072" s="22" t="s">
        <v>1507</v>
      </c>
    </row>
    <row r="1073" spans="2:20" x14ac:dyDescent="0.3">
      <c r="B1073" s="5" t="s">
        <v>1005</v>
      </c>
      <c r="C1073" s="1">
        <v>4949647</v>
      </c>
      <c r="D1073" s="1">
        <v>25</v>
      </c>
      <c r="E1073" s="1" t="s">
        <v>12</v>
      </c>
      <c r="F1073" s="16">
        <v>45910</v>
      </c>
      <c r="G1073" s="1" t="s">
        <v>1470</v>
      </c>
      <c r="H1073" s="1" t="s">
        <v>1482</v>
      </c>
      <c r="I1073" s="17" t="s">
        <v>1502</v>
      </c>
      <c r="J1073" s="18" t="s">
        <v>13</v>
      </c>
      <c r="K1073" s="19" t="s">
        <v>14</v>
      </c>
      <c r="L1073" s="19" t="s">
        <v>42</v>
      </c>
      <c r="M1073" s="20">
        <v>5</v>
      </c>
      <c r="N1073" s="21">
        <v>99999</v>
      </c>
      <c r="O1073" s="22">
        <v>10</v>
      </c>
      <c r="P1073" s="23">
        <v>449995.5</v>
      </c>
      <c r="Q1073" s="22">
        <v>4.7</v>
      </c>
      <c r="R1073" s="22">
        <v>20</v>
      </c>
      <c r="S1073" s="23">
        <f>(Table13[[#This Row],[Unit Price]]*Table13[[#This Row],[No.of Units]])*18%</f>
        <v>89999.099999999991</v>
      </c>
      <c r="T1073" s="22" t="s">
        <v>1508</v>
      </c>
    </row>
    <row r="1074" spans="2:20" x14ac:dyDescent="0.3">
      <c r="B1074" s="5" t="s">
        <v>1006</v>
      </c>
      <c r="C1074" s="1">
        <v>5718861</v>
      </c>
      <c r="D1074" s="1">
        <v>39</v>
      </c>
      <c r="E1074" s="1" t="s">
        <v>12</v>
      </c>
      <c r="F1074" s="16">
        <v>45910</v>
      </c>
      <c r="G1074" s="1" t="s">
        <v>1470</v>
      </c>
      <c r="H1074" s="1" t="s">
        <v>1471</v>
      </c>
      <c r="I1074" s="17" t="s">
        <v>1503</v>
      </c>
      <c r="J1074" s="18" t="s">
        <v>17</v>
      </c>
      <c r="K1074" s="19" t="s">
        <v>18</v>
      </c>
      <c r="L1074" s="19" t="s">
        <v>42</v>
      </c>
      <c r="M1074" s="20">
        <v>31</v>
      </c>
      <c r="N1074" s="21">
        <v>4999</v>
      </c>
      <c r="O1074" s="22">
        <v>18</v>
      </c>
      <c r="P1074" s="23">
        <v>127074.58</v>
      </c>
      <c r="Q1074" s="22">
        <v>4.4000000000000004</v>
      </c>
      <c r="R1074" s="22">
        <v>20</v>
      </c>
      <c r="S1074" s="23">
        <f>(Table13[[#This Row],[Unit Price]]*Table13[[#This Row],[No.of Units]])*18%</f>
        <v>27894.42</v>
      </c>
      <c r="T1074" s="22" t="s">
        <v>1508</v>
      </c>
    </row>
    <row r="1075" spans="2:20" x14ac:dyDescent="0.3">
      <c r="B1075" s="5" t="s">
        <v>1007</v>
      </c>
      <c r="C1075" s="1">
        <v>2491025</v>
      </c>
      <c r="D1075" s="1">
        <v>43</v>
      </c>
      <c r="E1075" s="1" t="s">
        <v>12</v>
      </c>
      <c r="F1075" s="16">
        <v>45910</v>
      </c>
      <c r="G1075" s="1" t="s">
        <v>1470</v>
      </c>
      <c r="H1075" s="1" t="s">
        <v>1482</v>
      </c>
      <c r="I1075" s="17" t="s">
        <v>1504</v>
      </c>
      <c r="J1075" s="18" t="s">
        <v>21</v>
      </c>
      <c r="K1075" s="19" t="s">
        <v>18</v>
      </c>
      <c r="L1075" s="19" t="s">
        <v>42</v>
      </c>
      <c r="M1075" s="20">
        <v>6</v>
      </c>
      <c r="N1075" s="21">
        <v>24900</v>
      </c>
      <c r="O1075" s="22">
        <v>5</v>
      </c>
      <c r="P1075" s="23">
        <v>141930</v>
      </c>
      <c r="Q1075" s="22">
        <v>4.8</v>
      </c>
      <c r="R1075" s="22">
        <v>20</v>
      </c>
      <c r="S1075" s="23">
        <f>(Table13[[#This Row],[Unit Price]]*Table13[[#This Row],[No.of Units]])*18%</f>
        <v>26892</v>
      </c>
      <c r="T1075" s="22" t="s">
        <v>1508</v>
      </c>
    </row>
    <row r="1076" spans="2:20" x14ac:dyDescent="0.3">
      <c r="B1076" s="5" t="s">
        <v>1007</v>
      </c>
      <c r="C1076" s="1">
        <v>2491025</v>
      </c>
      <c r="D1076" s="1">
        <v>25</v>
      </c>
      <c r="E1076" s="1" t="s">
        <v>12</v>
      </c>
      <c r="F1076" s="16">
        <v>45910</v>
      </c>
      <c r="G1076" s="1" t="s">
        <v>1470</v>
      </c>
      <c r="H1076" s="1" t="s">
        <v>1482</v>
      </c>
      <c r="I1076" s="17" t="s">
        <v>1505</v>
      </c>
      <c r="J1076" s="18" t="s">
        <v>23</v>
      </c>
      <c r="K1076" s="19" t="s">
        <v>14</v>
      </c>
      <c r="L1076" s="19" t="s">
        <v>42</v>
      </c>
      <c r="M1076" s="20">
        <v>4</v>
      </c>
      <c r="N1076" s="21">
        <v>84999</v>
      </c>
      <c r="O1076" s="22">
        <v>12</v>
      </c>
      <c r="P1076" s="23">
        <v>299196.48</v>
      </c>
      <c r="Q1076" s="22">
        <v>4.5</v>
      </c>
      <c r="R1076" s="22">
        <v>20</v>
      </c>
      <c r="S1076" s="23">
        <f>(Table13[[#This Row],[Unit Price]]*Table13[[#This Row],[No.of Units]])*18%</f>
        <v>61199.28</v>
      </c>
      <c r="T1076" s="22" t="s">
        <v>1508</v>
      </c>
    </row>
    <row r="1077" spans="2:20" x14ac:dyDescent="0.3">
      <c r="B1077" s="5" t="s">
        <v>1008</v>
      </c>
      <c r="C1077" s="1">
        <v>3017669</v>
      </c>
      <c r="D1077" s="1">
        <v>44</v>
      </c>
      <c r="E1077" s="1" t="s">
        <v>12</v>
      </c>
      <c r="F1077" s="16">
        <v>45910</v>
      </c>
      <c r="G1077" s="1" t="s">
        <v>1470</v>
      </c>
      <c r="H1077" s="1" t="s">
        <v>1482</v>
      </c>
      <c r="I1077" s="17" t="s">
        <v>1504</v>
      </c>
      <c r="J1077" s="18" t="s">
        <v>25</v>
      </c>
      <c r="K1077" s="19" t="s">
        <v>26</v>
      </c>
      <c r="L1077" s="19" t="s">
        <v>42</v>
      </c>
      <c r="M1077" s="20">
        <v>6</v>
      </c>
      <c r="N1077" s="21">
        <v>69999</v>
      </c>
      <c r="O1077" s="22">
        <v>8</v>
      </c>
      <c r="P1077" s="23">
        <v>386394.48</v>
      </c>
      <c r="Q1077" s="22">
        <v>4.8</v>
      </c>
      <c r="R1077" s="22">
        <v>20</v>
      </c>
      <c r="S1077" s="23">
        <f>(Table13[[#This Row],[Unit Price]]*Table13[[#This Row],[No.of Units]])*18%</f>
        <v>75598.92</v>
      </c>
      <c r="T1077" s="22" t="s">
        <v>1508</v>
      </c>
    </row>
    <row r="1078" spans="2:20" x14ac:dyDescent="0.3">
      <c r="B1078" s="5" t="s">
        <v>1009</v>
      </c>
      <c r="C1078" s="1">
        <v>490921</v>
      </c>
      <c r="D1078" s="1">
        <v>35</v>
      </c>
      <c r="E1078" s="1" t="s">
        <v>12</v>
      </c>
      <c r="F1078" s="16">
        <v>45910</v>
      </c>
      <c r="G1078" s="1" t="s">
        <v>1470</v>
      </c>
      <c r="H1078" s="1" t="s">
        <v>1482</v>
      </c>
      <c r="I1078" s="17" t="s">
        <v>1503</v>
      </c>
      <c r="J1078" s="18" t="s">
        <v>28</v>
      </c>
      <c r="K1078" s="19" t="s">
        <v>26</v>
      </c>
      <c r="L1078" s="19" t="s">
        <v>42</v>
      </c>
      <c r="M1078" s="20">
        <v>10</v>
      </c>
      <c r="N1078" s="21">
        <v>42999</v>
      </c>
      <c r="O1078" s="22">
        <v>15</v>
      </c>
      <c r="P1078" s="23">
        <v>365491.5</v>
      </c>
      <c r="Q1078" s="22">
        <v>4.5999999999999996</v>
      </c>
      <c r="R1078" s="22">
        <v>20</v>
      </c>
      <c r="S1078" s="23">
        <f>(Table13[[#This Row],[Unit Price]]*Table13[[#This Row],[No.of Units]])*18%</f>
        <v>77398.2</v>
      </c>
      <c r="T1078" s="22" t="s">
        <v>1507</v>
      </c>
    </row>
    <row r="1079" spans="2:20" x14ac:dyDescent="0.3">
      <c r="B1079" s="5" t="s">
        <v>1010</v>
      </c>
      <c r="C1079" s="1">
        <v>5444548</v>
      </c>
      <c r="D1079" s="1">
        <v>29</v>
      </c>
      <c r="E1079" s="1" t="s">
        <v>12</v>
      </c>
      <c r="F1079" s="16">
        <v>45910</v>
      </c>
      <c r="G1079" s="1" t="s">
        <v>1470</v>
      </c>
      <c r="H1079" s="1" t="s">
        <v>1481</v>
      </c>
      <c r="I1079" s="17" t="s">
        <v>1502</v>
      </c>
      <c r="J1079" s="18" t="s">
        <v>13</v>
      </c>
      <c r="K1079" s="19" t="s">
        <v>14</v>
      </c>
      <c r="L1079" s="19" t="s">
        <v>49</v>
      </c>
      <c r="M1079" s="20">
        <v>5</v>
      </c>
      <c r="N1079" s="21">
        <v>99999</v>
      </c>
      <c r="O1079" s="22">
        <v>10</v>
      </c>
      <c r="P1079" s="23">
        <v>449995.5</v>
      </c>
      <c r="Q1079" s="22">
        <v>4.7</v>
      </c>
      <c r="R1079" s="22">
        <v>20</v>
      </c>
      <c r="S1079" s="23">
        <f>(Table13[[#This Row],[Unit Price]]*Table13[[#This Row],[No.of Units]])*18%</f>
        <v>89999.099999999991</v>
      </c>
      <c r="T1079" s="22" t="s">
        <v>1508</v>
      </c>
    </row>
    <row r="1080" spans="2:20" x14ac:dyDescent="0.3">
      <c r="B1080" s="5" t="s">
        <v>1011</v>
      </c>
      <c r="C1080" s="1">
        <v>5737174</v>
      </c>
      <c r="D1080" s="1">
        <v>62</v>
      </c>
      <c r="E1080" s="1" t="s">
        <v>20</v>
      </c>
      <c r="F1080" s="16">
        <v>45910</v>
      </c>
      <c r="G1080" s="1" t="s">
        <v>1470</v>
      </c>
      <c r="H1080" s="1" t="s">
        <v>1481</v>
      </c>
      <c r="I1080" s="17" t="s">
        <v>1503</v>
      </c>
      <c r="J1080" s="18" t="s">
        <v>17</v>
      </c>
      <c r="K1080" s="19" t="s">
        <v>18</v>
      </c>
      <c r="L1080" s="19" t="s">
        <v>49</v>
      </c>
      <c r="M1080" s="20">
        <v>39</v>
      </c>
      <c r="N1080" s="21">
        <v>4999</v>
      </c>
      <c r="O1080" s="22">
        <v>18</v>
      </c>
      <c r="P1080" s="23">
        <v>159868.02000000002</v>
      </c>
      <c r="Q1080" s="22">
        <v>4.4000000000000004</v>
      </c>
      <c r="R1080" s="22">
        <v>20</v>
      </c>
      <c r="S1080" s="23">
        <f>(Table13[[#This Row],[Unit Price]]*Table13[[#This Row],[No.of Units]])*18%</f>
        <v>35092.979999999996</v>
      </c>
      <c r="T1080" s="22" t="s">
        <v>1507</v>
      </c>
    </row>
    <row r="1081" spans="2:20" x14ac:dyDescent="0.3">
      <c r="B1081" s="5" t="s">
        <v>1012</v>
      </c>
      <c r="C1081" s="1">
        <v>8548158</v>
      </c>
      <c r="D1081" s="1">
        <v>75</v>
      </c>
      <c r="E1081" s="1" t="s">
        <v>20</v>
      </c>
      <c r="F1081" s="16">
        <v>45910</v>
      </c>
      <c r="G1081" s="1" t="s">
        <v>1470</v>
      </c>
      <c r="H1081" s="1" t="s">
        <v>1471</v>
      </c>
      <c r="I1081" s="17" t="s">
        <v>1504</v>
      </c>
      <c r="J1081" s="18" t="s">
        <v>21</v>
      </c>
      <c r="K1081" s="19" t="s">
        <v>18</v>
      </c>
      <c r="L1081" s="19" t="s">
        <v>49</v>
      </c>
      <c r="M1081" s="20">
        <v>11</v>
      </c>
      <c r="N1081" s="21">
        <v>24900</v>
      </c>
      <c r="O1081" s="22">
        <v>5</v>
      </c>
      <c r="P1081" s="23">
        <v>260205</v>
      </c>
      <c r="Q1081" s="22">
        <v>4.8</v>
      </c>
      <c r="R1081" s="22">
        <v>20</v>
      </c>
      <c r="S1081" s="23">
        <f>(Table13[[#This Row],[Unit Price]]*Table13[[#This Row],[No.of Units]])*18%</f>
        <v>49302</v>
      </c>
      <c r="T1081" s="22" t="s">
        <v>1508</v>
      </c>
    </row>
    <row r="1082" spans="2:20" x14ac:dyDescent="0.3">
      <c r="B1082" s="5" t="s">
        <v>1013</v>
      </c>
      <c r="C1082" s="1">
        <v>9974851</v>
      </c>
      <c r="D1082" s="1">
        <v>31</v>
      </c>
      <c r="E1082" s="1" t="s">
        <v>12</v>
      </c>
      <c r="F1082" s="16">
        <v>45910</v>
      </c>
      <c r="G1082" s="1" t="s">
        <v>1474</v>
      </c>
      <c r="H1082" s="1" t="s">
        <v>1482</v>
      </c>
      <c r="I1082" s="17" t="s">
        <v>1505</v>
      </c>
      <c r="J1082" s="18" t="s">
        <v>23</v>
      </c>
      <c r="K1082" s="19" t="s">
        <v>14</v>
      </c>
      <c r="L1082" s="19" t="s">
        <v>49</v>
      </c>
      <c r="M1082" s="20">
        <v>3</v>
      </c>
      <c r="N1082" s="21">
        <v>84999</v>
      </c>
      <c r="O1082" s="22">
        <v>12</v>
      </c>
      <c r="P1082" s="23">
        <v>224397.36</v>
      </c>
      <c r="Q1082" s="22">
        <v>4.5</v>
      </c>
      <c r="R1082" s="22">
        <v>20</v>
      </c>
      <c r="S1082" s="23">
        <f>(Table13[[#This Row],[Unit Price]]*Table13[[#This Row],[No.of Units]])*18%</f>
        <v>45899.46</v>
      </c>
      <c r="T1082" s="22" t="s">
        <v>1507</v>
      </c>
    </row>
    <row r="1083" spans="2:20" x14ac:dyDescent="0.3">
      <c r="B1083" s="5" t="s">
        <v>1014</v>
      </c>
      <c r="C1083" s="1">
        <v>2220793</v>
      </c>
      <c r="D1083" s="1">
        <v>28</v>
      </c>
      <c r="E1083" s="1" t="s">
        <v>12</v>
      </c>
      <c r="F1083" s="16">
        <v>45910</v>
      </c>
      <c r="G1083" s="1" t="s">
        <v>1470</v>
      </c>
      <c r="H1083" s="1" t="s">
        <v>1482</v>
      </c>
      <c r="I1083" s="17" t="s">
        <v>1504</v>
      </c>
      <c r="J1083" s="18" t="s">
        <v>25</v>
      </c>
      <c r="K1083" s="19" t="s">
        <v>26</v>
      </c>
      <c r="L1083" s="19" t="s">
        <v>49</v>
      </c>
      <c r="M1083" s="20">
        <v>4</v>
      </c>
      <c r="N1083" s="21">
        <v>69999</v>
      </c>
      <c r="O1083" s="22">
        <v>8</v>
      </c>
      <c r="P1083" s="23">
        <v>257596.32</v>
      </c>
      <c r="Q1083" s="22">
        <v>4.8</v>
      </c>
      <c r="R1083" s="22">
        <v>20</v>
      </c>
      <c r="S1083" s="23">
        <f>(Table13[[#This Row],[Unit Price]]*Table13[[#This Row],[No.of Units]])*18%</f>
        <v>50399.28</v>
      </c>
      <c r="T1083" s="22" t="s">
        <v>1508</v>
      </c>
    </row>
    <row r="1084" spans="2:20" x14ac:dyDescent="0.3">
      <c r="B1084" s="5" t="s">
        <v>1015</v>
      </c>
      <c r="C1084" s="1">
        <v>9155153</v>
      </c>
      <c r="D1084" s="1">
        <v>35</v>
      </c>
      <c r="E1084" s="1" t="s">
        <v>12</v>
      </c>
      <c r="F1084" s="16">
        <v>45910</v>
      </c>
      <c r="G1084" s="1" t="s">
        <v>1470</v>
      </c>
      <c r="H1084" s="1" t="s">
        <v>1483</v>
      </c>
      <c r="I1084" s="17" t="s">
        <v>1503</v>
      </c>
      <c r="J1084" s="18" t="s">
        <v>28</v>
      </c>
      <c r="K1084" s="19" t="s">
        <v>26</v>
      </c>
      <c r="L1084" s="19" t="s">
        <v>49</v>
      </c>
      <c r="M1084" s="20">
        <v>9</v>
      </c>
      <c r="N1084" s="21">
        <v>42999</v>
      </c>
      <c r="O1084" s="22">
        <v>15</v>
      </c>
      <c r="P1084" s="23">
        <v>328942.34999999998</v>
      </c>
      <c r="Q1084" s="22">
        <v>4.5999999999999996</v>
      </c>
      <c r="R1084" s="22">
        <v>20</v>
      </c>
      <c r="S1084" s="23">
        <f>(Table13[[#This Row],[Unit Price]]*Table13[[#This Row],[No.of Units]])*18%</f>
        <v>69658.38</v>
      </c>
      <c r="T1084" s="22" t="s">
        <v>1508</v>
      </c>
    </row>
    <row r="1085" spans="2:20" x14ac:dyDescent="0.3">
      <c r="B1085" s="5" t="s">
        <v>1016</v>
      </c>
      <c r="C1085" s="1">
        <v>5595188</v>
      </c>
      <c r="D1085" s="1">
        <v>23</v>
      </c>
      <c r="E1085" s="1" t="s">
        <v>12</v>
      </c>
      <c r="F1085" s="16">
        <v>45917</v>
      </c>
      <c r="G1085" s="1" t="s">
        <v>1470</v>
      </c>
      <c r="H1085" s="1" t="s">
        <v>1483</v>
      </c>
      <c r="I1085" s="17" t="s">
        <v>1502</v>
      </c>
      <c r="J1085" s="18" t="s">
        <v>13</v>
      </c>
      <c r="K1085" s="19" t="s">
        <v>14</v>
      </c>
      <c r="L1085" s="19" t="s">
        <v>15</v>
      </c>
      <c r="M1085" s="20">
        <v>3</v>
      </c>
      <c r="N1085" s="21">
        <v>99999</v>
      </c>
      <c r="O1085" s="22">
        <v>10</v>
      </c>
      <c r="P1085" s="23">
        <v>269997.3</v>
      </c>
      <c r="Q1085" s="22">
        <v>4.7</v>
      </c>
      <c r="R1085" s="22">
        <v>20</v>
      </c>
      <c r="S1085" s="23">
        <f>(Table13[[#This Row],[Unit Price]]*Table13[[#This Row],[No.of Units]])*18%</f>
        <v>53999.46</v>
      </c>
      <c r="T1085" s="22" t="s">
        <v>1508</v>
      </c>
    </row>
    <row r="1086" spans="2:20" x14ac:dyDescent="0.3">
      <c r="B1086" s="5" t="s">
        <v>1017</v>
      </c>
      <c r="C1086" s="1">
        <v>6760345</v>
      </c>
      <c r="D1086" s="1">
        <v>20</v>
      </c>
      <c r="E1086" s="1" t="s">
        <v>12</v>
      </c>
      <c r="F1086" s="16">
        <v>45917</v>
      </c>
      <c r="G1086" s="1" t="s">
        <v>1470</v>
      </c>
      <c r="H1086" s="1" t="s">
        <v>1482</v>
      </c>
      <c r="I1086" s="17" t="s">
        <v>1503</v>
      </c>
      <c r="J1086" s="18" t="s">
        <v>17</v>
      </c>
      <c r="K1086" s="19" t="s">
        <v>18</v>
      </c>
      <c r="L1086" s="19" t="s">
        <v>15</v>
      </c>
      <c r="M1086" s="20">
        <v>57</v>
      </c>
      <c r="N1086" s="21">
        <v>4999</v>
      </c>
      <c r="O1086" s="22">
        <v>18</v>
      </c>
      <c r="P1086" s="23">
        <v>233653.26</v>
      </c>
      <c r="Q1086" s="22">
        <v>4.4000000000000004</v>
      </c>
      <c r="R1086" s="22">
        <v>20</v>
      </c>
      <c r="S1086" s="23">
        <f>(Table13[[#This Row],[Unit Price]]*Table13[[#This Row],[No.of Units]])*18%</f>
        <v>51289.74</v>
      </c>
      <c r="T1086" s="22" t="s">
        <v>1508</v>
      </c>
    </row>
    <row r="1087" spans="2:20" x14ac:dyDescent="0.3">
      <c r="B1087" s="5" t="s">
        <v>1018</v>
      </c>
      <c r="C1087" s="1">
        <v>3569139</v>
      </c>
      <c r="D1087" s="1">
        <v>76</v>
      </c>
      <c r="E1087" s="1" t="s">
        <v>20</v>
      </c>
      <c r="F1087" s="16">
        <v>45917</v>
      </c>
      <c r="G1087" s="1" t="s">
        <v>1470</v>
      </c>
      <c r="H1087" s="1" t="s">
        <v>1481</v>
      </c>
      <c r="I1087" s="17" t="s">
        <v>1504</v>
      </c>
      <c r="J1087" s="18" t="s">
        <v>21</v>
      </c>
      <c r="K1087" s="19" t="s">
        <v>18</v>
      </c>
      <c r="L1087" s="19" t="s">
        <v>15</v>
      </c>
      <c r="M1087" s="20">
        <v>13</v>
      </c>
      <c r="N1087" s="21">
        <v>24900</v>
      </c>
      <c r="O1087" s="22">
        <v>5</v>
      </c>
      <c r="P1087" s="23">
        <v>307515</v>
      </c>
      <c r="Q1087" s="22">
        <v>4.8</v>
      </c>
      <c r="R1087" s="22">
        <v>20</v>
      </c>
      <c r="S1087" s="23">
        <f>(Table13[[#This Row],[Unit Price]]*Table13[[#This Row],[No.of Units]])*18%</f>
        <v>58266</v>
      </c>
      <c r="T1087" s="22" t="s">
        <v>1508</v>
      </c>
    </row>
    <row r="1088" spans="2:20" x14ac:dyDescent="0.3">
      <c r="B1088" s="5" t="s">
        <v>1019</v>
      </c>
      <c r="C1088" s="1">
        <v>5016171</v>
      </c>
      <c r="D1088" s="1">
        <v>40</v>
      </c>
      <c r="E1088" s="1" t="s">
        <v>12</v>
      </c>
      <c r="F1088" s="16">
        <v>45917</v>
      </c>
      <c r="G1088" s="1" t="s">
        <v>1470</v>
      </c>
      <c r="H1088" s="1" t="s">
        <v>1471</v>
      </c>
      <c r="I1088" s="17" t="s">
        <v>1505</v>
      </c>
      <c r="J1088" s="18" t="s">
        <v>23</v>
      </c>
      <c r="K1088" s="19" t="s">
        <v>14</v>
      </c>
      <c r="L1088" s="19" t="s">
        <v>15</v>
      </c>
      <c r="M1088" s="20">
        <v>4</v>
      </c>
      <c r="N1088" s="21">
        <v>84999</v>
      </c>
      <c r="O1088" s="22">
        <v>12</v>
      </c>
      <c r="P1088" s="23">
        <v>299196.48</v>
      </c>
      <c r="Q1088" s="22">
        <v>4.5</v>
      </c>
      <c r="R1088" s="22">
        <v>20</v>
      </c>
      <c r="S1088" s="23">
        <f>(Table13[[#This Row],[Unit Price]]*Table13[[#This Row],[No.of Units]])*18%</f>
        <v>61199.28</v>
      </c>
      <c r="T1088" s="22" t="s">
        <v>1507</v>
      </c>
    </row>
    <row r="1089" spans="2:20" x14ac:dyDescent="0.3">
      <c r="B1089" s="5" t="s">
        <v>1020</v>
      </c>
      <c r="C1089" s="1">
        <v>9184688</v>
      </c>
      <c r="D1089" s="1">
        <v>31</v>
      </c>
      <c r="E1089" s="1" t="s">
        <v>12</v>
      </c>
      <c r="F1089" s="16">
        <v>45917</v>
      </c>
      <c r="G1089" s="1" t="s">
        <v>1475</v>
      </c>
      <c r="H1089" s="1" t="s">
        <v>1482</v>
      </c>
      <c r="I1089" s="17" t="s">
        <v>1504</v>
      </c>
      <c r="J1089" s="18" t="s">
        <v>25</v>
      </c>
      <c r="K1089" s="19" t="s">
        <v>26</v>
      </c>
      <c r="L1089" s="19" t="s">
        <v>15</v>
      </c>
      <c r="M1089" s="20">
        <v>6</v>
      </c>
      <c r="N1089" s="21">
        <v>69999</v>
      </c>
      <c r="O1089" s="22">
        <v>8</v>
      </c>
      <c r="P1089" s="23">
        <v>386394.48</v>
      </c>
      <c r="Q1089" s="22">
        <v>4.8</v>
      </c>
      <c r="R1089" s="22">
        <v>20</v>
      </c>
      <c r="S1089" s="23">
        <f>(Table13[[#This Row],[Unit Price]]*Table13[[#This Row],[No.of Units]])*18%</f>
        <v>75598.92</v>
      </c>
      <c r="T1089" s="22" t="s">
        <v>1508</v>
      </c>
    </row>
    <row r="1090" spans="2:20" x14ac:dyDescent="0.3">
      <c r="B1090" s="5" t="s">
        <v>1021</v>
      </c>
      <c r="C1090" s="1">
        <v>1196333</v>
      </c>
      <c r="D1090" s="1">
        <v>18</v>
      </c>
      <c r="E1090" s="1" t="s">
        <v>34</v>
      </c>
      <c r="F1090" s="16">
        <v>45917</v>
      </c>
      <c r="G1090" s="1" t="s">
        <v>1470</v>
      </c>
      <c r="H1090" s="1" t="s">
        <v>1482</v>
      </c>
      <c r="I1090" s="17" t="s">
        <v>1503</v>
      </c>
      <c r="J1090" s="18" t="s">
        <v>28</v>
      </c>
      <c r="K1090" s="19" t="s">
        <v>26</v>
      </c>
      <c r="L1090" s="19" t="s">
        <v>15</v>
      </c>
      <c r="M1090" s="20">
        <v>7</v>
      </c>
      <c r="N1090" s="21">
        <v>42999</v>
      </c>
      <c r="O1090" s="22">
        <v>15</v>
      </c>
      <c r="P1090" s="23">
        <v>255844.05</v>
      </c>
      <c r="Q1090" s="22">
        <v>4.5999999999999996</v>
      </c>
      <c r="R1090" s="22">
        <v>20</v>
      </c>
      <c r="S1090" s="23">
        <f>(Table13[[#This Row],[Unit Price]]*Table13[[#This Row],[No.of Units]])*18%</f>
        <v>54178.74</v>
      </c>
      <c r="T1090" s="22" t="s">
        <v>1507</v>
      </c>
    </row>
    <row r="1091" spans="2:20" x14ac:dyDescent="0.3">
      <c r="B1091" s="5" t="s">
        <v>1022</v>
      </c>
      <c r="C1091" s="1">
        <v>9978425</v>
      </c>
      <c r="D1091" s="1">
        <v>34</v>
      </c>
      <c r="E1091" s="1" t="s">
        <v>12</v>
      </c>
      <c r="F1091" s="16">
        <v>45917</v>
      </c>
      <c r="G1091" s="1" t="s">
        <v>1470</v>
      </c>
      <c r="H1091" s="1" t="s">
        <v>1480</v>
      </c>
      <c r="I1091" s="17" t="s">
        <v>1502</v>
      </c>
      <c r="J1091" s="18" t="s">
        <v>13</v>
      </c>
      <c r="K1091" s="19" t="s">
        <v>14</v>
      </c>
      <c r="L1091" s="19" t="s">
        <v>29</v>
      </c>
      <c r="M1091" s="20">
        <v>5</v>
      </c>
      <c r="N1091" s="21">
        <v>99999</v>
      </c>
      <c r="O1091" s="22">
        <v>10</v>
      </c>
      <c r="P1091" s="23">
        <v>449995.5</v>
      </c>
      <c r="Q1091" s="22">
        <v>4.7</v>
      </c>
      <c r="R1091" s="22">
        <v>20</v>
      </c>
      <c r="S1091" s="23">
        <f>(Table13[[#This Row],[Unit Price]]*Table13[[#This Row],[No.of Units]])*18%</f>
        <v>89999.099999999991</v>
      </c>
      <c r="T1091" s="22" t="s">
        <v>1507</v>
      </c>
    </row>
    <row r="1092" spans="2:20" x14ac:dyDescent="0.3">
      <c r="B1092" s="5" t="s">
        <v>1023</v>
      </c>
      <c r="C1092" s="1">
        <v>9569162</v>
      </c>
      <c r="D1092" s="1">
        <v>23</v>
      </c>
      <c r="E1092" s="1" t="s">
        <v>12</v>
      </c>
      <c r="F1092" s="16">
        <v>45917</v>
      </c>
      <c r="G1092" s="1" t="s">
        <v>1470</v>
      </c>
      <c r="H1092" s="1" t="s">
        <v>1482</v>
      </c>
      <c r="I1092" s="17" t="s">
        <v>1503</v>
      </c>
      <c r="J1092" s="18" t="s">
        <v>17</v>
      </c>
      <c r="K1092" s="19" t="s">
        <v>18</v>
      </c>
      <c r="L1092" s="19" t="s">
        <v>29</v>
      </c>
      <c r="M1092" s="20">
        <v>40</v>
      </c>
      <c r="N1092" s="21">
        <v>4999</v>
      </c>
      <c r="O1092" s="22">
        <v>18</v>
      </c>
      <c r="P1092" s="23">
        <v>163967.20000000001</v>
      </c>
      <c r="Q1092" s="22">
        <v>4.4000000000000004</v>
      </c>
      <c r="R1092" s="22">
        <v>20</v>
      </c>
      <c r="S1092" s="23">
        <f>(Table13[[#This Row],[Unit Price]]*Table13[[#This Row],[No.of Units]])*18%</f>
        <v>35992.799999999996</v>
      </c>
      <c r="T1092" s="22" t="s">
        <v>1507</v>
      </c>
    </row>
    <row r="1093" spans="2:20" x14ac:dyDescent="0.3">
      <c r="B1093" s="5" t="s">
        <v>1024</v>
      </c>
      <c r="C1093" s="1">
        <v>7208859</v>
      </c>
      <c r="D1093" s="1">
        <v>32</v>
      </c>
      <c r="E1093" s="1" t="s">
        <v>12</v>
      </c>
      <c r="F1093" s="16">
        <v>45917</v>
      </c>
      <c r="G1093" s="1" t="s">
        <v>1470</v>
      </c>
      <c r="H1093" s="1" t="s">
        <v>1482</v>
      </c>
      <c r="I1093" s="17" t="s">
        <v>1504</v>
      </c>
      <c r="J1093" s="18" t="s">
        <v>21</v>
      </c>
      <c r="K1093" s="19" t="s">
        <v>18</v>
      </c>
      <c r="L1093" s="19" t="s">
        <v>29</v>
      </c>
      <c r="M1093" s="20">
        <v>13</v>
      </c>
      <c r="N1093" s="21">
        <v>24900</v>
      </c>
      <c r="O1093" s="22">
        <v>5</v>
      </c>
      <c r="P1093" s="23">
        <v>307515</v>
      </c>
      <c r="Q1093" s="22">
        <v>4.8</v>
      </c>
      <c r="R1093" s="22">
        <v>20</v>
      </c>
      <c r="S1093" s="23">
        <f>(Table13[[#This Row],[Unit Price]]*Table13[[#This Row],[No.of Units]])*18%</f>
        <v>58266</v>
      </c>
      <c r="T1093" s="22" t="s">
        <v>1508</v>
      </c>
    </row>
    <row r="1094" spans="2:20" x14ac:dyDescent="0.3">
      <c r="B1094" s="5" t="s">
        <v>1025</v>
      </c>
      <c r="C1094" s="1">
        <v>9116386</v>
      </c>
      <c r="D1094" s="1">
        <v>48</v>
      </c>
      <c r="E1094" s="1" t="s">
        <v>12</v>
      </c>
      <c r="F1094" s="16">
        <v>45917</v>
      </c>
      <c r="G1094" s="1" t="s">
        <v>1475</v>
      </c>
      <c r="H1094" s="1" t="s">
        <v>1483</v>
      </c>
      <c r="I1094" s="17" t="s">
        <v>1505</v>
      </c>
      <c r="J1094" s="18" t="s">
        <v>23</v>
      </c>
      <c r="K1094" s="19" t="s">
        <v>14</v>
      </c>
      <c r="L1094" s="19" t="s">
        <v>29</v>
      </c>
      <c r="M1094" s="20">
        <v>3</v>
      </c>
      <c r="N1094" s="21">
        <v>84999</v>
      </c>
      <c r="O1094" s="22">
        <v>12</v>
      </c>
      <c r="P1094" s="23">
        <v>224397.36</v>
      </c>
      <c r="Q1094" s="22">
        <v>4.5</v>
      </c>
      <c r="R1094" s="22">
        <v>20</v>
      </c>
      <c r="S1094" s="23">
        <f>(Table13[[#This Row],[Unit Price]]*Table13[[#This Row],[No.of Units]])*18%</f>
        <v>45899.46</v>
      </c>
      <c r="T1094" s="22" t="s">
        <v>1508</v>
      </c>
    </row>
    <row r="1095" spans="2:20" x14ac:dyDescent="0.3">
      <c r="B1095" s="5" t="s">
        <v>1026</v>
      </c>
      <c r="C1095" s="1">
        <v>7286119</v>
      </c>
      <c r="D1095" s="1">
        <v>69</v>
      </c>
      <c r="E1095" s="1" t="s">
        <v>20</v>
      </c>
      <c r="F1095" s="16">
        <v>45917</v>
      </c>
      <c r="G1095" s="1" t="s">
        <v>1470</v>
      </c>
      <c r="H1095" s="1" t="s">
        <v>1483</v>
      </c>
      <c r="I1095" s="17" t="s">
        <v>1504</v>
      </c>
      <c r="J1095" s="18" t="s">
        <v>25</v>
      </c>
      <c r="K1095" s="19" t="s">
        <v>26</v>
      </c>
      <c r="L1095" s="19" t="s">
        <v>29</v>
      </c>
      <c r="M1095" s="20">
        <v>2</v>
      </c>
      <c r="N1095" s="21">
        <v>69999</v>
      </c>
      <c r="O1095" s="22">
        <v>8</v>
      </c>
      <c r="P1095" s="23">
        <v>128798.16</v>
      </c>
      <c r="Q1095" s="22">
        <v>4.8</v>
      </c>
      <c r="R1095" s="22">
        <v>20</v>
      </c>
      <c r="S1095" s="23">
        <f>(Table13[[#This Row],[Unit Price]]*Table13[[#This Row],[No.of Units]])*18%</f>
        <v>25199.64</v>
      </c>
      <c r="T1095" s="22" t="s">
        <v>1508</v>
      </c>
    </row>
    <row r="1096" spans="2:20" x14ac:dyDescent="0.3">
      <c r="B1096" s="5" t="s">
        <v>1027</v>
      </c>
      <c r="C1096" s="1">
        <v>2546275</v>
      </c>
      <c r="D1096" s="1">
        <v>30</v>
      </c>
      <c r="E1096" s="1" t="s">
        <v>12</v>
      </c>
      <c r="F1096" s="16">
        <v>45917</v>
      </c>
      <c r="G1096" s="1" t="s">
        <v>1470</v>
      </c>
      <c r="H1096" s="1" t="s">
        <v>1472</v>
      </c>
      <c r="I1096" s="17" t="s">
        <v>1503</v>
      </c>
      <c r="J1096" s="18" t="s">
        <v>28</v>
      </c>
      <c r="K1096" s="19" t="s">
        <v>26</v>
      </c>
      <c r="L1096" s="19" t="s">
        <v>29</v>
      </c>
      <c r="M1096" s="20">
        <v>11</v>
      </c>
      <c r="N1096" s="21">
        <v>42999</v>
      </c>
      <c r="O1096" s="22">
        <v>15</v>
      </c>
      <c r="P1096" s="23">
        <v>402040.65</v>
      </c>
      <c r="Q1096" s="22">
        <v>4.5999999999999996</v>
      </c>
      <c r="R1096" s="22">
        <v>20</v>
      </c>
      <c r="S1096" s="23">
        <f>(Table13[[#This Row],[Unit Price]]*Table13[[#This Row],[No.of Units]])*18%</f>
        <v>85138.02</v>
      </c>
      <c r="T1096" s="22" t="s">
        <v>1508</v>
      </c>
    </row>
    <row r="1097" spans="2:20" x14ac:dyDescent="0.3">
      <c r="B1097" s="5" t="s">
        <v>1028</v>
      </c>
      <c r="C1097" s="1">
        <v>5135320</v>
      </c>
      <c r="D1097" s="1">
        <v>25</v>
      </c>
      <c r="E1097" s="1" t="s">
        <v>12</v>
      </c>
      <c r="F1097" s="16">
        <v>45917</v>
      </c>
      <c r="G1097" s="1" t="s">
        <v>1470</v>
      </c>
      <c r="H1097" s="1" t="s">
        <v>1472</v>
      </c>
      <c r="I1097" s="17" t="s">
        <v>1502</v>
      </c>
      <c r="J1097" s="18" t="s">
        <v>13</v>
      </c>
      <c r="K1097" s="19" t="s">
        <v>14</v>
      </c>
      <c r="L1097" s="19" t="s">
        <v>35</v>
      </c>
      <c r="M1097" s="20">
        <v>4</v>
      </c>
      <c r="N1097" s="21">
        <v>99999</v>
      </c>
      <c r="O1097" s="22">
        <v>10</v>
      </c>
      <c r="P1097" s="23">
        <v>359996.4</v>
      </c>
      <c r="Q1097" s="22">
        <v>4.7</v>
      </c>
      <c r="R1097" s="22">
        <v>20</v>
      </c>
      <c r="S1097" s="23">
        <f>(Table13[[#This Row],[Unit Price]]*Table13[[#This Row],[No.of Units]])*18%</f>
        <v>71999.28</v>
      </c>
      <c r="T1097" s="22" t="s">
        <v>1507</v>
      </c>
    </row>
    <row r="1098" spans="2:20" x14ac:dyDescent="0.3">
      <c r="B1098" s="5" t="s">
        <v>1029</v>
      </c>
      <c r="C1098" s="1">
        <v>9884525</v>
      </c>
      <c r="D1098" s="1">
        <v>45</v>
      </c>
      <c r="E1098" s="1" t="s">
        <v>12</v>
      </c>
      <c r="F1098" s="16">
        <v>45917</v>
      </c>
      <c r="G1098" s="1" t="s">
        <v>1470</v>
      </c>
      <c r="H1098" s="1" t="s">
        <v>1471</v>
      </c>
      <c r="I1098" s="17" t="s">
        <v>1503</v>
      </c>
      <c r="J1098" s="18" t="s">
        <v>17</v>
      </c>
      <c r="K1098" s="19" t="s">
        <v>18</v>
      </c>
      <c r="L1098" s="19" t="s">
        <v>35</v>
      </c>
      <c r="M1098" s="20">
        <v>26</v>
      </c>
      <c r="N1098" s="21">
        <v>4999</v>
      </c>
      <c r="O1098" s="22">
        <v>18</v>
      </c>
      <c r="P1098" s="23">
        <v>106578.68</v>
      </c>
      <c r="Q1098" s="22">
        <v>4.4000000000000004</v>
      </c>
      <c r="R1098" s="22">
        <v>20</v>
      </c>
      <c r="S1098" s="23">
        <f>(Table13[[#This Row],[Unit Price]]*Table13[[#This Row],[No.of Units]])*18%</f>
        <v>23395.32</v>
      </c>
      <c r="T1098" s="22" t="s">
        <v>1508</v>
      </c>
    </row>
    <row r="1099" spans="2:20" x14ac:dyDescent="0.3">
      <c r="B1099" s="5" t="s">
        <v>1030</v>
      </c>
      <c r="C1099" s="1">
        <v>5628966</v>
      </c>
      <c r="D1099" s="1">
        <v>31</v>
      </c>
      <c r="E1099" s="1" t="s">
        <v>12</v>
      </c>
      <c r="F1099" s="16">
        <v>45917</v>
      </c>
      <c r="G1099" s="1" t="s">
        <v>1470</v>
      </c>
      <c r="H1099" s="1" t="s">
        <v>1482</v>
      </c>
      <c r="I1099" s="17" t="s">
        <v>1504</v>
      </c>
      <c r="J1099" s="18" t="s">
        <v>21</v>
      </c>
      <c r="K1099" s="19" t="s">
        <v>18</v>
      </c>
      <c r="L1099" s="19" t="s">
        <v>35</v>
      </c>
      <c r="M1099" s="20">
        <v>11</v>
      </c>
      <c r="N1099" s="21">
        <v>24900</v>
      </c>
      <c r="O1099" s="22">
        <v>5</v>
      </c>
      <c r="P1099" s="23">
        <v>260205</v>
      </c>
      <c r="Q1099" s="22">
        <v>4.8</v>
      </c>
      <c r="R1099" s="22">
        <v>20</v>
      </c>
      <c r="S1099" s="23">
        <f>(Table13[[#This Row],[Unit Price]]*Table13[[#This Row],[No.of Units]])*18%</f>
        <v>49302</v>
      </c>
      <c r="T1099" s="22" t="s">
        <v>1508</v>
      </c>
    </row>
    <row r="1100" spans="2:20" x14ac:dyDescent="0.3">
      <c r="B1100" s="5" t="s">
        <v>1031</v>
      </c>
      <c r="C1100" s="1">
        <v>6138380</v>
      </c>
      <c r="D1100" s="1">
        <v>39</v>
      </c>
      <c r="E1100" s="1" t="s">
        <v>12</v>
      </c>
      <c r="F1100" s="16">
        <v>45917</v>
      </c>
      <c r="G1100" s="1" t="s">
        <v>1475</v>
      </c>
      <c r="H1100" s="1" t="s">
        <v>1471</v>
      </c>
      <c r="I1100" s="17" t="s">
        <v>1505</v>
      </c>
      <c r="J1100" s="18" t="s">
        <v>23</v>
      </c>
      <c r="K1100" s="19" t="s">
        <v>14</v>
      </c>
      <c r="L1100" s="19" t="s">
        <v>35</v>
      </c>
      <c r="M1100" s="20">
        <v>4</v>
      </c>
      <c r="N1100" s="21">
        <v>84999</v>
      </c>
      <c r="O1100" s="22">
        <v>12</v>
      </c>
      <c r="P1100" s="23">
        <v>299196.48</v>
      </c>
      <c r="Q1100" s="22">
        <v>4.5</v>
      </c>
      <c r="R1100" s="22">
        <v>20</v>
      </c>
      <c r="S1100" s="23">
        <f>(Table13[[#This Row],[Unit Price]]*Table13[[#This Row],[No.of Units]])*18%</f>
        <v>61199.28</v>
      </c>
      <c r="T1100" s="22" t="s">
        <v>1508</v>
      </c>
    </row>
    <row r="1101" spans="2:20" x14ac:dyDescent="0.3">
      <c r="B1101" s="5" t="s">
        <v>1032</v>
      </c>
      <c r="C1101" s="1">
        <v>159112</v>
      </c>
      <c r="D1101" s="1">
        <v>42</v>
      </c>
      <c r="E1101" s="1" t="s">
        <v>12</v>
      </c>
      <c r="F1101" s="16">
        <v>45917</v>
      </c>
      <c r="G1101" s="1" t="s">
        <v>1473</v>
      </c>
      <c r="H1101" s="1" t="s">
        <v>1481</v>
      </c>
      <c r="I1101" s="17" t="s">
        <v>1504</v>
      </c>
      <c r="J1101" s="18" t="s">
        <v>25</v>
      </c>
      <c r="K1101" s="19" t="s">
        <v>26</v>
      </c>
      <c r="L1101" s="19" t="s">
        <v>35</v>
      </c>
      <c r="M1101" s="20">
        <v>3</v>
      </c>
      <c r="N1101" s="21">
        <v>69999</v>
      </c>
      <c r="O1101" s="22">
        <v>8</v>
      </c>
      <c r="P1101" s="23">
        <v>193197.24</v>
      </c>
      <c r="Q1101" s="22">
        <v>4.8</v>
      </c>
      <c r="R1101" s="22">
        <v>20</v>
      </c>
      <c r="S1101" s="23">
        <f>(Table13[[#This Row],[Unit Price]]*Table13[[#This Row],[No.of Units]])*18%</f>
        <v>37799.46</v>
      </c>
      <c r="T1101" s="22" t="s">
        <v>1508</v>
      </c>
    </row>
    <row r="1102" spans="2:20" x14ac:dyDescent="0.3">
      <c r="B1102" s="5" t="s">
        <v>1033</v>
      </c>
      <c r="C1102" s="1">
        <v>1960238</v>
      </c>
      <c r="D1102" s="1">
        <v>25</v>
      </c>
      <c r="E1102" s="1" t="s">
        <v>12</v>
      </c>
      <c r="F1102" s="16">
        <v>45917</v>
      </c>
      <c r="G1102" s="1" t="s">
        <v>1470</v>
      </c>
      <c r="H1102" s="1" t="s">
        <v>1483</v>
      </c>
      <c r="I1102" s="17" t="s">
        <v>1503</v>
      </c>
      <c r="J1102" s="18" t="s">
        <v>28</v>
      </c>
      <c r="K1102" s="19" t="s">
        <v>26</v>
      </c>
      <c r="L1102" s="19" t="s">
        <v>35</v>
      </c>
      <c r="M1102" s="20">
        <v>6</v>
      </c>
      <c r="N1102" s="21">
        <v>42999</v>
      </c>
      <c r="O1102" s="22">
        <v>15</v>
      </c>
      <c r="P1102" s="23">
        <v>219294.9</v>
      </c>
      <c r="Q1102" s="22">
        <v>4.5999999999999996</v>
      </c>
      <c r="R1102" s="22">
        <v>20</v>
      </c>
      <c r="S1102" s="23">
        <f>(Table13[[#This Row],[Unit Price]]*Table13[[#This Row],[No.of Units]])*18%</f>
        <v>46438.92</v>
      </c>
      <c r="T1102" s="22" t="s">
        <v>1508</v>
      </c>
    </row>
    <row r="1103" spans="2:20" x14ac:dyDescent="0.3">
      <c r="B1103" s="5" t="s">
        <v>1034</v>
      </c>
      <c r="C1103" s="1">
        <v>9188859</v>
      </c>
      <c r="D1103" s="1">
        <v>30</v>
      </c>
      <c r="E1103" s="1" t="s">
        <v>12</v>
      </c>
      <c r="F1103" s="16">
        <v>45917</v>
      </c>
      <c r="G1103" s="1" t="s">
        <v>1470</v>
      </c>
      <c r="H1103" s="1" t="s">
        <v>1471</v>
      </c>
      <c r="I1103" s="17" t="s">
        <v>1502</v>
      </c>
      <c r="J1103" s="18" t="s">
        <v>13</v>
      </c>
      <c r="K1103" s="19" t="s">
        <v>14</v>
      </c>
      <c r="L1103" s="19" t="s">
        <v>42</v>
      </c>
      <c r="M1103" s="20">
        <v>3</v>
      </c>
      <c r="N1103" s="21">
        <v>99999</v>
      </c>
      <c r="O1103" s="22">
        <v>10</v>
      </c>
      <c r="P1103" s="23">
        <v>269997.3</v>
      </c>
      <c r="Q1103" s="22">
        <v>4.7</v>
      </c>
      <c r="R1103" s="22">
        <v>20</v>
      </c>
      <c r="S1103" s="23">
        <f>(Table13[[#This Row],[Unit Price]]*Table13[[#This Row],[No.of Units]])*18%</f>
        <v>53999.46</v>
      </c>
      <c r="T1103" s="22" t="s">
        <v>1508</v>
      </c>
    </row>
    <row r="1104" spans="2:20" x14ac:dyDescent="0.3">
      <c r="B1104" s="5" t="s">
        <v>1035</v>
      </c>
      <c r="C1104" s="1">
        <v>5563976</v>
      </c>
      <c r="D1104" s="1">
        <v>23</v>
      </c>
      <c r="E1104" s="1" t="s">
        <v>12</v>
      </c>
      <c r="F1104" s="16">
        <v>45917</v>
      </c>
      <c r="G1104" s="1" t="s">
        <v>1470</v>
      </c>
      <c r="H1104" s="1" t="s">
        <v>1482</v>
      </c>
      <c r="I1104" s="17" t="s">
        <v>1503</v>
      </c>
      <c r="J1104" s="18" t="s">
        <v>17</v>
      </c>
      <c r="K1104" s="19" t="s">
        <v>18</v>
      </c>
      <c r="L1104" s="19" t="s">
        <v>42</v>
      </c>
      <c r="M1104" s="20">
        <v>44</v>
      </c>
      <c r="N1104" s="21">
        <v>4999</v>
      </c>
      <c r="O1104" s="22">
        <v>18</v>
      </c>
      <c r="P1104" s="23">
        <v>180363.91999999998</v>
      </c>
      <c r="Q1104" s="22">
        <v>4.4000000000000004</v>
      </c>
      <c r="R1104" s="22">
        <v>20</v>
      </c>
      <c r="S1104" s="23">
        <f>(Table13[[#This Row],[Unit Price]]*Table13[[#This Row],[No.of Units]])*18%</f>
        <v>39592.080000000002</v>
      </c>
      <c r="T1104" s="22" t="s">
        <v>1508</v>
      </c>
    </row>
    <row r="1105" spans="2:20" x14ac:dyDescent="0.3">
      <c r="B1105" s="5" t="s">
        <v>1036</v>
      </c>
      <c r="C1105" s="1">
        <v>3204934</v>
      </c>
      <c r="D1105" s="1">
        <v>46</v>
      </c>
      <c r="E1105" s="1" t="s">
        <v>12</v>
      </c>
      <c r="F1105" s="16">
        <v>45917</v>
      </c>
      <c r="G1105" s="1" t="s">
        <v>1470</v>
      </c>
      <c r="H1105" s="1" t="s">
        <v>1482</v>
      </c>
      <c r="I1105" s="17" t="s">
        <v>1504</v>
      </c>
      <c r="J1105" s="18" t="s">
        <v>21</v>
      </c>
      <c r="K1105" s="19" t="s">
        <v>18</v>
      </c>
      <c r="L1105" s="19" t="s">
        <v>42</v>
      </c>
      <c r="M1105" s="20">
        <v>11</v>
      </c>
      <c r="N1105" s="21">
        <v>24900</v>
      </c>
      <c r="O1105" s="22">
        <v>5</v>
      </c>
      <c r="P1105" s="23">
        <v>260205</v>
      </c>
      <c r="Q1105" s="22">
        <v>4.8</v>
      </c>
      <c r="R1105" s="22">
        <v>20</v>
      </c>
      <c r="S1105" s="23">
        <f>(Table13[[#This Row],[Unit Price]]*Table13[[#This Row],[No.of Units]])*18%</f>
        <v>49302</v>
      </c>
      <c r="T1105" s="22" t="s">
        <v>1508</v>
      </c>
    </row>
    <row r="1106" spans="2:20" x14ac:dyDescent="0.3">
      <c r="B1106" s="5" t="s">
        <v>1037</v>
      </c>
      <c r="C1106" s="1">
        <v>3227935</v>
      </c>
      <c r="D1106" s="1">
        <v>71</v>
      </c>
      <c r="E1106" s="1" t="s">
        <v>20</v>
      </c>
      <c r="F1106" s="16">
        <v>45917</v>
      </c>
      <c r="G1106" s="1" t="s">
        <v>1470</v>
      </c>
      <c r="H1106" s="1" t="s">
        <v>1472</v>
      </c>
      <c r="I1106" s="17" t="s">
        <v>1505</v>
      </c>
      <c r="J1106" s="18" t="s">
        <v>23</v>
      </c>
      <c r="K1106" s="19" t="s">
        <v>14</v>
      </c>
      <c r="L1106" s="19" t="s">
        <v>42</v>
      </c>
      <c r="M1106" s="20">
        <v>4</v>
      </c>
      <c r="N1106" s="21">
        <v>84999</v>
      </c>
      <c r="O1106" s="22">
        <v>12</v>
      </c>
      <c r="P1106" s="23">
        <v>299196.48</v>
      </c>
      <c r="Q1106" s="22">
        <v>4.5</v>
      </c>
      <c r="R1106" s="22">
        <v>20</v>
      </c>
      <c r="S1106" s="23">
        <f>(Table13[[#This Row],[Unit Price]]*Table13[[#This Row],[No.of Units]])*18%</f>
        <v>61199.28</v>
      </c>
      <c r="T1106" s="22" t="s">
        <v>1507</v>
      </c>
    </row>
    <row r="1107" spans="2:20" x14ac:dyDescent="0.3">
      <c r="B1107" s="5" t="s">
        <v>1038</v>
      </c>
      <c r="C1107" s="1">
        <v>5187364</v>
      </c>
      <c r="D1107" s="1">
        <v>25</v>
      </c>
      <c r="E1107" s="1" t="s">
        <v>12</v>
      </c>
      <c r="F1107" s="16">
        <v>45917</v>
      </c>
      <c r="G1107" s="1" t="s">
        <v>1473</v>
      </c>
      <c r="H1107" s="1" t="s">
        <v>1471</v>
      </c>
      <c r="I1107" s="17" t="s">
        <v>1504</v>
      </c>
      <c r="J1107" s="18" t="s">
        <v>25</v>
      </c>
      <c r="K1107" s="19" t="s">
        <v>26</v>
      </c>
      <c r="L1107" s="19" t="s">
        <v>42</v>
      </c>
      <c r="M1107" s="20">
        <v>4</v>
      </c>
      <c r="N1107" s="21">
        <v>69999</v>
      </c>
      <c r="O1107" s="22">
        <v>8</v>
      </c>
      <c r="P1107" s="23">
        <v>257596.32</v>
      </c>
      <c r="Q1107" s="22">
        <v>4.8</v>
      </c>
      <c r="R1107" s="22">
        <v>20</v>
      </c>
      <c r="S1107" s="23">
        <f>(Table13[[#This Row],[Unit Price]]*Table13[[#This Row],[No.of Units]])*18%</f>
        <v>50399.28</v>
      </c>
      <c r="T1107" s="22" t="s">
        <v>1507</v>
      </c>
    </row>
    <row r="1108" spans="2:20" x14ac:dyDescent="0.3">
      <c r="B1108" s="5" t="s">
        <v>1039</v>
      </c>
      <c r="C1108" s="1">
        <v>8698294</v>
      </c>
      <c r="D1108" s="1">
        <v>68</v>
      </c>
      <c r="E1108" s="1" t="s">
        <v>20</v>
      </c>
      <c r="F1108" s="16">
        <v>45917</v>
      </c>
      <c r="G1108" s="1" t="s">
        <v>1470</v>
      </c>
      <c r="H1108" s="1" t="s">
        <v>1482</v>
      </c>
      <c r="I1108" s="17" t="s">
        <v>1503</v>
      </c>
      <c r="J1108" s="18" t="s">
        <v>28</v>
      </c>
      <c r="K1108" s="19" t="s">
        <v>26</v>
      </c>
      <c r="L1108" s="19" t="s">
        <v>42</v>
      </c>
      <c r="M1108" s="20">
        <v>9</v>
      </c>
      <c r="N1108" s="21">
        <v>42999</v>
      </c>
      <c r="O1108" s="22">
        <v>15</v>
      </c>
      <c r="P1108" s="23">
        <v>328942.34999999998</v>
      </c>
      <c r="Q1108" s="22">
        <v>4.5999999999999996</v>
      </c>
      <c r="R1108" s="22">
        <v>20</v>
      </c>
      <c r="S1108" s="23">
        <f>(Table13[[#This Row],[Unit Price]]*Table13[[#This Row],[No.of Units]])*18%</f>
        <v>69658.38</v>
      </c>
      <c r="T1108" s="22" t="s">
        <v>1508</v>
      </c>
    </row>
    <row r="1109" spans="2:20" x14ac:dyDescent="0.3">
      <c r="B1109" s="5" t="s">
        <v>1040</v>
      </c>
      <c r="C1109" s="1">
        <v>2360764</v>
      </c>
      <c r="D1109" s="1">
        <v>46</v>
      </c>
      <c r="E1109" s="1" t="s">
        <v>12</v>
      </c>
      <c r="F1109" s="16">
        <v>45917</v>
      </c>
      <c r="G1109" s="1" t="s">
        <v>1470</v>
      </c>
      <c r="H1109" s="1" t="s">
        <v>1471</v>
      </c>
      <c r="I1109" s="17" t="s">
        <v>1502</v>
      </c>
      <c r="J1109" s="18" t="s">
        <v>13</v>
      </c>
      <c r="K1109" s="19" t="s">
        <v>14</v>
      </c>
      <c r="L1109" s="19" t="s">
        <v>49</v>
      </c>
      <c r="M1109" s="20">
        <v>6</v>
      </c>
      <c r="N1109" s="21">
        <v>99999</v>
      </c>
      <c r="O1109" s="22">
        <v>10</v>
      </c>
      <c r="P1109" s="23">
        <v>539994.6</v>
      </c>
      <c r="Q1109" s="22">
        <v>4.7</v>
      </c>
      <c r="R1109" s="22">
        <v>20</v>
      </c>
      <c r="S1109" s="23">
        <f>(Table13[[#This Row],[Unit Price]]*Table13[[#This Row],[No.of Units]])*18%</f>
        <v>107998.92</v>
      </c>
      <c r="T1109" s="22" t="s">
        <v>1507</v>
      </c>
    </row>
    <row r="1110" spans="2:20" x14ac:dyDescent="0.3">
      <c r="B1110" s="5" t="s">
        <v>1041</v>
      </c>
      <c r="C1110" s="1">
        <v>3600740</v>
      </c>
      <c r="D1110" s="1">
        <v>38</v>
      </c>
      <c r="E1110" s="1" t="s">
        <v>12</v>
      </c>
      <c r="F1110" s="16">
        <v>45917</v>
      </c>
      <c r="G1110" s="1" t="s">
        <v>1470</v>
      </c>
      <c r="H1110" s="1" t="s">
        <v>1471</v>
      </c>
      <c r="I1110" s="17" t="s">
        <v>1503</v>
      </c>
      <c r="J1110" s="18" t="s">
        <v>17</v>
      </c>
      <c r="K1110" s="19" t="s">
        <v>18</v>
      </c>
      <c r="L1110" s="19" t="s">
        <v>49</v>
      </c>
      <c r="M1110" s="20">
        <v>49</v>
      </c>
      <c r="N1110" s="21">
        <v>4999</v>
      </c>
      <c r="O1110" s="22">
        <v>18</v>
      </c>
      <c r="P1110" s="23">
        <v>200859.82</v>
      </c>
      <c r="Q1110" s="22">
        <v>4.4000000000000004</v>
      </c>
      <c r="R1110" s="22">
        <v>20</v>
      </c>
      <c r="S1110" s="23">
        <f>(Table13[[#This Row],[Unit Price]]*Table13[[#This Row],[No.of Units]])*18%</f>
        <v>44091.18</v>
      </c>
      <c r="T1110" s="22" t="s">
        <v>1508</v>
      </c>
    </row>
    <row r="1111" spans="2:20" x14ac:dyDescent="0.3">
      <c r="B1111" s="5" t="s">
        <v>1042</v>
      </c>
      <c r="C1111" s="1">
        <v>4102435</v>
      </c>
      <c r="D1111" s="1">
        <v>40</v>
      </c>
      <c r="E1111" s="1" t="s">
        <v>12</v>
      </c>
      <c r="F1111" s="16">
        <v>45917</v>
      </c>
      <c r="G1111" s="1" t="s">
        <v>1470</v>
      </c>
      <c r="H1111" s="1" t="s">
        <v>1482</v>
      </c>
      <c r="I1111" s="17" t="s">
        <v>1504</v>
      </c>
      <c r="J1111" s="18" t="s">
        <v>21</v>
      </c>
      <c r="K1111" s="19" t="s">
        <v>18</v>
      </c>
      <c r="L1111" s="19" t="s">
        <v>49</v>
      </c>
      <c r="M1111" s="20">
        <v>15</v>
      </c>
      <c r="N1111" s="21">
        <v>24900</v>
      </c>
      <c r="O1111" s="22">
        <v>5</v>
      </c>
      <c r="P1111" s="23">
        <v>354825</v>
      </c>
      <c r="Q1111" s="22">
        <v>4.8</v>
      </c>
      <c r="R1111" s="22">
        <v>20</v>
      </c>
      <c r="S1111" s="23">
        <f>(Table13[[#This Row],[Unit Price]]*Table13[[#This Row],[No.of Units]])*18%</f>
        <v>67230</v>
      </c>
      <c r="T1111" s="22" t="s">
        <v>1508</v>
      </c>
    </row>
    <row r="1112" spans="2:20" x14ac:dyDescent="0.3">
      <c r="B1112" s="5" t="s">
        <v>1043</v>
      </c>
      <c r="C1112" s="1">
        <v>1197282</v>
      </c>
      <c r="D1112" s="1">
        <v>22</v>
      </c>
      <c r="E1112" s="1" t="s">
        <v>12</v>
      </c>
      <c r="F1112" s="16">
        <v>45917</v>
      </c>
      <c r="G1112" s="1" t="s">
        <v>1470</v>
      </c>
      <c r="H1112" s="1" t="s">
        <v>1471</v>
      </c>
      <c r="I1112" s="17" t="s">
        <v>1505</v>
      </c>
      <c r="J1112" s="18" t="s">
        <v>23</v>
      </c>
      <c r="K1112" s="19" t="s">
        <v>14</v>
      </c>
      <c r="L1112" s="19" t="s">
        <v>49</v>
      </c>
      <c r="M1112" s="20">
        <v>6</v>
      </c>
      <c r="N1112" s="21">
        <v>84999</v>
      </c>
      <c r="O1112" s="22">
        <v>12</v>
      </c>
      <c r="P1112" s="23">
        <v>448794.72</v>
      </c>
      <c r="Q1112" s="22">
        <v>4.5</v>
      </c>
      <c r="R1112" s="22">
        <v>20</v>
      </c>
      <c r="S1112" s="23">
        <f>(Table13[[#This Row],[Unit Price]]*Table13[[#This Row],[No.of Units]])*18%</f>
        <v>91798.92</v>
      </c>
      <c r="T1112" s="22" t="s">
        <v>1507</v>
      </c>
    </row>
    <row r="1113" spans="2:20" x14ac:dyDescent="0.3">
      <c r="B1113" s="5" t="s">
        <v>1043</v>
      </c>
      <c r="C1113" s="1">
        <v>1197282</v>
      </c>
      <c r="D1113" s="1">
        <v>31</v>
      </c>
      <c r="E1113" s="1" t="s">
        <v>12</v>
      </c>
      <c r="F1113" s="16">
        <v>45917</v>
      </c>
      <c r="G1113" s="1" t="s">
        <v>1470</v>
      </c>
      <c r="H1113" s="1" t="s">
        <v>1471</v>
      </c>
      <c r="I1113" s="17" t="s">
        <v>1504</v>
      </c>
      <c r="J1113" s="18" t="s">
        <v>25</v>
      </c>
      <c r="K1113" s="19" t="s">
        <v>26</v>
      </c>
      <c r="L1113" s="19" t="s">
        <v>49</v>
      </c>
      <c r="M1113" s="20">
        <v>4</v>
      </c>
      <c r="N1113" s="21">
        <v>69999</v>
      </c>
      <c r="O1113" s="22">
        <v>8</v>
      </c>
      <c r="P1113" s="23">
        <v>257596.32</v>
      </c>
      <c r="Q1113" s="22">
        <v>4.8</v>
      </c>
      <c r="R1113" s="22">
        <v>20</v>
      </c>
      <c r="S1113" s="23">
        <f>(Table13[[#This Row],[Unit Price]]*Table13[[#This Row],[No.of Units]])*18%</f>
        <v>50399.28</v>
      </c>
      <c r="T1113" s="22" t="s">
        <v>1508</v>
      </c>
    </row>
    <row r="1114" spans="2:20" x14ac:dyDescent="0.3">
      <c r="B1114" s="5" t="s">
        <v>1044</v>
      </c>
      <c r="C1114" s="1">
        <v>8315179</v>
      </c>
      <c r="D1114" s="1">
        <v>55</v>
      </c>
      <c r="E1114" s="1" t="s">
        <v>20</v>
      </c>
      <c r="F1114" s="16">
        <v>45917</v>
      </c>
      <c r="G1114" s="1" t="s">
        <v>1470</v>
      </c>
      <c r="H1114" s="1" t="s">
        <v>1483</v>
      </c>
      <c r="I1114" s="17" t="s">
        <v>1503</v>
      </c>
      <c r="J1114" s="18" t="s">
        <v>28</v>
      </c>
      <c r="K1114" s="19" t="s">
        <v>26</v>
      </c>
      <c r="L1114" s="19" t="s">
        <v>49</v>
      </c>
      <c r="M1114" s="20">
        <v>5</v>
      </c>
      <c r="N1114" s="21">
        <v>42999</v>
      </c>
      <c r="O1114" s="22">
        <v>15</v>
      </c>
      <c r="P1114" s="23">
        <v>182745.75</v>
      </c>
      <c r="Q1114" s="22">
        <v>4.5999999999999996</v>
      </c>
      <c r="R1114" s="22">
        <v>20</v>
      </c>
      <c r="S1114" s="23">
        <f>(Table13[[#This Row],[Unit Price]]*Table13[[#This Row],[No.of Units]])*18%</f>
        <v>38699.1</v>
      </c>
      <c r="T1114" s="22" t="s">
        <v>1507</v>
      </c>
    </row>
    <row r="1115" spans="2:20" x14ac:dyDescent="0.3">
      <c r="B1115" s="5" t="s">
        <v>1045</v>
      </c>
      <c r="C1115" s="1">
        <v>5956376</v>
      </c>
      <c r="D1115" s="1">
        <v>77</v>
      </c>
      <c r="E1115" s="1" t="s">
        <v>20</v>
      </c>
      <c r="F1115" s="16">
        <v>45924</v>
      </c>
      <c r="G1115" s="1" t="s">
        <v>1470</v>
      </c>
      <c r="H1115" s="1" t="s">
        <v>1471</v>
      </c>
      <c r="I1115" s="17" t="s">
        <v>1502</v>
      </c>
      <c r="J1115" s="18" t="s">
        <v>13</v>
      </c>
      <c r="K1115" s="19" t="s">
        <v>14</v>
      </c>
      <c r="L1115" s="19" t="s">
        <v>15</v>
      </c>
      <c r="M1115" s="20">
        <v>5</v>
      </c>
      <c r="N1115" s="21">
        <v>99999</v>
      </c>
      <c r="O1115" s="22">
        <v>10</v>
      </c>
      <c r="P1115" s="23">
        <v>449995.5</v>
      </c>
      <c r="Q1115" s="22">
        <v>4.7</v>
      </c>
      <c r="R1115" s="22">
        <v>20</v>
      </c>
      <c r="S1115" s="23">
        <f>(Table13[[#This Row],[Unit Price]]*Table13[[#This Row],[No.of Units]])*18%</f>
        <v>89999.099999999991</v>
      </c>
      <c r="T1115" s="22" t="s">
        <v>1507</v>
      </c>
    </row>
    <row r="1116" spans="2:20" x14ac:dyDescent="0.3">
      <c r="B1116" s="5" t="s">
        <v>1046</v>
      </c>
      <c r="C1116" s="1">
        <v>781625</v>
      </c>
      <c r="D1116" s="1">
        <v>18</v>
      </c>
      <c r="E1116" s="1" t="s">
        <v>34</v>
      </c>
      <c r="F1116" s="16">
        <v>45924</v>
      </c>
      <c r="G1116" s="1" t="s">
        <v>1470</v>
      </c>
      <c r="H1116" s="1" t="s">
        <v>1472</v>
      </c>
      <c r="I1116" s="17" t="s">
        <v>1503</v>
      </c>
      <c r="J1116" s="18" t="s">
        <v>17</v>
      </c>
      <c r="K1116" s="19" t="s">
        <v>18</v>
      </c>
      <c r="L1116" s="19" t="s">
        <v>15</v>
      </c>
      <c r="M1116" s="20">
        <v>32</v>
      </c>
      <c r="N1116" s="21">
        <v>4999</v>
      </c>
      <c r="O1116" s="22">
        <v>18</v>
      </c>
      <c r="P1116" s="23">
        <v>131173.76000000001</v>
      </c>
      <c r="Q1116" s="22">
        <v>4.4000000000000004</v>
      </c>
      <c r="R1116" s="22">
        <v>20</v>
      </c>
      <c r="S1116" s="23">
        <f>(Table13[[#This Row],[Unit Price]]*Table13[[#This Row],[No.of Units]])*18%</f>
        <v>28794.239999999998</v>
      </c>
      <c r="T1116" s="22" t="s">
        <v>1508</v>
      </c>
    </row>
    <row r="1117" spans="2:20" x14ac:dyDescent="0.3">
      <c r="B1117" s="5" t="s">
        <v>1047</v>
      </c>
      <c r="C1117" s="1">
        <v>9106012</v>
      </c>
      <c r="D1117" s="1">
        <v>35</v>
      </c>
      <c r="E1117" s="1" t="s">
        <v>12</v>
      </c>
      <c r="F1117" s="16">
        <v>45924</v>
      </c>
      <c r="G1117" s="1" t="s">
        <v>1470</v>
      </c>
      <c r="H1117" s="1" t="s">
        <v>1483</v>
      </c>
      <c r="I1117" s="17" t="s">
        <v>1504</v>
      </c>
      <c r="J1117" s="18" t="s">
        <v>21</v>
      </c>
      <c r="K1117" s="19" t="s">
        <v>18</v>
      </c>
      <c r="L1117" s="19" t="s">
        <v>15</v>
      </c>
      <c r="M1117" s="20">
        <v>10</v>
      </c>
      <c r="N1117" s="21">
        <v>24900</v>
      </c>
      <c r="O1117" s="22">
        <v>5</v>
      </c>
      <c r="P1117" s="23">
        <v>236550</v>
      </c>
      <c r="Q1117" s="22">
        <v>4.8</v>
      </c>
      <c r="R1117" s="22">
        <v>20</v>
      </c>
      <c r="S1117" s="23">
        <f>(Table13[[#This Row],[Unit Price]]*Table13[[#This Row],[No.of Units]])*18%</f>
        <v>44820</v>
      </c>
      <c r="T1117" s="22" t="s">
        <v>1508</v>
      </c>
    </row>
    <row r="1118" spans="2:20" x14ac:dyDescent="0.3">
      <c r="B1118" s="5" t="s">
        <v>1048</v>
      </c>
      <c r="C1118" s="1">
        <v>8784631</v>
      </c>
      <c r="D1118" s="1">
        <v>28</v>
      </c>
      <c r="E1118" s="1" t="s">
        <v>12</v>
      </c>
      <c r="F1118" s="16">
        <v>45924</v>
      </c>
      <c r="G1118" s="1" t="s">
        <v>1470</v>
      </c>
      <c r="H1118" s="1" t="s">
        <v>1471</v>
      </c>
      <c r="I1118" s="17" t="s">
        <v>1505</v>
      </c>
      <c r="J1118" s="18" t="s">
        <v>23</v>
      </c>
      <c r="K1118" s="19" t="s">
        <v>14</v>
      </c>
      <c r="L1118" s="19" t="s">
        <v>15</v>
      </c>
      <c r="M1118" s="20">
        <v>3</v>
      </c>
      <c r="N1118" s="21">
        <v>84999</v>
      </c>
      <c r="O1118" s="22">
        <v>12</v>
      </c>
      <c r="P1118" s="23">
        <v>224397.36</v>
      </c>
      <c r="Q1118" s="22">
        <v>4.5</v>
      </c>
      <c r="R1118" s="22">
        <v>20</v>
      </c>
      <c r="S1118" s="23">
        <f>(Table13[[#This Row],[Unit Price]]*Table13[[#This Row],[No.of Units]])*18%</f>
        <v>45899.46</v>
      </c>
      <c r="T1118" s="22" t="s">
        <v>1507</v>
      </c>
    </row>
    <row r="1119" spans="2:20" x14ac:dyDescent="0.3">
      <c r="B1119" s="5" t="s">
        <v>1049</v>
      </c>
      <c r="C1119" s="1">
        <v>6382984</v>
      </c>
      <c r="D1119" s="1">
        <v>41</v>
      </c>
      <c r="E1119" s="1" t="s">
        <v>12</v>
      </c>
      <c r="F1119" s="16">
        <v>45924</v>
      </c>
      <c r="G1119" s="1" t="s">
        <v>1470</v>
      </c>
      <c r="H1119" s="1" t="s">
        <v>1472</v>
      </c>
      <c r="I1119" s="17" t="s">
        <v>1504</v>
      </c>
      <c r="J1119" s="18" t="s">
        <v>25</v>
      </c>
      <c r="K1119" s="19" t="s">
        <v>26</v>
      </c>
      <c r="L1119" s="19" t="s">
        <v>15</v>
      </c>
      <c r="M1119" s="20">
        <v>2</v>
      </c>
      <c r="N1119" s="21">
        <v>69999</v>
      </c>
      <c r="O1119" s="22">
        <v>8</v>
      </c>
      <c r="P1119" s="23">
        <v>128798.16</v>
      </c>
      <c r="Q1119" s="22">
        <v>4.8</v>
      </c>
      <c r="R1119" s="22">
        <v>20</v>
      </c>
      <c r="S1119" s="23">
        <f>(Table13[[#This Row],[Unit Price]]*Table13[[#This Row],[No.of Units]])*18%</f>
        <v>25199.64</v>
      </c>
      <c r="T1119" s="22" t="s">
        <v>1507</v>
      </c>
    </row>
    <row r="1120" spans="2:20" x14ac:dyDescent="0.3">
      <c r="B1120" s="5" t="s">
        <v>1049</v>
      </c>
      <c r="C1120" s="1">
        <v>6382984</v>
      </c>
      <c r="D1120" s="1">
        <v>38</v>
      </c>
      <c r="E1120" s="1" t="s">
        <v>12</v>
      </c>
      <c r="F1120" s="16">
        <v>45924</v>
      </c>
      <c r="G1120" s="1" t="s">
        <v>1470</v>
      </c>
      <c r="H1120" s="1" t="s">
        <v>1471</v>
      </c>
      <c r="I1120" s="17" t="s">
        <v>1503</v>
      </c>
      <c r="J1120" s="18" t="s">
        <v>28</v>
      </c>
      <c r="K1120" s="19" t="s">
        <v>26</v>
      </c>
      <c r="L1120" s="19" t="s">
        <v>15</v>
      </c>
      <c r="M1120" s="20">
        <v>5</v>
      </c>
      <c r="N1120" s="21">
        <v>42999</v>
      </c>
      <c r="O1120" s="22">
        <v>15</v>
      </c>
      <c r="P1120" s="23">
        <v>182745.75</v>
      </c>
      <c r="Q1120" s="22">
        <v>4.5999999999999996</v>
      </c>
      <c r="R1120" s="22">
        <v>20</v>
      </c>
      <c r="S1120" s="23">
        <f>(Table13[[#This Row],[Unit Price]]*Table13[[#This Row],[No.of Units]])*18%</f>
        <v>38699.1</v>
      </c>
      <c r="T1120" s="22" t="s">
        <v>1508</v>
      </c>
    </row>
    <row r="1121" spans="2:20" x14ac:dyDescent="0.3">
      <c r="B1121" s="5" t="s">
        <v>1050</v>
      </c>
      <c r="C1121" s="1">
        <v>3409162</v>
      </c>
      <c r="D1121" s="1">
        <v>29</v>
      </c>
      <c r="E1121" s="1" t="s">
        <v>12</v>
      </c>
      <c r="F1121" s="16">
        <v>45924</v>
      </c>
      <c r="G1121" s="1" t="s">
        <v>1470</v>
      </c>
      <c r="H1121" s="1" t="s">
        <v>1483</v>
      </c>
      <c r="I1121" s="17" t="s">
        <v>1502</v>
      </c>
      <c r="J1121" s="18" t="s">
        <v>13</v>
      </c>
      <c r="K1121" s="19" t="s">
        <v>14</v>
      </c>
      <c r="L1121" s="19" t="s">
        <v>29</v>
      </c>
      <c r="M1121" s="20">
        <v>6</v>
      </c>
      <c r="N1121" s="21">
        <v>99999</v>
      </c>
      <c r="O1121" s="22">
        <v>10</v>
      </c>
      <c r="P1121" s="23">
        <v>539994.6</v>
      </c>
      <c r="Q1121" s="22">
        <v>4.7</v>
      </c>
      <c r="R1121" s="22">
        <v>20</v>
      </c>
      <c r="S1121" s="23">
        <f>(Table13[[#This Row],[Unit Price]]*Table13[[#This Row],[No.of Units]])*18%</f>
        <v>107998.92</v>
      </c>
      <c r="T1121" s="22" t="s">
        <v>1508</v>
      </c>
    </row>
    <row r="1122" spans="2:20" x14ac:dyDescent="0.3">
      <c r="B1122" s="5" t="s">
        <v>1051</v>
      </c>
      <c r="C1122" s="1">
        <v>268369</v>
      </c>
      <c r="D1122" s="1">
        <v>75</v>
      </c>
      <c r="E1122" s="1" t="s">
        <v>20</v>
      </c>
      <c r="F1122" s="16">
        <v>45924</v>
      </c>
      <c r="G1122" s="1" t="s">
        <v>1470</v>
      </c>
      <c r="H1122" s="1" t="s">
        <v>1482</v>
      </c>
      <c r="I1122" s="17" t="s">
        <v>1503</v>
      </c>
      <c r="J1122" s="18" t="s">
        <v>17</v>
      </c>
      <c r="K1122" s="19" t="s">
        <v>18</v>
      </c>
      <c r="L1122" s="19" t="s">
        <v>29</v>
      </c>
      <c r="M1122" s="20">
        <v>37</v>
      </c>
      <c r="N1122" s="21">
        <v>4999</v>
      </c>
      <c r="O1122" s="22">
        <v>18</v>
      </c>
      <c r="P1122" s="23">
        <v>151669.66</v>
      </c>
      <c r="Q1122" s="22">
        <v>4.4000000000000004</v>
      </c>
      <c r="R1122" s="22">
        <v>20</v>
      </c>
      <c r="S1122" s="23">
        <f>(Table13[[#This Row],[Unit Price]]*Table13[[#This Row],[No.of Units]])*18%</f>
        <v>33293.339999999997</v>
      </c>
      <c r="T1122" s="22" t="s">
        <v>1508</v>
      </c>
    </row>
    <row r="1123" spans="2:20" x14ac:dyDescent="0.3">
      <c r="B1123" s="5" t="s">
        <v>1052</v>
      </c>
      <c r="C1123" s="1">
        <v>7747946</v>
      </c>
      <c r="D1123" s="1">
        <v>18</v>
      </c>
      <c r="E1123" s="1" t="s">
        <v>34</v>
      </c>
      <c r="F1123" s="16">
        <v>45924</v>
      </c>
      <c r="G1123" s="1" t="s">
        <v>1470</v>
      </c>
      <c r="H1123" s="1" t="s">
        <v>1471</v>
      </c>
      <c r="I1123" s="17" t="s">
        <v>1504</v>
      </c>
      <c r="J1123" s="18" t="s">
        <v>21</v>
      </c>
      <c r="K1123" s="19" t="s">
        <v>18</v>
      </c>
      <c r="L1123" s="19" t="s">
        <v>29</v>
      </c>
      <c r="M1123" s="20">
        <v>9</v>
      </c>
      <c r="N1123" s="21">
        <v>24900</v>
      </c>
      <c r="O1123" s="22">
        <v>5</v>
      </c>
      <c r="P1123" s="23">
        <v>212895</v>
      </c>
      <c r="Q1123" s="22">
        <v>4.8</v>
      </c>
      <c r="R1123" s="22">
        <v>20</v>
      </c>
      <c r="S1123" s="23">
        <f>(Table13[[#This Row],[Unit Price]]*Table13[[#This Row],[No.of Units]])*18%</f>
        <v>40338</v>
      </c>
      <c r="T1123" s="22" t="s">
        <v>1508</v>
      </c>
    </row>
    <row r="1124" spans="2:20" x14ac:dyDescent="0.3">
      <c r="B1124" s="5" t="s">
        <v>1053</v>
      </c>
      <c r="C1124" s="1">
        <v>4576235</v>
      </c>
      <c r="D1124" s="1">
        <v>34</v>
      </c>
      <c r="E1124" s="1" t="s">
        <v>12</v>
      </c>
      <c r="F1124" s="16">
        <v>45924</v>
      </c>
      <c r="G1124" s="1" t="s">
        <v>1470</v>
      </c>
      <c r="H1124" s="1" t="s">
        <v>1480</v>
      </c>
      <c r="I1124" s="17" t="s">
        <v>1505</v>
      </c>
      <c r="J1124" s="18" t="s">
        <v>23</v>
      </c>
      <c r="K1124" s="19" t="s">
        <v>14</v>
      </c>
      <c r="L1124" s="19" t="s">
        <v>29</v>
      </c>
      <c r="M1124" s="20">
        <v>2</v>
      </c>
      <c r="N1124" s="21">
        <v>84999</v>
      </c>
      <c r="O1124" s="22">
        <v>12</v>
      </c>
      <c r="P1124" s="23">
        <v>149598.24</v>
      </c>
      <c r="Q1124" s="22">
        <v>4.5</v>
      </c>
      <c r="R1124" s="22">
        <v>20</v>
      </c>
      <c r="S1124" s="23">
        <f>(Table13[[#This Row],[Unit Price]]*Table13[[#This Row],[No.of Units]])*18%</f>
        <v>30599.64</v>
      </c>
      <c r="T1124" s="22" t="s">
        <v>1507</v>
      </c>
    </row>
    <row r="1125" spans="2:20" x14ac:dyDescent="0.3">
      <c r="B1125" s="5" t="s">
        <v>1054</v>
      </c>
      <c r="C1125" s="1">
        <v>9819217</v>
      </c>
      <c r="D1125" s="1">
        <v>28</v>
      </c>
      <c r="E1125" s="1" t="s">
        <v>12</v>
      </c>
      <c r="F1125" s="16">
        <v>45924</v>
      </c>
      <c r="G1125" s="1" t="s">
        <v>1470</v>
      </c>
      <c r="H1125" s="1" t="s">
        <v>1471</v>
      </c>
      <c r="I1125" s="17" t="s">
        <v>1504</v>
      </c>
      <c r="J1125" s="18" t="s">
        <v>25</v>
      </c>
      <c r="K1125" s="19" t="s">
        <v>26</v>
      </c>
      <c r="L1125" s="19" t="s">
        <v>29</v>
      </c>
      <c r="M1125" s="20">
        <v>2</v>
      </c>
      <c r="N1125" s="21">
        <v>69999</v>
      </c>
      <c r="O1125" s="22">
        <v>8</v>
      </c>
      <c r="P1125" s="23">
        <v>128798.16</v>
      </c>
      <c r="Q1125" s="22">
        <v>4.8</v>
      </c>
      <c r="R1125" s="22">
        <v>20</v>
      </c>
      <c r="S1125" s="23">
        <f>(Table13[[#This Row],[Unit Price]]*Table13[[#This Row],[No.of Units]])*18%</f>
        <v>25199.64</v>
      </c>
      <c r="T1125" s="22" t="s">
        <v>1508</v>
      </c>
    </row>
    <row r="1126" spans="2:20" x14ac:dyDescent="0.3">
      <c r="B1126" s="5" t="s">
        <v>1055</v>
      </c>
      <c r="C1126" s="1">
        <v>9419371</v>
      </c>
      <c r="D1126" s="1">
        <v>45</v>
      </c>
      <c r="E1126" s="1" t="s">
        <v>12</v>
      </c>
      <c r="F1126" s="16">
        <v>45924</v>
      </c>
      <c r="G1126" s="1" t="s">
        <v>1470</v>
      </c>
      <c r="H1126" s="1" t="s">
        <v>1471</v>
      </c>
      <c r="I1126" s="17" t="s">
        <v>1503</v>
      </c>
      <c r="J1126" s="18" t="s">
        <v>28</v>
      </c>
      <c r="K1126" s="19" t="s">
        <v>26</v>
      </c>
      <c r="L1126" s="19" t="s">
        <v>29</v>
      </c>
      <c r="M1126" s="20">
        <v>7</v>
      </c>
      <c r="N1126" s="21">
        <v>42999</v>
      </c>
      <c r="O1126" s="22">
        <v>15</v>
      </c>
      <c r="P1126" s="23">
        <v>255844.05</v>
      </c>
      <c r="Q1126" s="22">
        <v>4.5999999999999996</v>
      </c>
      <c r="R1126" s="22">
        <v>20</v>
      </c>
      <c r="S1126" s="23">
        <f>(Table13[[#This Row],[Unit Price]]*Table13[[#This Row],[No.of Units]])*18%</f>
        <v>54178.74</v>
      </c>
      <c r="T1126" s="22" t="s">
        <v>1507</v>
      </c>
    </row>
    <row r="1127" spans="2:20" x14ac:dyDescent="0.3">
      <c r="B1127" s="5" t="s">
        <v>1056</v>
      </c>
      <c r="C1127" s="1">
        <v>2984947</v>
      </c>
      <c r="D1127" s="1">
        <v>69</v>
      </c>
      <c r="E1127" s="1" t="s">
        <v>20</v>
      </c>
      <c r="F1127" s="16">
        <v>45924</v>
      </c>
      <c r="G1127" s="1" t="s">
        <v>1470</v>
      </c>
      <c r="H1127" s="1" t="s">
        <v>1483</v>
      </c>
      <c r="I1127" s="17" t="s">
        <v>1502</v>
      </c>
      <c r="J1127" s="18" t="s">
        <v>13</v>
      </c>
      <c r="K1127" s="19" t="s">
        <v>14</v>
      </c>
      <c r="L1127" s="19" t="s">
        <v>35</v>
      </c>
      <c r="M1127" s="20">
        <v>5</v>
      </c>
      <c r="N1127" s="21">
        <v>99999</v>
      </c>
      <c r="O1127" s="22">
        <v>10</v>
      </c>
      <c r="P1127" s="23">
        <v>449995.5</v>
      </c>
      <c r="Q1127" s="22">
        <v>4.7</v>
      </c>
      <c r="R1127" s="22">
        <v>20</v>
      </c>
      <c r="S1127" s="23">
        <f>(Table13[[#This Row],[Unit Price]]*Table13[[#This Row],[No.of Units]])*18%</f>
        <v>89999.099999999991</v>
      </c>
      <c r="T1127" s="22" t="s">
        <v>1507</v>
      </c>
    </row>
    <row r="1128" spans="2:20" x14ac:dyDescent="0.3">
      <c r="B1128" s="5" t="s">
        <v>1057</v>
      </c>
      <c r="C1128" s="1">
        <v>4088819</v>
      </c>
      <c r="D1128" s="1">
        <v>26</v>
      </c>
      <c r="E1128" s="1" t="s">
        <v>12</v>
      </c>
      <c r="F1128" s="16">
        <v>45924</v>
      </c>
      <c r="G1128" s="1" t="s">
        <v>1470</v>
      </c>
      <c r="H1128" s="1" t="s">
        <v>1483</v>
      </c>
      <c r="I1128" s="17" t="s">
        <v>1503</v>
      </c>
      <c r="J1128" s="18" t="s">
        <v>17</v>
      </c>
      <c r="K1128" s="19" t="s">
        <v>18</v>
      </c>
      <c r="L1128" s="19" t="s">
        <v>35</v>
      </c>
      <c r="M1128" s="20">
        <v>26</v>
      </c>
      <c r="N1128" s="21">
        <v>4999</v>
      </c>
      <c r="O1128" s="22">
        <v>18</v>
      </c>
      <c r="P1128" s="23">
        <v>106578.68</v>
      </c>
      <c r="Q1128" s="22">
        <v>4.4000000000000004</v>
      </c>
      <c r="R1128" s="22">
        <v>20</v>
      </c>
      <c r="S1128" s="23">
        <f>(Table13[[#This Row],[Unit Price]]*Table13[[#This Row],[No.of Units]])*18%</f>
        <v>23395.32</v>
      </c>
      <c r="T1128" s="22" t="s">
        <v>1508</v>
      </c>
    </row>
    <row r="1129" spans="2:20" x14ac:dyDescent="0.3">
      <c r="B1129" s="5" t="s">
        <v>1058</v>
      </c>
      <c r="C1129" s="1">
        <v>7200684</v>
      </c>
      <c r="D1129" s="1">
        <v>40</v>
      </c>
      <c r="E1129" s="1" t="s">
        <v>12</v>
      </c>
      <c r="F1129" s="16">
        <v>45924</v>
      </c>
      <c r="G1129" s="1" t="s">
        <v>1470</v>
      </c>
      <c r="H1129" s="1" t="s">
        <v>1472</v>
      </c>
      <c r="I1129" s="17" t="s">
        <v>1504</v>
      </c>
      <c r="J1129" s="18" t="s">
        <v>21</v>
      </c>
      <c r="K1129" s="19" t="s">
        <v>18</v>
      </c>
      <c r="L1129" s="19" t="s">
        <v>35</v>
      </c>
      <c r="M1129" s="20">
        <v>5</v>
      </c>
      <c r="N1129" s="21">
        <v>24900</v>
      </c>
      <c r="O1129" s="22">
        <v>5</v>
      </c>
      <c r="P1129" s="23">
        <v>118275</v>
      </c>
      <c r="Q1129" s="22">
        <v>4.8</v>
      </c>
      <c r="R1129" s="22">
        <v>20</v>
      </c>
      <c r="S1129" s="23">
        <f>(Table13[[#This Row],[Unit Price]]*Table13[[#This Row],[No.of Units]])*18%</f>
        <v>22410</v>
      </c>
      <c r="T1129" s="22" t="s">
        <v>1507</v>
      </c>
    </row>
    <row r="1130" spans="2:20" x14ac:dyDescent="0.3">
      <c r="B1130" s="5" t="s">
        <v>1059</v>
      </c>
      <c r="C1130" s="1">
        <v>6143193</v>
      </c>
      <c r="D1130" s="1">
        <v>23</v>
      </c>
      <c r="E1130" s="1" t="s">
        <v>12</v>
      </c>
      <c r="F1130" s="16">
        <v>45924</v>
      </c>
      <c r="G1130" s="1" t="s">
        <v>1470</v>
      </c>
      <c r="H1130" s="1" t="s">
        <v>1482</v>
      </c>
      <c r="I1130" s="17" t="s">
        <v>1505</v>
      </c>
      <c r="J1130" s="18" t="s">
        <v>23</v>
      </c>
      <c r="K1130" s="19" t="s">
        <v>14</v>
      </c>
      <c r="L1130" s="19" t="s">
        <v>35</v>
      </c>
      <c r="M1130" s="20">
        <v>6</v>
      </c>
      <c r="N1130" s="21">
        <v>84999</v>
      </c>
      <c r="O1130" s="22">
        <v>12</v>
      </c>
      <c r="P1130" s="23">
        <v>448794.72</v>
      </c>
      <c r="Q1130" s="22">
        <v>4.5</v>
      </c>
      <c r="R1130" s="22">
        <v>20</v>
      </c>
      <c r="S1130" s="23">
        <f>(Table13[[#This Row],[Unit Price]]*Table13[[#This Row],[No.of Units]])*18%</f>
        <v>91798.92</v>
      </c>
      <c r="T1130" s="22" t="s">
        <v>1508</v>
      </c>
    </row>
    <row r="1131" spans="2:20" x14ac:dyDescent="0.3">
      <c r="B1131" s="5" t="s">
        <v>1060</v>
      </c>
      <c r="C1131" s="1">
        <v>2913362</v>
      </c>
      <c r="D1131" s="1">
        <v>35</v>
      </c>
      <c r="E1131" s="1" t="s">
        <v>12</v>
      </c>
      <c r="F1131" s="16">
        <v>45924</v>
      </c>
      <c r="G1131" s="1" t="s">
        <v>1470</v>
      </c>
      <c r="H1131" s="1" t="s">
        <v>1471</v>
      </c>
      <c r="I1131" s="17" t="s">
        <v>1504</v>
      </c>
      <c r="J1131" s="18" t="s">
        <v>25</v>
      </c>
      <c r="K1131" s="19" t="s">
        <v>26</v>
      </c>
      <c r="L1131" s="19" t="s">
        <v>35</v>
      </c>
      <c r="M1131" s="20">
        <v>5</v>
      </c>
      <c r="N1131" s="21">
        <v>69999</v>
      </c>
      <c r="O1131" s="22">
        <v>8</v>
      </c>
      <c r="P1131" s="23">
        <v>321995.40000000002</v>
      </c>
      <c r="Q1131" s="22">
        <v>4.8</v>
      </c>
      <c r="R1131" s="22">
        <v>20</v>
      </c>
      <c r="S1131" s="23">
        <f>(Table13[[#This Row],[Unit Price]]*Table13[[#This Row],[No.of Units]])*18%</f>
        <v>62999.1</v>
      </c>
      <c r="T1131" s="22" t="s">
        <v>1508</v>
      </c>
    </row>
    <row r="1132" spans="2:20" x14ac:dyDescent="0.3">
      <c r="B1132" s="5" t="s">
        <v>1061</v>
      </c>
      <c r="C1132" s="1">
        <v>3137600</v>
      </c>
      <c r="D1132" s="1">
        <v>45</v>
      </c>
      <c r="E1132" s="1" t="s">
        <v>12</v>
      </c>
      <c r="F1132" s="16">
        <v>45924</v>
      </c>
      <c r="G1132" s="1" t="s">
        <v>1470</v>
      </c>
      <c r="H1132" s="1" t="s">
        <v>1472</v>
      </c>
      <c r="I1132" s="17" t="s">
        <v>1503</v>
      </c>
      <c r="J1132" s="18" t="s">
        <v>28</v>
      </c>
      <c r="K1132" s="19" t="s">
        <v>26</v>
      </c>
      <c r="L1132" s="19" t="s">
        <v>35</v>
      </c>
      <c r="M1132" s="20">
        <v>5</v>
      </c>
      <c r="N1132" s="21">
        <v>42999</v>
      </c>
      <c r="O1132" s="22">
        <v>15</v>
      </c>
      <c r="P1132" s="23">
        <v>182745.75</v>
      </c>
      <c r="Q1132" s="22">
        <v>4.5999999999999996</v>
      </c>
      <c r="R1132" s="22">
        <v>20</v>
      </c>
      <c r="S1132" s="23">
        <f>(Table13[[#This Row],[Unit Price]]*Table13[[#This Row],[No.of Units]])*18%</f>
        <v>38699.1</v>
      </c>
      <c r="T1132" s="22" t="s">
        <v>1508</v>
      </c>
    </row>
    <row r="1133" spans="2:20" x14ac:dyDescent="0.3">
      <c r="B1133" s="5" t="s">
        <v>1062</v>
      </c>
      <c r="C1133" s="1">
        <v>957621</v>
      </c>
      <c r="D1133" s="1">
        <v>78</v>
      </c>
      <c r="E1133" s="1" t="s">
        <v>20</v>
      </c>
      <c r="F1133" s="16">
        <v>45924</v>
      </c>
      <c r="G1133" s="1" t="s">
        <v>1470</v>
      </c>
      <c r="H1133" s="1" t="s">
        <v>1471</v>
      </c>
      <c r="I1133" s="17" t="s">
        <v>1502</v>
      </c>
      <c r="J1133" s="18" t="s">
        <v>13</v>
      </c>
      <c r="K1133" s="19" t="s">
        <v>14</v>
      </c>
      <c r="L1133" s="19" t="s">
        <v>42</v>
      </c>
      <c r="M1133" s="20">
        <v>3</v>
      </c>
      <c r="N1133" s="21">
        <v>99999</v>
      </c>
      <c r="O1133" s="22">
        <v>10</v>
      </c>
      <c r="P1133" s="23">
        <v>269997.3</v>
      </c>
      <c r="Q1133" s="22">
        <v>4.7</v>
      </c>
      <c r="R1133" s="22">
        <v>20</v>
      </c>
      <c r="S1133" s="23">
        <f>(Table13[[#This Row],[Unit Price]]*Table13[[#This Row],[No.of Units]])*18%</f>
        <v>53999.46</v>
      </c>
      <c r="T1133" s="22" t="s">
        <v>1508</v>
      </c>
    </row>
    <row r="1134" spans="2:20" x14ac:dyDescent="0.3">
      <c r="B1134" s="5" t="s">
        <v>1063</v>
      </c>
      <c r="C1134" s="1">
        <v>3447197</v>
      </c>
      <c r="D1134" s="1">
        <v>28</v>
      </c>
      <c r="E1134" s="1" t="s">
        <v>12</v>
      </c>
      <c r="F1134" s="16">
        <v>45924</v>
      </c>
      <c r="G1134" s="1" t="s">
        <v>1470</v>
      </c>
      <c r="H1134" s="1" t="s">
        <v>1482</v>
      </c>
      <c r="I1134" s="17" t="s">
        <v>1503</v>
      </c>
      <c r="J1134" s="18" t="s">
        <v>17</v>
      </c>
      <c r="K1134" s="19" t="s">
        <v>18</v>
      </c>
      <c r="L1134" s="19" t="s">
        <v>42</v>
      </c>
      <c r="M1134" s="20">
        <v>31</v>
      </c>
      <c r="N1134" s="21">
        <v>4999</v>
      </c>
      <c r="O1134" s="22">
        <v>18</v>
      </c>
      <c r="P1134" s="23">
        <v>127074.58</v>
      </c>
      <c r="Q1134" s="22">
        <v>4.4000000000000004</v>
      </c>
      <c r="R1134" s="22">
        <v>20</v>
      </c>
      <c r="S1134" s="23">
        <f>(Table13[[#This Row],[Unit Price]]*Table13[[#This Row],[No.of Units]])*18%</f>
        <v>27894.42</v>
      </c>
      <c r="T1134" s="22" t="s">
        <v>1508</v>
      </c>
    </row>
    <row r="1135" spans="2:20" x14ac:dyDescent="0.3">
      <c r="B1135" s="5" t="s">
        <v>1064</v>
      </c>
      <c r="C1135" s="1">
        <v>1705244</v>
      </c>
      <c r="D1135" s="1">
        <v>74</v>
      </c>
      <c r="E1135" s="1" t="s">
        <v>20</v>
      </c>
      <c r="F1135" s="16">
        <v>45924</v>
      </c>
      <c r="G1135" s="1" t="s">
        <v>1470</v>
      </c>
      <c r="H1135" s="1" t="s">
        <v>1483</v>
      </c>
      <c r="I1135" s="17" t="s">
        <v>1504</v>
      </c>
      <c r="J1135" s="18" t="s">
        <v>21</v>
      </c>
      <c r="K1135" s="19" t="s">
        <v>18</v>
      </c>
      <c r="L1135" s="19" t="s">
        <v>42</v>
      </c>
      <c r="M1135" s="20">
        <v>8</v>
      </c>
      <c r="N1135" s="21">
        <v>24900</v>
      </c>
      <c r="O1135" s="22">
        <v>5</v>
      </c>
      <c r="P1135" s="23">
        <v>189240</v>
      </c>
      <c r="Q1135" s="22">
        <v>4.8</v>
      </c>
      <c r="R1135" s="22">
        <v>20</v>
      </c>
      <c r="S1135" s="23">
        <f>(Table13[[#This Row],[Unit Price]]*Table13[[#This Row],[No.of Units]])*18%</f>
        <v>35856</v>
      </c>
      <c r="T1135" s="22" t="s">
        <v>1508</v>
      </c>
    </row>
    <row r="1136" spans="2:20" x14ac:dyDescent="0.3">
      <c r="B1136" s="5" t="s">
        <v>1065</v>
      </c>
      <c r="C1136" s="1">
        <v>9614792</v>
      </c>
      <c r="D1136" s="1">
        <v>27</v>
      </c>
      <c r="E1136" s="1" t="s">
        <v>12</v>
      </c>
      <c r="F1136" s="16">
        <v>45924</v>
      </c>
      <c r="G1136" s="1" t="s">
        <v>1470</v>
      </c>
      <c r="H1136" s="1" t="s">
        <v>1482</v>
      </c>
      <c r="I1136" s="17" t="s">
        <v>1505</v>
      </c>
      <c r="J1136" s="18" t="s">
        <v>23</v>
      </c>
      <c r="K1136" s="19" t="s">
        <v>14</v>
      </c>
      <c r="L1136" s="19" t="s">
        <v>42</v>
      </c>
      <c r="M1136" s="20">
        <v>4</v>
      </c>
      <c r="N1136" s="21">
        <v>84999</v>
      </c>
      <c r="O1136" s="22">
        <v>12</v>
      </c>
      <c r="P1136" s="23">
        <v>299196.48</v>
      </c>
      <c r="Q1136" s="22">
        <v>4.5</v>
      </c>
      <c r="R1136" s="22">
        <v>20</v>
      </c>
      <c r="S1136" s="23">
        <f>(Table13[[#This Row],[Unit Price]]*Table13[[#This Row],[No.of Units]])*18%</f>
        <v>61199.28</v>
      </c>
      <c r="T1136" s="22" t="s">
        <v>1508</v>
      </c>
    </row>
    <row r="1137" spans="2:20" x14ac:dyDescent="0.3">
      <c r="B1137" s="5" t="s">
        <v>1066</v>
      </c>
      <c r="C1137" s="1">
        <v>8301835</v>
      </c>
      <c r="D1137" s="1">
        <v>59</v>
      </c>
      <c r="E1137" s="1" t="s">
        <v>20</v>
      </c>
      <c r="F1137" s="16">
        <v>45924</v>
      </c>
      <c r="G1137" s="1" t="s">
        <v>1470</v>
      </c>
      <c r="H1137" s="1" t="s">
        <v>1483</v>
      </c>
      <c r="I1137" s="17" t="s">
        <v>1504</v>
      </c>
      <c r="J1137" s="18" t="s">
        <v>25</v>
      </c>
      <c r="K1137" s="19" t="s">
        <v>26</v>
      </c>
      <c r="L1137" s="19" t="s">
        <v>42</v>
      </c>
      <c r="M1137" s="20">
        <v>6</v>
      </c>
      <c r="N1137" s="21">
        <v>69999</v>
      </c>
      <c r="O1137" s="22">
        <v>8</v>
      </c>
      <c r="P1137" s="23">
        <v>386394.48</v>
      </c>
      <c r="Q1137" s="22">
        <v>4.8</v>
      </c>
      <c r="R1137" s="22">
        <v>20</v>
      </c>
      <c r="S1137" s="23">
        <f>(Table13[[#This Row],[Unit Price]]*Table13[[#This Row],[No.of Units]])*18%</f>
        <v>75598.92</v>
      </c>
      <c r="T1137" s="22" t="s">
        <v>1508</v>
      </c>
    </row>
    <row r="1138" spans="2:20" x14ac:dyDescent="0.3">
      <c r="B1138" s="5" t="s">
        <v>1067</v>
      </c>
      <c r="C1138" s="1">
        <v>2627419</v>
      </c>
      <c r="D1138" s="1">
        <v>41</v>
      </c>
      <c r="E1138" s="1" t="s">
        <v>12</v>
      </c>
      <c r="F1138" s="16">
        <v>45924</v>
      </c>
      <c r="G1138" s="1" t="s">
        <v>1470</v>
      </c>
      <c r="H1138" s="1" t="s">
        <v>1471</v>
      </c>
      <c r="I1138" s="17" t="s">
        <v>1503</v>
      </c>
      <c r="J1138" s="18" t="s">
        <v>28</v>
      </c>
      <c r="K1138" s="19" t="s">
        <v>26</v>
      </c>
      <c r="L1138" s="19" t="s">
        <v>42</v>
      </c>
      <c r="M1138" s="20">
        <v>11</v>
      </c>
      <c r="N1138" s="21">
        <v>42999</v>
      </c>
      <c r="O1138" s="22">
        <v>15</v>
      </c>
      <c r="P1138" s="23">
        <v>402040.65</v>
      </c>
      <c r="Q1138" s="22">
        <v>4.5999999999999996</v>
      </c>
      <c r="R1138" s="22">
        <v>20</v>
      </c>
      <c r="S1138" s="23">
        <f>(Table13[[#This Row],[Unit Price]]*Table13[[#This Row],[No.of Units]])*18%</f>
        <v>85138.02</v>
      </c>
      <c r="T1138" s="22" t="s">
        <v>1508</v>
      </c>
    </row>
    <row r="1139" spans="2:20" x14ac:dyDescent="0.3">
      <c r="B1139" s="5" t="s">
        <v>1068</v>
      </c>
      <c r="C1139" s="1">
        <v>3515311</v>
      </c>
      <c r="D1139" s="1">
        <v>37</v>
      </c>
      <c r="E1139" s="1" t="s">
        <v>12</v>
      </c>
      <c r="F1139" s="16">
        <v>45924</v>
      </c>
      <c r="G1139" s="1" t="s">
        <v>1470</v>
      </c>
      <c r="H1139" s="1" t="s">
        <v>1482</v>
      </c>
      <c r="I1139" s="17" t="s">
        <v>1502</v>
      </c>
      <c r="J1139" s="18" t="s">
        <v>13</v>
      </c>
      <c r="K1139" s="19" t="s">
        <v>14</v>
      </c>
      <c r="L1139" s="19" t="s">
        <v>49</v>
      </c>
      <c r="M1139" s="20">
        <v>5</v>
      </c>
      <c r="N1139" s="21">
        <v>99999</v>
      </c>
      <c r="O1139" s="22">
        <v>10</v>
      </c>
      <c r="P1139" s="23">
        <v>449995.5</v>
      </c>
      <c r="Q1139" s="22">
        <v>4.7</v>
      </c>
      <c r="R1139" s="22">
        <v>20</v>
      </c>
      <c r="S1139" s="23">
        <f>(Table13[[#This Row],[Unit Price]]*Table13[[#This Row],[No.of Units]])*18%</f>
        <v>89999.099999999991</v>
      </c>
      <c r="T1139" s="22" t="s">
        <v>1508</v>
      </c>
    </row>
    <row r="1140" spans="2:20" x14ac:dyDescent="0.3">
      <c r="B1140" s="5" t="s">
        <v>1069</v>
      </c>
      <c r="C1140" s="1">
        <v>3198986</v>
      </c>
      <c r="D1140" s="1">
        <v>45</v>
      </c>
      <c r="E1140" s="1" t="s">
        <v>12</v>
      </c>
      <c r="F1140" s="16">
        <v>45924</v>
      </c>
      <c r="G1140" s="1" t="s">
        <v>1470</v>
      </c>
      <c r="H1140" s="1" t="s">
        <v>1472</v>
      </c>
      <c r="I1140" s="17" t="s">
        <v>1503</v>
      </c>
      <c r="J1140" s="18" t="s">
        <v>17</v>
      </c>
      <c r="K1140" s="19" t="s">
        <v>18</v>
      </c>
      <c r="L1140" s="19" t="s">
        <v>49</v>
      </c>
      <c r="M1140" s="20">
        <v>33</v>
      </c>
      <c r="N1140" s="21">
        <v>4999</v>
      </c>
      <c r="O1140" s="22">
        <v>18</v>
      </c>
      <c r="P1140" s="23">
        <v>135272.94</v>
      </c>
      <c r="Q1140" s="22">
        <v>4.4000000000000004</v>
      </c>
      <c r="R1140" s="22">
        <v>20</v>
      </c>
      <c r="S1140" s="23">
        <f>(Table13[[#This Row],[Unit Price]]*Table13[[#This Row],[No.of Units]])*18%</f>
        <v>29694.059999999998</v>
      </c>
      <c r="T1140" s="22" t="s">
        <v>1508</v>
      </c>
    </row>
    <row r="1141" spans="2:20" x14ac:dyDescent="0.3">
      <c r="B1141" s="5" t="s">
        <v>1069</v>
      </c>
      <c r="C1141" s="1">
        <v>3198986</v>
      </c>
      <c r="D1141" s="1">
        <v>27</v>
      </c>
      <c r="E1141" s="1" t="s">
        <v>12</v>
      </c>
      <c r="F1141" s="16">
        <v>45924</v>
      </c>
      <c r="G1141" s="1" t="s">
        <v>1470</v>
      </c>
      <c r="H1141" s="1" t="s">
        <v>1472</v>
      </c>
      <c r="I1141" s="17" t="s">
        <v>1504</v>
      </c>
      <c r="J1141" s="18" t="s">
        <v>21</v>
      </c>
      <c r="K1141" s="19" t="s">
        <v>18</v>
      </c>
      <c r="L1141" s="19" t="s">
        <v>49</v>
      </c>
      <c r="M1141" s="20">
        <v>6</v>
      </c>
      <c r="N1141" s="21">
        <v>24900</v>
      </c>
      <c r="O1141" s="22">
        <v>5</v>
      </c>
      <c r="P1141" s="23">
        <v>141930</v>
      </c>
      <c r="Q1141" s="22">
        <v>4.8</v>
      </c>
      <c r="R1141" s="22">
        <v>20</v>
      </c>
      <c r="S1141" s="23">
        <f>(Table13[[#This Row],[Unit Price]]*Table13[[#This Row],[No.of Units]])*18%</f>
        <v>26892</v>
      </c>
      <c r="T1141" s="22" t="s">
        <v>1507</v>
      </c>
    </row>
    <row r="1142" spans="2:20" x14ac:dyDescent="0.3">
      <c r="B1142" s="5" t="s">
        <v>1070</v>
      </c>
      <c r="C1142" s="1">
        <v>6279164</v>
      </c>
      <c r="D1142" s="1">
        <v>65</v>
      </c>
      <c r="E1142" s="1" t="s">
        <v>20</v>
      </c>
      <c r="F1142" s="16">
        <v>45924</v>
      </c>
      <c r="G1142" s="1" t="s">
        <v>1470</v>
      </c>
      <c r="H1142" s="1" t="s">
        <v>1471</v>
      </c>
      <c r="I1142" s="17" t="s">
        <v>1505</v>
      </c>
      <c r="J1142" s="18" t="s">
        <v>23</v>
      </c>
      <c r="K1142" s="19" t="s">
        <v>14</v>
      </c>
      <c r="L1142" s="19" t="s">
        <v>49</v>
      </c>
      <c r="M1142" s="20">
        <v>6</v>
      </c>
      <c r="N1142" s="21">
        <v>84999</v>
      </c>
      <c r="O1142" s="22">
        <v>12</v>
      </c>
      <c r="P1142" s="23">
        <v>448794.72</v>
      </c>
      <c r="Q1142" s="22">
        <v>4.5</v>
      </c>
      <c r="R1142" s="22">
        <v>20</v>
      </c>
      <c r="S1142" s="23">
        <f>(Table13[[#This Row],[Unit Price]]*Table13[[#This Row],[No.of Units]])*18%</f>
        <v>91798.92</v>
      </c>
      <c r="T1142" s="22" t="s">
        <v>1508</v>
      </c>
    </row>
    <row r="1143" spans="2:20" x14ac:dyDescent="0.3">
      <c r="B1143" s="5" t="s">
        <v>1071</v>
      </c>
      <c r="C1143" s="1">
        <v>9749497</v>
      </c>
      <c r="D1143" s="1">
        <v>39</v>
      </c>
      <c r="E1143" s="1" t="s">
        <v>12</v>
      </c>
      <c r="F1143" s="16">
        <v>45924</v>
      </c>
      <c r="G1143" s="1" t="s">
        <v>1473</v>
      </c>
      <c r="H1143" s="1" t="s">
        <v>1482</v>
      </c>
      <c r="I1143" s="17" t="s">
        <v>1504</v>
      </c>
      <c r="J1143" s="18" t="s">
        <v>25</v>
      </c>
      <c r="K1143" s="19" t="s">
        <v>26</v>
      </c>
      <c r="L1143" s="19" t="s">
        <v>49</v>
      </c>
      <c r="M1143" s="20">
        <v>5</v>
      </c>
      <c r="N1143" s="21">
        <v>69999</v>
      </c>
      <c r="O1143" s="22">
        <v>8</v>
      </c>
      <c r="P1143" s="23">
        <v>321995.40000000002</v>
      </c>
      <c r="Q1143" s="22">
        <v>4.8</v>
      </c>
      <c r="R1143" s="22">
        <v>20</v>
      </c>
      <c r="S1143" s="23">
        <f>(Table13[[#This Row],[Unit Price]]*Table13[[#This Row],[No.of Units]])*18%</f>
        <v>62999.1</v>
      </c>
      <c r="T1143" s="22" t="s">
        <v>1507</v>
      </c>
    </row>
    <row r="1144" spans="2:20" x14ac:dyDescent="0.3">
      <c r="B1144" s="5" t="s">
        <v>1072</v>
      </c>
      <c r="C1144" s="1">
        <v>9660150</v>
      </c>
      <c r="D1144" s="1">
        <v>72</v>
      </c>
      <c r="E1144" s="1" t="s">
        <v>20</v>
      </c>
      <c r="F1144" s="16">
        <v>45924</v>
      </c>
      <c r="G1144" s="1" t="s">
        <v>1470</v>
      </c>
      <c r="H1144" s="1" t="s">
        <v>1482</v>
      </c>
      <c r="I1144" s="17" t="s">
        <v>1503</v>
      </c>
      <c r="J1144" s="18" t="s">
        <v>28</v>
      </c>
      <c r="K1144" s="19" t="s">
        <v>26</v>
      </c>
      <c r="L1144" s="19" t="s">
        <v>49</v>
      </c>
      <c r="M1144" s="20">
        <v>10</v>
      </c>
      <c r="N1144" s="21">
        <v>42999</v>
      </c>
      <c r="O1144" s="22">
        <v>15</v>
      </c>
      <c r="P1144" s="23">
        <v>365491.5</v>
      </c>
      <c r="Q1144" s="22">
        <v>4.5999999999999996</v>
      </c>
      <c r="R1144" s="22">
        <v>20</v>
      </c>
      <c r="S1144" s="23">
        <f>(Table13[[#This Row],[Unit Price]]*Table13[[#This Row],[No.of Units]])*18%</f>
        <v>77398.2</v>
      </c>
      <c r="T1144" s="22" t="s">
        <v>1508</v>
      </c>
    </row>
    <row r="1145" spans="2:20" x14ac:dyDescent="0.3">
      <c r="B1145" s="5" t="s">
        <v>1073</v>
      </c>
      <c r="C1145" s="1">
        <v>8382670</v>
      </c>
      <c r="D1145" s="1">
        <v>38</v>
      </c>
      <c r="E1145" s="1" t="s">
        <v>12</v>
      </c>
      <c r="F1145" s="16">
        <v>45931</v>
      </c>
      <c r="G1145" s="1" t="s">
        <v>1473</v>
      </c>
      <c r="H1145" s="1" t="s">
        <v>1482</v>
      </c>
      <c r="I1145" s="17" t="s">
        <v>1502</v>
      </c>
      <c r="J1145" s="18" t="s">
        <v>13</v>
      </c>
      <c r="K1145" s="19" t="s">
        <v>14</v>
      </c>
      <c r="L1145" s="19" t="s">
        <v>15</v>
      </c>
      <c r="M1145" s="20">
        <v>5</v>
      </c>
      <c r="N1145" s="21">
        <v>99999</v>
      </c>
      <c r="O1145" s="22">
        <v>10</v>
      </c>
      <c r="P1145" s="23">
        <v>449995.5</v>
      </c>
      <c r="Q1145" s="22">
        <v>4.7</v>
      </c>
      <c r="R1145" s="22">
        <v>20</v>
      </c>
      <c r="S1145" s="23">
        <f>(Table13[[#This Row],[Unit Price]]*Table13[[#This Row],[No.of Units]])*18%</f>
        <v>89999.099999999991</v>
      </c>
      <c r="T1145" s="22" t="s">
        <v>1508</v>
      </c>
    </row>
    <row r="1146" spans="2:20" x14ac:dyDescent="0.3">
      <c r="B1146" s="5" t="s">
        <v>1074</v>
      </c>
      <c r="C1146" s="1">
        <v>3434817</v>
      </c>
      <c r="D1146" s="1">
        <v>47</v>
      </c>
      <c r="E1146" s="1" t="s">
        <v>12</v>
      </c>
      <c r="F1146" s="16">
        <v>45931</v>
      </c>
      <c r="G1146" s="1" t="s">
        <v>1470</v>
      </c>
      <c r="H1146" s="1" t="s">
        <v>1482</v>
      </c>
      <c r="I1146" s="17" t="s">
        <v>1503</v>
      </c>
      <c r="J1146" s="18" t="s">
        <v>17</v>
      </c>
      <c r="K1146" s="19" t="s">
        <v>18</v>
      </c>
      <c r="L1146" s="19" t="s">
        <v>15</v>
      </c>
      <c r="M1146" s="20">
        <v>34</v>
      </c>
      <c r="N1146" s="21">
        <v>4999</v>
      </c>
      <c r="O1146" s="22">
        <v>18</v>
      </c>
      <c r="P1146" s="23">
        <v>139372.12</v>
      </c>
      <c r="Q1146" s="22">
        <v>4.4000000000000004</v>
      </c>
      <c r="R1146" s="22">
        <v>20</v>
      </c>
      <c r="S1146" s="23">
        <f>(Table13[[#This Row],[Unit Price]]*Table13[[#This Row],[No.of Units]])*18%</f>
        <v>30593.879999999997</v>
      </c>
      <c r="T1146" s="22" t="s">
        <v>1507</v>
      </c>
    </row>
    <row r="1147" spans="2:20" x14ac:dyDescent="0.3">
      <c r="B1147" s="5" t="s">
        <v>1075</v>
      </c>
      <c r="C1147" s="1">
        <v>9026178</v>
      </c>
      <c r="D1147" s="1">
        <v>39</v>
      </c>
      <c r="E1147" s="1" t="s">
        <v>12</v>
      </c>
      <c r="F1147" s="16">
        <v>45931</v>
      </c>
      <c r="G1147" s="1" t="s">
        <v>1470</v>
      </c>
      <c r="H1147" s="1" t="s">
        <v>1472</v>
      </c>
      <c r="I1147" s="17" t="s">
        <v>1504</v>
      </c>
      <c r="J1147" s="18" t="s">
        <v>21</v>
      </c>
      <c r="K1147" s="19" t="s">
        <v>18</v>
      </c>
      <c r="L1147" s="19" t="s">
        <v>15</v>
      </c>
      <c r="M1147" s="20">
        <v>11</v>
      </c>
      <c r="N1147" s="21">
        <v>24900</v>
      </c>
      <c r="O1147" s="22">
        <v>5</v>
      </c>
      <c r="P1147" s="23">
        <v>260205</v>
      </c>
      <c r="Q1147" s="22">
        <v>4.8</v>
      </c>
      <c r="R1147" s="22">
        <v>20</v>
      </c>
      <c r="S1147" s="23">
        <f>(Table13[[#This Row],[Unit Price]]*Table13[[#This Row],[No.of Units]])*18%</f>
        <v>49302</v>
      </c>
      <c r="T1147" s="22" t="s">
        <v>1508</v>
      </c>
    </row>
    <row r="1148" spans="2:20" x14ac:dyDescent="0.3">
      <c r="B1148" s="5" t="s">
        <v>1076</v>
      </c>
      <c r="C1148" s="1">
        <v>1772770</v>
      </c>
      <c r="D1148" s="1">
        <v>40</v>
      </c>
      <c r="E1148" s="1" t="s">
        <v>12</v>
      </c>
      <c r="F1148" s="16">
        <v>45931</v>
      </c>
      <c r="G1148" s="1" t="s">
        <v>1474</v>
      </c>
      <c r="H1148" s="1" t="s">
        <v>1471</v>
      </c>
      <c r="I1148" s="17" t="s">
        <v>1505</v>
      </c>
      <c r="J1148" s="18" t="s">
        <v>23</v>
      </c>
      <c r="K1148" s="19" t="s">
        <v>14</v>
      </c>
      <c r="L1148" s="19" t="s">
        <v>15</v>
      </c>
      <c r="M1148" s="20">
        <v>3</v>
      </c>
      <c r="N1148" s="21">
        <v>84999</v>
      </c>
      <c r="O1148" s="22">
        <v>12</v>
      </c>
      <c r="P1148" s="23">
        <v>224397.36</v>
      </c>
      <c r="Q1148" s="22">
        <v>4.5</v>
      </c>
      <c r="R1148" s="22">
        <v>20</v>
      </c>
      <c r="S1148" s="23">
        <f>(Table13[[#This Row],[Unit Price]]*Table13[[#This Row],[No.of Units]])*18%</f>
        <v>45899.46</v>
      </c>
      <c r="T1148" s="22" t="s">
        <v>1508</v>
      </c>
    </row>
    <row r="1149" spans="2:20" x14ac:dyDescent="0.3">
      <c r="B1149" s="5" t="s">
        <v>1077</v>
      </c>
      <c r="C1149" s="1">
        <v>4810346</v>
      </c>
      <c r="D1149" s="1">
        <v>62</v>
      </c>
      <c r="E1149" s="1" t="s">
        <v>20</v>
      </c>
      <c r="F1149" s="16">
        <v>45931</v>
      </c>
      <c r="G1149" s="1" t="s">
        <v>1473</v>
      </c>
      <c r="H1149" s="1" t="s">
        <v>1472</v>
      </c>
      <c r="I1149" s="17" t="s">
        <v>1504</v>
      </c>
      <c r="J1149" s="18" t="s">
        <v>25</v>
      </c>
      <c r="K1149" s="19" t="s">
        <v>26</v>
      </c>
      <c r="L1149" s="19" t="s">
        <v>15</v>
      </c>
      <c r="M1149" s="20">
        <v>6</v>
      </c>
      <c r="N1149" s="21">
        <v>69999</v>
      </c>
      <c r="O1149" s="22">
        <v>8</v>
      </c>
      <c r="P1149" s="23">
        <v>386394.48</v>
      </c>
      <c r="Q1149" s="22">
        <v>4.8</v>
      </c>
      <c r="R1149" s="22">
        <v>20</v>
      </c>
      <c r="S1149" s="23">
        <f>(Table13[[#This Row],[Unit Price]]*Table13[[#This Row],[No.of Units]])*18%</f>
        <v>75598.92</v>
      </c>
      <c r="T1149" s="22" t="s">
        <v>1507</v>
      </c>
    </row>
    <row r="1150" spans="2:20" x14ac:dyDescent="0.3">
      <c r="B1150" s="5" t="s">
        <v>1078</v>
      </c>
      <c r="C1150" s="1">
        <v>5036499</v>
      </c>
      <c r="D1150" s="1">
        <v>58</v>
      </c>
      <c r="E1150" s="1" t="s">
        <v>20</v>
      </c>
      <c r="F1150" s="16">
        <v>45931</v>
      </c>
      <c r="G1150" s="1" t="s">
        <v>1470</v>
      </c>
      <c r="H1150" s="1" t="s">
        <v>1471</v>
      </c>
      <c r="I1150" s="17" t="s">
        <v>1503</v>
      </c>
      <c r="J1150" s="18" t="s">
        <v>28</v>
      </c>
      <c r="K1150" s="19" t="s">
        <v>26</v>
      </c>
      <c r="L1150" s="19" t="s">
        <v>15</v>
      </c>
      <c r="M1150" s="20">
        <v>9</v>
      </c>
      <c r="N1150" s="21">
        <v>42999</v>
      </c>
      <c r="O1150" s="22">
        <v>15</v>
      </c>
      <c r="P1150" s="23">
        <v>328942.34999999998</v>
      </c>
      <c r="Q1150" s="22">
        <v>4.5999999999999996</v>
      </c>
      <c r="R1150" s="22">
        <v>20</v>
      </c>
      <c r="S1150" s="23">
        <f>(Table13[[#This Row],[Unit Price]]*Table13[[#This Row],[No.of Units]])*18%</f>
        <v>69658.38</v>
      </c>
      <c r="T1150" s="22" t="s">
        <v>1508</v>
      </c>
    </row>
    <row r="1151" spans="2:20" x14ac:dyDescent="0.3">
      <c r="B1151" s="5" t="s">
        <v>1079</v>
      </c>
      <c r="C1151" s="1">
        <v>9923193</v>
      </c>
      <c r="D1151" s="1">
        <v>49</v>
      </c>
      <c r="E1151" s="1" t="s">
        <v>12</v>
      </c>
      <c r="F1151" s="16">
        <v>45931</v>
      </c>
      <c r="G1151" s="1" t="s">
        <v>1470</v>
      </c>
      <c r="H1151" s="1" t="s">
        <v>1471</v>
      </c>
      <c r="I1151" s="17" t="s">
        <v>1502</v>
      </c>
      <c r="J1151" s="18" t="s">
        <v>13</v>
      </c>
      <c r="K1151" s="19" t="s">
        <v>14</v>
      </c>
      <c r="L1151" s="19" t="s">
        <v>29</v>
      </c>
      <c r="M1151" s="20">
        <v>3</v>
      </c>
      <c r="N1151" s="21">
        <v>99999</v>
      </c>
      <c r="O1151" s="22">
        <v>10</v>
      </c>
      <c r="P1151" s="23">
        <v>269997.3</v>
      </c>
      <c r="Q1151" s="22">
        <v>4.7</v>
      </c>
      <c r="R1151" s="22">
        <v>20</v>
      </c>
      <c r="S1151" s="23">
        <f>(Table13[[#This Row],[Unit Price]]*Table13[[#This Row],[No.of Units]])*18%</f>
        <v>53999.46</v>
      </c>
      <c r="T1151" s="22" t="s">
        <v>1508</v>
      </c>
    </row>
    <row r="1152" spans="2:20" x14ac:dyDescent="0.3">
      <c r="B1152" s="5" t="s">
        <v>1080</v>
      </c>
      <c r="C1152" s="1">
        <v>8994624</v>
      </c>
      <c r="D1152" s="1">
        <v>56</v>
      </c>
      <c r="E1152" s="1" t="s">
        <v>20</v>
      </c>
      <c r="F1152" s="16">
        <v>45931</v>
      </c>
      <c r="G1152" s="1" t="s">
        <v>1470</v>
      </c>
      <c r="H1152" s="1" t="s">
        <v>1472</v>
      </c>
      <c r="I1152" s="17" t="s">
        <v>1503</v>
      </c>
      <c r="J1152" s="18" t="s">
        <v>17</v>
      </c>
      <c r="K1152" s="19" t="s">
        <v>18</v>
      </c>
      <c r="L1152" s="19" t="s">
        <v>29</v>
      </c>
      <c r="M1152" s="20">
        <v>32</v>
      </c>
      <c r="N1152" s="21">
        <v>4999</v>
      </c>
      <c r="O1152" s="22">
        <v>18</v>
      </c>
      <c r="P1152" s="23">
        <v>131173.76000000001</v>
      </c>
      <c r="Q1152" s="22">
        <v>4.4000000000000004</v>
      </c>
      <c r="R1152" s="22">
        <v>20</v>
      </c>
      <c r="S1152" s="23">
        <f>(Table13[[#This Row],[Unit Price]]*Table13[[#This Row],[No.of Units]])*18%</f>
        <v>28794.239999999998</v>
      </c>
      <c r="T1152" s="22" t="s">
        <v>1507</v>
      </c>
    </row>
    <row r="1153" spans="2:20" x14ac:dyDescent="0.3">
      <c r="B1153" s="5" t="s">
        <v>1081</v>
      </c>
      <c r="C1153" s="1">
        <v>1943998</v>
      </c>
      <c r="D1153" s="1">
        <v>33</v>
      </c>
      <c r="E1153" s="1" t="s">
        <v>12</v>
      </c>
      <c r="F1153" s="16">
        <v>45931</v>
      </c>
      <c r="G1153" s="1" t="s">
        <v>1470</v>
      </c>
      <c r="H1153" s="1" t="s">
        <v>1482</v>
      </c>
      <c r="I1153" s="17" t="s">
        <v>1504</v>
      </c>
      <c r="J1153" s="18" t="s">
        <v>21</v>
      </c>
      <c r="K1153" s="19" t="s">
        <v>18</v>
      </c>
      <c r="L1153" s="19" t="s">
        <v>29</v>
      </c>
      <c r="M1153" s="20">
        <v>14</v>
      </c>
      <c r="N1153" s="21">
        <v>24900</v>
      </c>
      <c r="O1153" s="22">
        <v>5</v>
      </c>
      <c r="P1153" s="23">
        <v>331170</v>
      </c>
      <c r="Q1153" s="22">
        <v>4.8</v>
      </c>
      <c r="R1153" s="22">
        <v>20</v>
      </c>
      <c r="S1153" s="23">
        <f>(Table13[[#This Row],[Unit Price]]*Table13[[#This Row],[No.of Units]])*18%</f>
        <v>62748</v>
      </c>
      <c r="T1153" s="22" t="s">
        <v>1507</v>
      </c>
    </row>
    <row r="1154" spans="2:20" x14ac:dyDescent="0.3">
      <c r="B1154" s="5" t="s">
        <v>1082</v>
      </c>
      <c r="C1154" s="1">
        <v>4121086</v>
      </c>
      <c r="D1154" s="1">
        <v>26</v>
      </c>
      <c r="E1154" s="1" t="s">
        <v>12</v>
      </c>
      <c r="F1154" s="16">
        <v>45931</v>
      </c>
      <c r="G1154" s="1" t="s">
        <v>1470</v>
      </c>
      <c r="H1154" s="1" t="s">
        <v>1471</v>
      </c>
      <c r="I1154" s="17" t="s">
        <v>1505</v>
      </c>
      <c r="J1154" s="18" t="s">
        <v>23</v>
      </c>
      <c r="K1154" s="19" t="s">
        <v>14</v>
      </c>
      <c r="L1154" s="19" t="s">
        <v>29</v>
      </c>
      <c r="M1154" s="20">
        <v>5</v>
      </c>
      <c r="N1154" s="21">
        <v>84999</v>
      </c>
      <c r="O1154" s="22">
        <v>12</v>
      </c>
      <c r="P1154" s="23">
        <v>373995.6</v>
      </c>
      <c r="Q1154" s="22">
        <v>4.5</v>
      </c>
      <c r="R1154" s="22">
        <v>20</v>
      </c>
      <c r="S1154" s="23">
        <f>(Table13[[#This Row],[Unit Price]]*Table13[[#This Row],[No.of Units]])*18%</f>
        <v>76499.099999999991</v>
      </c>
      <c r="T1154" s="22" t="s">
        <v>1508</v>
      </c>
    </row>
    <row r="1155" spans="2:20" x14ac:dyDescent="0.3">
      <c r="B1155" s="5" t="s">
        <v>1083</v>
      </c>
      <c r="C1155" s="1">
        <v>7921257</v>
      </c>
      <c r="D1155" s="1">
        <v>20</v>
      </c>
      <c r="E1155" s="1" t="s">
        <v>12</v>
      </c>
      <c r="F1155" s="16">
        <v>45931</v>
      </c>
      <c r="G1155" s="1" t="s">
        <v>1470</v>
      </c>
      <c r="H1155" s="1" t="s">
        <v>1472</v>
      </c>
      <c r="I1155" s="17" t="s">
        <v>1504</v>
      </c>
      <c r="J1155" s="18" t="s">
        <v>25</v>
      </c>
      <c r="K1155" s="19" t="s">
        <v>26</v>
      </c>
      <c r="L1155" s="19" t="s">
        <v>29</v>
      </c>
      <c r="M1155" s="20">
        <v>6</v>
      </c>
      <c r="N1155" s="21">
        <v>69999</v>
      </c>
      <c r="O1155" s="22">
        <v>8</v>
      </c>
      <c r="P1155" s="23">
        <v>386394.48</v>
      </c>
      <c r="Q1155" s="22">
        <v>4.8</v>
      </c>
      <c r="R1155" s="22">
        <v>20</v>
      </c>
      <c r="S1155" s="23">
        <f>(Table13[[#This Row],[Unit Price]]*Table13[[#This Row],[No.of Units]])*18%</f>
        <v>75598.92</v>
      </c>
      <c r="T1155" s="22" t="s">
        <v>1507</v>
      </c>
    </row>
    <row r="1156" spans="2:20" x14ac:dyDescent="0.3">
      <c r="B1156" s="5" t="s">
        <v>1084</v>
      </c>
      <c r="C1156" s="1">
        <v>5616318</v>
      </c>
      <c r="D1156" s="1">
        <v>63</v>
      </c>
      <c r="E1156" s="1" t="s">
        <v>20</v>
      </c>
      <c r="F1156" s="16">
        <v>45931</v>
      </c>
      <c r="G1156" s="1" t="s">
        <v>1470</v>
      </c>
      <c r="H1156" s="1" t="s">
        <v>1483</v>
      </c>
      <c r="I1156" s="17" t="s">
        <v>1503</v>
      </c>
      <c r="J1156" s="18" t="s">
        <v>28</v>
      </c>
      <c r="K1156" s="19" t="s">
        <v>26</v>
      </c>
      <c r="L1156" s="19" t="s">
        <v>29</v>
      </c>
      <c r="M1156" s="20">
        <v>6</v>
      </c>
      <c r="N1156" s="21">
        <v>42999</v>
      </c>
      <c r="O1156" s="22">
        <v>15</v>
      </c>
      <c r="P1156" s="23">
        <v>219294.9</v>
      </c>
      <c r="Q1156" s="22">
        <v>4.5999999999999996</v>
      </c>
      <c r="R1156" s="22">
        <v>20</v>
      </c>
      <c r="S1156" s="23">
        <f>(Table13[[#This Row],[Unit Price]]*Table13[[#This Row],[No.of Units]])*18%</f>
        <v>46438.92</v>
      </c>
      <c r="T1156" s="22" t="s">
        <v>1508</v>
      </c>
    </row>
    <row r="1157" spans="2:20" x14ac:dyDescent="0.3">
      <c r="B1157" s="5" t="s">
        <v>1085</v>
      </c>
      <c r="C1157" s="1">
        <v>9642932</v>
      </c>
      <c r="D1157" s="1">
        <v>28</v>
      </c>
      <c r="E1157" s="1" t="s">
        <v>12</v>
      </c>
      <c r="F1157" s="16">
        <v>45931</v>
      </c>
      <c r="G1157" s="1" t="s">
        <v>1470</v>
      </c>
      <c r="H1157" s="1" t="s">
        <v>1482</v>
      </c>
      <c r="I1157" s="17" t="s">
        <v>1502</v>
      </c>
      <c r="J1157" s="18" t="s">
        <v>13</v>
      </c>
      <c r="K1157" s="19" t="s">
        <v>14</v>
      </c>
      <c r="L1157" s="19" t="s">
        <v>35</v>
      </c>
      <c r="M1157" s="20">
        <v>4</v>
      </c>
      <c r="N1157" s="21">
        <v>99999</v>
      </c>
      <c r="O1157" s="22">
        <v>10</v>
      </c>
      <c r="P1157" s="23">
        <v>359996.4</v>
      </c>
      <c r="Q1157" s="22">
        <v>4.7</v>
      </c>
      <c r="R1157" s="22">
        <v>20</v>
      </c>
      <c r="S1157" s="23">
        <f>(Table13[[#This Row],[Unit Price]]*Table13[[#This Row],[No.of Units]])*18%</f>
        <v>71999.28</v>
      </c>
      <c r="T1157" s="22" t="s">
        <v>1507</v>
      </c>
    </row>
    <row r="1158" spans="2:20" x14ac:dyDescent="0.3">
      <c r="B1158" s="5" t="s">
        <v>1086</v>
      </c>
      <c r="C1158" s="1">
        <v>5276879</v>
      </c>
      <c r="D1158" s="1">
        <v>39</v>
      </c>
      <c r="E1158" s="1" t="s">
        <v>12</v>
      </c>
      <c r="F1158" s="16">
        <v>45931</v>
      </c>
      <c r="G1158" s="1" t="s">
        <v>1473</v>
      </c>
      <c r="H1158" s="1" t="s">
        <v>1471</v>
      </c>
      <c r="I1158" s="17" t="s">
        <v>1503</v>
      </c>
      <c r="J1158" s="18" t="s">
        <v>17</v>
      </c>
      <c r="K1158" s="19" t="s">
        <v>18</v>
      </c>
      <c r="L1158" s="19" t="s">
        <v>35</v>
      </c>
      <c r="M1158" s="20">
        <v>26</v>
      </c>
      <c r="N1158" s="21">
        <v>4999</v>
      </c>
      <c r="O1158" s="22">
        <v>18</v>
      </c>
      <c r="P1158" s="23">
        <v>106578.68</v>
      </c>
      <c r="Q1158" s="22">
        <v>4.4000000000000004</v>
      </c>
      <c r="R1158" s="22">
        <v>20</v>
      </c>
      <c r="S1158" s="23">
        <f>(Table13[[#This Row],[Unit Price]]*Table13[[#This Row],[No.of Units]])*18%</f>
        <v>23395.32</v>
      </c>
      <c r="T1158" s="22" t="s">
        <v>1508</v>
      </c>
    </row>
    <row r="1159" spans="2:20" x14ac:dyDescent="0.3">
      <c r="B1159" s="5" t="s">
        <v>1087</v>
      </c>
      <c r="C1159" s="1">
        <v>1075951</v>
      </c>
      <c r="D1159" s="1">
        <v>67</v>
      </c>
      <c r="E1159" s="1" t="s">
        <v>20</v>
      </c>
      <c r="F1159" s="16">
        <v>45931</v>
      </c>
      <c r="G1159" s="1" t="s">
        <v>1470</v>
      </c>
      <c r="H1159" s="1" t="s">
        <v>1472</v>
      </c>
      <c r="I1159" s="17" t="s">
        <v>1504</v>
      </c>
      <c r="J1159" s="18" t="s">
        <v>21</v>
      </c>
      <c r="K1159" s="19" t="s">
        <v>18</v>
      </c>
      <c r="L1159" s="19" t="s">
        <v>35</v>
      </c>
      <c r="M1159" s="20">
        <v>11</v>
      </c>
      <c r="N1159" s="21">
        <v>24900</v>
      </c>
      <c r="O1159" s="22">
        <v>5</v>
      </c>
      <c r="P1159" s="23">
        <v>260205</v>
      </c>
      <c r="Q1159" s="22">
        <v>4.8</v>
      </c>
      <c r="R1159" s="22">
        <v>20</v>
      </c>
      <c r="S1159" s="23">
        <f>(Table13[[#This Row],[Unit Price]]*Table13[[#This Row],[No.of Units]])*18%</f>
        <v>49302</v>
      </c>
      <c r="T1159" s="22" t="s">
        <v>1508</v>
      </c>
    </row>
    <row r="1160" spans="2:20" x14ac:dyDescent="0.3">
      <c r="B1160" s="5" t="s">
        <v>1088</v>
      </c>
      <c r="C1160" s="1">
        <v>1392839</v>
      </c>
      <c r="D1160" s="1">
        <v>30</v>
      </c>
      <c r="E1160" s="1" t="s">
        <v>12</v>
      </c>
      <c r="F1160" s="16">
        <v>45931</v>
      </c>
      <c r="G1160" s="1" t="s">
        <v>1473</v>
      </c>
      <c r="H1160" s="1" t="s">
        <v>1482</v>
      </c>
      <c r="I1160" s="17" t="s">
        <v>1505</v>
      </c>
      <c r="J1160" s="18" t="s">
        <v>23</v>
      </c>
      <c r="K1160" s="19" t="s">
        <v>14</v>
      </c>
      <c r="L1160" s="19" t="s">
        <v>35</v>
      </c>
      <c r="M1160" s="20">
        <v>5</v>
      </c>
      <c r="N1160" s="21">
        <v>84999</v>
      </c>
      <c r="O1160" s="22">
        <v>12</v>
      </c>
      <c r="P1160" s="23">
        <v>373995.6</v>
      </c>
      <c r="Q1160" s="22">
        <v>4.5</v>
      </c>
      <c r="R1160" s="22">
        <v>20</v>
      </c>
      <c r="S1160" s="23">
        <f>(Table13[[#This Row],[Unit Price]]*Table13[[#This Row],[No.of Units]])*18%</f>
        <v>76499.099999999991</v>
      </c>
      <c r="T1160" s="22" t="s">
        <v>1508</v>
      </c>
    </row>
    <row r="1161" spans="2:20" x14ac:dyDescent="0.3">
      <c r="B1161" s="5" t="s">
        <v>1089</v>
      </c>
      <c r="C1161" s="1">
        <v>892155</v>
      </c>
      <c r="D1161" s="1">
        <v>24</v>
      </c>
      <c r="E1161" s="1" t="s">
        <v>12</v>
      </c>
      <c r="F1161" s="16">
        <v>45931</v>
      </c>
      <c r="G1161" s="1" t="s">
        <v>1473</v>
      </c>
      <c r="H1161" s="1" t="s">
        <v>1471</v>
      </c>
      <c r="I1161" s="17" t="s">
        <v>1504</v>
      </c>
      <c r="J1161" s="18" t="s">
        <v>25</v>
      </c>
      <c r="K1161" s="19" t="s">
        <v>26</v>
      </c>
      <c r="L1161" s="19" t="s">
        <v>35</v>
      </c>
      <c r="M1161" s="20">
        <v>5</v>
      </c>
      <c r="N1161" s="21">
        <v>69999</v>
      </c>
      <c r="O1161" s="22">
        <v>8</v>
      </c>
      <c r="P1161" s="23">
        <v>321995.40000000002</v>
      </c>
      <c r="Q1161" s="22">
        <v>4.8</v>
      </c>
      <c r="R1161" s="22">
        <v>20</v>
      </c>
      <c r="S1161" s="23">
        <f>(Table13[[#This Row],[Unit Price]]*Table13[[#This Row],[No.of Units]])*18%</f>
        <v>62999.1</v>
      </c>
      <c r="T1161" s="22" t="s">
        <v>1507</v>
      </c>
    </row>
    <row r="1162" spans="2:20" x14ac:dyDescent="0.3">
      <c r="B1162" s="5" t="s">
        <v>1090</v>
      </c>
      <c r="C1162" s="1">
        <v>6036845</v>
      </c>
      <c r="D1162" s="1">
        <v>19</v>
      </c>
      <c r="E1162" s="1" t="s">
        <v>34</v>
      </c>
      <c r="F1162" s="16">
        <v>45931</v>
      </c>
      <c r="G1162" s="1" t="s">
        <v>1473</v>
      </c>
      <c r="H1162" s="1" t="s">
        <v>1471</v>
      </c>
      <c r="I1162" s="17" t="s">
        <v>1503</v>
      </c>
      <c r="J1162" s="18" t="s">
        <v>28</v>
      </c>
      <c r="K1162" s="19" t="s">
        <v>26</v>
      </c>
      <c r="L1162" s="19" t="s">
        <v>35</v>
      </c>
      <c r="M1162" s="20">
        <v>11</v>
      </c>
      <c r="N1162" s="21">
        <v>42999</v>
      </c>
      <c r="O1162" s="22">
        <v>15</v>
      </c>
      <c r="P1162" s="23">
        <v>402040.65</v>
      </c>
      <c r="Q1162" s="22">
        <v>4.5999999999999996</v>
      </c>
      <c r="R1162" s="22">
        <v>20</v>
      </c>
      <c r="S1162" s="23">
        <f>(Table13[[#This Row],[Unit Price]]*Table13[[#This Row],[No.of Units]])*18%</f>
        <v>85138.02</v>
      </c>
      <c r="T1162" s="22" t="s">
        <v>1508</v>
      </c>
    </row>
    <row r="1163" spans="2:20" x14ac:dyDescent="0.3">
      <c r="B1163" s="5" t="s">
        <v>1091</v>
      </c>
      <c r="C1163" s="1">
        <v>2877315</v>
      </c>
      <c r="D1163" s="1">
        <v>45</v>
      </c>
      <c r="E1163" s="1" t="s">
        <v>12</v>
      </c>
      <c r="F1163" s="16">
        <v>45931</v>
      </c>
      <c r="G1163" s="1" t="s">
        <v>1470</v>
      </c>
      <c r="H1163" s="1" t="s">
        <v>1471</v>
      </c>
      <c r="I1163" s="17" t="s">
        <v>1502</v>
      </c>
      <c r="J1163" s="18" t="s">
        <v>13</v>
      </c>
      <c r="K1163" s="19" t="s">
        <v>14</v>
      </c>
      <c r="L1163" s="19" t="s">
        <v>42</v>
      </c>
      <c r="M1163" s="20">
        <v>6</v>
      </c>
      <c r="N1163" s="21">
        <v>99999</v>
      </c>
      <c r="O1163" s="22">
        <v>10</v>
      </c>
      <c r="P1163" s="23">
        <v>539994.6</v>
      </c>
      <c r="Q1163" s="22">
        <v>4.7</v>
      </c>
      <c r="R1163" s="22">
        <v>20</v>
      </c>
      <c r="S1163" s="23">
        <f>(Table13[[#This Row],[Unit Price]]*Table13[[#This Row],[No.of Units]])*18%</f>
        <v>107998.92</v>
      </c>
      <c r="T1163" s="22" t="s">
        <v>1508</v>
      </c>
    </row>
    <row r="1164" spans="2:20" x14ac:dyDescent="0.3">
      <c r="B1164" s="5" t="s">
        <v>1092</v>
      </c>
      <c r="C1164" s="1">
        <v>6460858</v>
      </c>
      <c r="D1164" s="1">
        <v>25</v>
      </c>
      <c r="E1164" s="1" t="s">
        <v>12</v>
      </c>
      <c r="F1164" s="16">
        <v>45931</v>
      </c>
      <c r="G1164" s="1" t="s">
        <v>1470</v>
      </c>
      <c r="H1164" s="1" t="s">
        <v>1483</v>
      </c>
      <c r="I1164" s="17" t="s">
        <v>1503</v>
      </c>
      <c r="J1164" s="18" t="s">
        <v>17</v>
      </c>
      <c r="K1164" s="19" t="s">
        <v>18</v>
      </c>
      <c r="L1164" s="19" t="s">
        <v>42</v>
      </c>
      <c r="M1164" s="20">
        <v>33</v>
      </c>
      <c r="N1164" s="21">
        <v>4999</v>
      </c>
      <c r="O1164" s="22">
        <v>18</v>
      </c>
      <c r="P1164" s="23">
        <v>135272.94</v>
      </c>
      <c r="Q1164" s="22">
        <v>4.4000000000000004</v>
      </c>
      <c r="R1164" s="22">
        <v>20</v>
      </c>
      <c r="S1164" s="23">
        <f>(Table13[[#This Row],[Unit Price]]*Table13[[#This Row],[No.of Units]])*18%</f>
        <v>29694.059999999998</v>
      </c>
      <c r="T1164" s="22" t="s">
        <v>1508</v>
      </c>
    </row>
    <row r="1165" spans="2:20" x14ac:dyDescent="0.3">
      <c r="B1165" s="5" t="s">
        <v>1092</v>
      </c>
      <c r="C1165" s="1">
        <v>6460858</v>
      </c>
      <c r="D1165" s="1">
        <v>32</v>
      </c>
      <c r="E1165" s="1" t="s">
        <v>12</v>
      </c>
      <c r="F1165" s="16">
        <v>45931</v>
      </c>
      <c r="G1165" s="1" t="s">
        <v>1470</v>
      </c>
      <c r="H1165" s="1" t="s">
        <v>1483</v>
      </c>
      <c r="I1165" s="17" t="s">
        <v>1504</v>
      </c>
      <c r="J1165" s="18" t="s">
        <v>21</v>
      </c>
      <c r="K1165" s="19" t="s">
        <v>18</v>
      </c>
      <c r="L1165" s="19" t="s">
        <v>42</v>
      </c>
      <c r="M1165" s="20">
        <v>12</v>
      </c>
      <c r="N1165" s="21">
        <v>24900</v>
      </c>
      <c r="O1165" s="22">
        <v>5</v>
      </c>
      <c r="P1165" s="23">
        <v>283860</v>
      </c>
      <c r="Q1165" s="22">
        <v>4.8</v>
      </c>
      <c r="R1165" s="22">
        <v>20</v>
      </c>
      <c r="S1165" s="23">
        <f>(Table13[[#This Row],[Unit Price]]*Table13[[#This Row],[No.of Units]])*18%</f>
        <v>53784</v>
      </c>
      <c r="T1165" s="22" t="s">
        <v>1508</v>
      </c>
    </row>
    <row r="1166" spans="2:20" x14ac:dyDescent="0.3">
      <c r="B1166" s="5" t="s">
        <v>1093</v>
      </c>
      <c r="C1166" s="1">
        <v>1944603</v>
      </c>
      <c r="D1166" s="1">
        <v>42</v>
      </c>
      <c r="E1166" s="1" t="s">
        <v>12</v>
      </c>
      <c r="F1166" s="16">
        <v>45931</v>
      </c>
      <c r="G1166" s="1" t="s">
        <v>1470</v>
      </c>
      <c r="H1166" s="1" t="s">
        <v>1483</v>
      </c>
      <c r="I1166" s="17" t="s">
        <v>1505</v>
      </c>
      <c r="J1166" s="18" t="s">
        <v>23</v>
      </c>
      <c r="K1166" s="19" t="s">
        <v>14</v>
      </c>
      <c r="L1166" s="19" t="s">
        <v>42</v>
      </c>
      <c r="M1166" s="20">
        <v>2</v>
      </c>
      <c r="N1166" s="21">
        <v>84999</v>
      </c>
      <c r="O1166" s="22">
        <v>12</v>
      </c>
      <c r="P1166" s="23">
        <v>149598.24</v>
      </c>
      <c r="Q1166" s="22">
        <v>4.5</v>
      </c>
      <c r="R1166" s="22">
        <v>20</v>
      </c>
      <c r="S1166" s="23">
        <f>(Table13[[#This Row],[Unit Price]]*Table13[[#This Row],[No.of Units]])*18%</f>
        <v>30599.64</v>
      </c>
      <c r="T1166" s="22" t="s">
        <v>1507</v>
      </c>
    </row>
    <row r="1167" spans="2:20" x14ac:dyDescent="0.3">
      <c r="B1167" s="5" t="s">
        <v>1094</v>
      </c>
      <c r="C1167" s="1">
        <v>250238</v>
      </c>
      <c r="D1167" s="1">
        <v>27</v>
      </c>
      <c r="E1167" s="1" t="s">
        <v>12</v>
      </c>
      <c r="F1167" s="16">
        <v>45931</v>
      </c>
      <c r="G1167" s="1" t="s">
        <v>1470</v>
      </c>
      <c r="H1167" s="1" t="s">
        <v>1471</v>
      </c>
      <c r="I1167" s="17" t="s">
        <v>1504</v>
      </c>
      <c r="J1167" s="18" t="s">
        <v>25</v>
      </c>
      <c r="K1167" s="19" t="s">
        <v>26</v>
      </c>
      <c r="L1167" s="19" t="s">
        <v>42</v>
      </c>
      <c r="M1167" s="20">
        <v>4</v>
      </c>
      <c r="N1167" s="21">
        <v>69999</v>
      </c>
      <c r="O1167" s="22">
        <v>8</v>
      </c>
      <c r="P1167" s="23">
        <v>257596.32</v>
      </c>
      <c r="Q1167" s="22">
        <v>4.8</v>
      </c>
      <c r="R1167" s="22">
        <v>20</v>
      </c>
      <c r="S1167" s="23">
        <f>(Table13[[#This Row],[Unit Price]]*Table13[[#This Row],[No.of Units]])*18%</f>
        <v>50399.28</v>
      </c>
      <c r="T1167" s="22" t="s">
        <v>1508</v>
      </c>
    </row>
    <row r="1168" spans="2:20" x14ac:dyDescent="0.3">
      <c r="B1168" s="5" t="s">
        <v>1095</v>
      </c>
      <c r="C1168" s="1">
        <v>9499050</v>
      </c>
      <c r="D1168" s="1">
        <v>56</v>
      </c>
      <c r="E1168" s="1" t="s">
        <v>20</v>
      </c>
      <c r="F1168" s="16">
        <v>45931</v>
      </c>
      <c r="G1168" s="1" t="s">
        <v>1470</v>
      </c>
      <c r="H1168" s="1" t="s">
        <v>1471</v>
      </c>
      <c r="I1168" s="17" t="s">
        <v>1503</v>
      </c>
      <c r="J1168" s="18" t="s">
        <v>28</v>
      </c>
      <c r="K1168" s="19" t="s">
        <v>26</v>
      </c>
      <c r="L1168" s="19" t="s">
        <v>42</v>
      </c>
      <c r="M1168" s="20">
        <v>6</v>
      </c>
      <c r="N1168" s="21">
        <v>42999</v>
      </c>
      <c r="O1168" s="22">
        <v>15</v>
      </c>
      <c r="P1168" s="23">
        <v>219294.9</v>
      </c>
      <c r="Q1168" s="22">
        <v>4.5999999999999996</v>
      </c>
      <c r="R1168" s="22">
        <v>20</v>
      </c>
      <c r="S1168" s="23">
        <f>(Table13[[#This Row],[Unit Price]]*Table13[[#This Row],[No.of Units]])*18%</f>
        <v>46438.92</v>
      </c>
      <c r="T1168" s="22" t="s">
        <v>1508</v>
      </c>
    </row>
    <row r="1169" spans="2:20" x14ac:dyDescent="0.3">
      <c r="B1169" s="5" t="s">
        <v>1096</v>
      </c>
      <c r="C1169" s="1">
        <v>222189</v>
      </c>
      <c r="D1169" s="1">
        <v>47</v>
      </c>
      <c r="E1169" s="1" t="s">
        <v>12</v>
      </c>
      <c r="F1169" s="16">
        <v>45931</v>
      </c>
      <c r="G1169" s="1" t="s">
        <v>1470</v>
      </c>
      <c r="H1169" s="1" t="s">
        <v>1482</v>
      </c>
      <c r="I1169" s="17" t="s">
        <v>1502</v>
      </c>
      <c r="J1169" s="18" t="s">
        <v>13</v>
      </c>
      <c r="K1169" s="19" t="s">
        <v>14</v>
      </c>
      <c r="L1169" s="19" t="s">
        <v>49</v>
      </c>
      <c r="M1169" s="20">
        <v>5</v>
      </c>
      <c r="N1169" s="21">
        <v>99999</v>
      </c>
      <c r="O1169" s="22">
        <v>10</v>
      </c>
      <c r="P1169" s="23">
        <v>449995.5</v>
      </c>
      <c r="Q1169" s="22">
        <v>4.7</v>
      </c>
      <c r="R1169" s="22">
        <v>20</v>
      </c>
      <c r="S1169" s="23">
        <f>(Table13[[#This Row],[Unit Price]]*Table13[[#This Row],[No.of Units]])*18%</f>
        <v>89999.099999999991</v>
      </c>
      <c r="T1169" s="22" t="s">
        <v>1508</v>
      </c>
    </row>
    <row r="1170" spans="2:20" x14ac:dyDescent="0.3">
      <c r="B1170" s="5" t="s">
        <v>1097</v>
      </c>
      <c r="C1170" s="1">
        <v>5663565</v>
      </c>
      <c r="D1170" s="1">
        <v>41</v>
      </c>
      <c r="E1170" s="1" t="s">
        <v>12</v>
      </c>
      <c r="F1170" s="16">
        <v>45931</v>
      </c>
      <c r="G1170" s="1" t="s">
        <v>1470</v>
      </c>
      <c r="H1170" s="1" t="s">
        <v>1471</v>
      </c>
      <c r="I1170" s="17" t="s">
        <v>1503</v>
      </c>
      <c r="J1170" s="18" t="s">
        <v>17</v>
      </c>
      <c r="K1170" s="19" t="s">
        <v>18</v>
      </c>
      <c r="L1170" s="19" t="s">
        <v>49</v>
      </c>
      <c r="M1170" s="20">
        <v>44</v>
      </c>
      <c r="N1170" s="21">
        <v>4999</v>
      </c>
      <c r="O1170" s="22">
        <v>18</v>
      </c>
      <c r="P1170" s="23">
        <v>180363.91999999998</v>
      </c>
      <c r="Q1170" s="22">
        <v>4.4000000000000004</v>
      </c>
      <c r="R1170" s="22">
        <v>20</v>
      </c>
      <c r="S1170" s="23">
        <f>(Table13[[#This Row],[Unit Price]]*Table13[[#This Row],[No.of Units]])*18%</f>
        <v>39592.080000000002</v>
      </c>
      <c r="T1170" s="22" t="s">
        <v>1508</v>
      </c>
    </row>
    <row r="1171" spans="2:20" x14ac:dyDescent="0.3">
      <c r="B1171" s="5" t="s">
        <v>1098</v>
      </c>
      <c r="C1171" s="1">
        <v>1606875</v>
      </c>
      <c r="D1171" s="1">
        <v>18</v>
      </c>
      <c r="E1171" s="1" t="s">
        <v>34</v>
      </c>
      <c r="F1171" s="16">
        <v>45931</v>
      </c>
      <c r="G1171" s="1" t="s">
        <v>1470</v>
      </c>
      <c r="H1171" s="1" t="s">
        <v>1483</v>
      </c>
      <c r="I1171" s="17" t="s">
        <v>1504</v>
      </c>
      <c r="J1171" s="18" t="s">
        <v>21</v>
      </c>
      <c r="K1171" s="19" t="s">
        <v>18</v>
      </c>
      <c r="L1171" s="19" t="s">
        <v>49</v>
      </c>
      <c r="M1171" s="20">
        <v>13</v>
      </c>
      <c r="N1171" s="21">
        <v>24900</v>
      </c>
      <c r="O1171" s="22">
        <v>5</v>
      </c>
      <c r="P1171" s="23">
        <v>307515</v>
      </c>
      <c r="Q1171" s="22">
        <v>4.8</v>
      </c>
      <c r="R1171" s="22">
        <v>20</v>
      </c>
      <c r="S1171" s="23">
        <f>(Table13[[#This Row],[Unit Price]]*Table13[[#This Row],[No.of Units]])*18%</f>
        <v>58266</v>
      </c>
      <c r="T1171" s="22" t="s">
        <v>1507</v>
      </c>
    </row>
    <row r="1172" spans="2:20" x14ac:dyDescent="0.3">
      <c r="B1172" s="5" t="s">
        <v>1099</v>
      </c>
      <c r="C1172" s="1">
        <v>1299137</v>
      </c>
      <c r="D1172" s="1">
        <v>33</v>
      </c>
      <c r="E1172" s="1" t="s">
        <v>12</v>
      </c>
      <c r="F1172" s="16">
        <v>45931</v>
      </c>
      <c r="G1172" s="1" t="s">
        <v>1470</v>
      </c>
      <c r="H1172" s="1" t="s">
        <v>1483</v>
      </c>
      <c r="I1172" s="17" t="s">
        <v>1505</v>
      </c>
      <c r="J1172" s="18" t="s">
        <v>23</v>
      </c>
      <c r="K1172" s="19" t="s">
        <v>14</v>
      </c>
      <c r="L1172" s="19" t="s">
        <v>49</v>
      </c>
      <c r="M1172" s="20">
        <v>3</v>
      </c>
      <c r="N1172" s="21">
        <v>84999</v>
      </c>
      <c r="O1172" s="22">
        <v>12</v>
      </c>
      <c r="P1172" s="23">
        <v>224397.36</v>
      </c>
      <c r="Q1172" s="22">
        <v>4.5</v>
      </c>
      <c r="R1172" s="22">
        <v>20</v>
      </c>
      <c r="S1172" s="23">
        <f>(Table13[[#This Row],[Unit Price]]*Table13[[#This Row],[No.of Units]])*18%</f>
        <v>45899.46</v>
      </c>
      <c r="T1172" s="22" t="s">
        <v>1507</v>
      </c>
    </row>
    <row r="1173" spans="2:20" x14ac:dyDescent="0.3">
      <c r="B1173" s="5" t="s">
        <v>1100</v>
      </c>
      <c r="C1173" s="1">
        <v>426424</v>
      </c>
      <c r="D1173" s="1">
        <v>20</v>
      </c>
      <c r="E1173" s="1" t="s">
        <v>12</v>
      </c>
      <c r="F1173" s="16">
        <v>45931</v>
      </c>
      <c r="G1173" s="1" t="s">
        <v>1470</v>
      </c>
      <c r="H1173" s="1" t="s">
        <v>1482</v>
      </c>
      <c r="I1173" s="17" t="s">
        <v>1504</v>
      </c>
      <c r="J1173" s="18" t="s">
        <v>25</v>
      </c>
      <c r="K1173" s="19" t="s">
        <v>26</v>
      </c>
      <c r="L1173" s="19" t="s">
        <v>49</v>
      </c>
      <c r="M1173" s="20">
        <v>3</v>
      </c>
      <c r="N1173" s="21">
        <v>69999</v>
      </c>
      <c r="O1173" s="22">
        <v>8</v>
      </c>
      <c r="P1173" s="23">
        <v>193197.24</v>
      </c>
      <c r="Q1173" s="22">
        <v>4.8</v>
      </c>
      <c r="R1173" s="22">
        <v>20</v>
      </c>
      <c r="S1173" s="23">
        <f>(Table13[[#This Row],[Unit Price]]*Table13[[#This Row],[No.of Units]])*18%</f>
        <v>37799.46</v>
      </c>
      <c r="T1173" s="22" t="s">
        <v>1508</v>
      </c>
    </row>
    <row r="1174" spans="2:20" x14ac:dyDescent="0.3">
      <c r="B1174" s="5" t="s">
        <v>1101</v>
      </c>
      <c r="C1174" s="1">
        <v>5696671</v>
      </c>
      <c r="D1174" s="1">
        <v>42</v>
      </c>
      <c r="E1174" s="1" t="s">
        <v>12</v>
      </c>
      <c r="F1174" s="16">
        <v>45931</v>
      </c>
      <c r="G1174" s="1" t="s">
        <v>1473</v>
      </c>
      <c r="H1174" s="1" t="s">
        <v>1471</v>
      </c>
      <c r="I1174" s="17" t="s">
        <v>1503</v>
      </c>
      <c r="J1174" s="18" t="s">
        <v>28</v>
      </c>
      <c r="K1174" s="19" t="s">
        <v>26</v>
      </c>
      <c r="L1174" s="19" t="s">
        <v>49</v>
      </c>
      <c r="M1174" s="20">
        <v>7</v>
      </c>
      <c r="N1174" s="21">
        <v>42999</v>
      </c>
      <c r="O1174" s="22">
        <v>15</v>
      </c>
      <c r="P1174" s="23">
        <v>255844.05</v>
      </c>
      <c r="Q1174" s="22">
        <v>4.5999999999999996</v>
      </c>
      <c r="R1174" s="22">
        <v>20</v>
      </c>
      <c r="S1174" s="23">
        <f>(Table13[[#This Row],[Unit Price]]*Table13[[#This Row],[No.of Units]])*18%</f>
        <v>54178.74</v>
      </c>
      <c r="T1174" s="22" t="s">
        <v>1508</v>
      </c>
    </row>
    <row r="1175" spans="2:20" x14ac:dyDescent="0.3">
      <c r="B1175" s="5" t="s">
        <v>1102</v>
      </c>
      <c r="C1175" s="1">
        <v>9603913</v>
      </c>
      <c r="D1175" s="1">
        <v>18</v>
      </c>
      <c r="E1175" s="1" t="s">
        <v>34</v>
      </c>
      <c r="F1175" s="16">
        <v>45938</v>
      </c>
      <c r="G1175" s="1" t="s">
        <v>1473</v>
      </c>
      <c r="H1175" s="1" t="s">
        <v>1471</v>
      </c>
      <c r="I1175" s="17" t="s">
        <v>1502</v>
      </c>
      <c r="J1175" s="18" t="s">
        <v>13</v>
      </c>
      <c r="K1175" s="19" t="s">
        <v>14</v>
      </c>
      <c r="L1175" s="19" t="s">
        <v>15</v>
      </c>
      <c r="M1175" s="20">
        <v>6</v>
      </c>
      <c r="N1175" s="21">
        <v>99999</v>
      </c>
      <c r="O1175" s="22">
        <v>10</v>
      </c>
      <c r="P1175" s="23">
        <v>539994.6</v>
      </c>
      <c r="Q1175" s="22">
        <v>4.7</v>
      </c>
      <c r="R1175" s="22">
        <v>20</v>
      </c>
      <c r="S1175" s="23">
        <f>(Table13[[#This Row],[Unit Price]]*Table13[[#This Row],[No.of Units]])*18%</f>
        <v>107998.92</v>
      </c>
      <c r="T1175" s="22" t="s">
        <v>1508</v>
      </c>
    </row>
    <row r="1176" spans="2:20" x14ac:dyDescent="0.3">
      <c r="B1176" s="5" t="s">
        <v>1103</v>
      </c>
      <c r="C1176" s="1">
        <v>8089566</v>
      </c>
      <c r="D1176" s="1">
        <v>21</v>
      </c>
      <c r="E1176" s="1" t="s">
        <v>12</v>
      </c>
      <c r="F1176" s="16">
        <v>45938</v>
      </c>
      <c r="G1176" s="1" t="s">
        <v>1473</v>
      </c>
      <c r="H1176" s="1" t="s">
        <v>1471</v>
      </c>
      <c r="I1176" s="17" t="s">
        <v>1503</v>
      </c>
      <c r="J1176" s="18" t="s">
        <v>17</v>
      </c>
      <c r="K1176" s="19" t="s">
        <v>18</v>
      </c>
      <c r="L1176" s="19" t="s">
        <v>15</v>
      </c>
      <c r="M1176" s="20">
        <v>43</v>
      </c>
      <c r="N1176" s="21">
        <v>4999</v>
      </c>
      <c r="O1176" s="22">
        <v>18</v>
      </c>
      <c r="P1176" s="23">
        <v>176264.74</v>
      </c>
      <c r="Q1176" s="22">
        <v>4.4000000000000004</v>
      </c>
      <c r="R1176" s="22">
        <v>20</v>
      </c>
      <c r="S1176" s="23">
        <f>(Table13[[#This Row],[Unit Price]]*Table13[[#This Row],[No.of Units]])*18%</f>
        <v>38692.26</v>
      </c>
      <c r="T1176" s="22" t="s">
        <v>1508</v>
      </c>
    </row>
    <row r="1177" spans="2:20" x14ac:dyDescent="0.3">
      <c r="B1177" s="5" t="s">
        <v>1104</v>
      </c>
      <c r="C1177" s="1">
        <v>2717249</v>
      </c>
      <c r="D1177" s="1">
        <v>22</v>
      </c>
      <c r="E1177" s="1" t="s">
        <v>12</v>
      </c>
      <c r="F1177" s="16">
        <v>45938</v>
      </c>
      <c r="G1177" s="1" t="s">
        <v>1470</v>
      </c>
      <c r="H1177" s="1" t="s">
        <v>1482</v>
      </c>
      <c r="I1177" s="17" t="s">
        <v>1504</v>
      </c>
      <c r="J1177" s="18" t="s">
        <v>21</v>
      </c>
      <c r="K1177" s="19" t="s">
        <v>18</v>
      </c>
      <c r="L1177" s="19" t="s">
        <v>15</v>
      </c>
      <c r="M1177" s="20">
        <v>5</v>
      </c>
      <c r="N1177" s="21">
        <v>24900</v>
      </c>
      <c r="O1177" s="22">
        <v>5</v>
      </c>
      <c r="P1177" s="23">
        <v>118275</v>
      </c>
      <c r="Q1177" s="22">
        <v>4.8</v>
      </c>
      <c r="R1177" s="22">
        <v>20</v>
      </c>
      <c r="S1177" s="23">
        <f>(Table13[[#This Row],[Unit Price]]*Table13[[#This Row],[No.of Units]])*18%</f>
        <v>22410</v>
      </c>
      <c r="T1177" s="22" t="s">
        <v>1508</v>
      </c>
    </row>
    <row r="1178" spans="2:20" x14ac:dyDescent="0.3">
      <c r="B1178" s="5" t="s">
        <v>1105</v>
      </c>
      <c r="C1178" s="1">
        <v>158981</v>
      </c>
      <c r="D1178" s="1">
        <v>29</v>
      </c>
      <c r="E1178" s="1" t="s">
        <v>12</v>
      </c>
      <c r="F1178" s="16">
        <v>45938</v>
      </c>
      <c r="G1178" s="1" t="s">
        <v>1470</v>
      </c>
      <c r="H1178" s="1" t="s">
        <v>1482</v>
      </c>
      <c r="I1178" s="17" t="s">
        <v>1505</v>
      </c>
      <c r="J1178" s="18" t="s">
        <v>23</v>
      </c>
      <c r="K1178" s="19" t="s">
        <v>14</v>
      </c>
      <c r="L1178" s="19" t="s">
        <v>15</v>
      </c>
      <c r="M1178" s="20">
        <v>3</v>
      </c>
      <c r="N1178" s="21">
        <v>84999</v>
      </c>
      <c r="O1178" s="22">
        <v>12</v>
      </c>
      <c r="P1178" s="23">
        <v>224397.36</v>
      </c>
      <c r="Q1178" s="22">
        <v>4.5</v>
      </c>
      <c r="R1178" s="22">
        <v>20</v>
      </c>
      <c r="S1178" s="23">
        <f>(Table13[[#This Row],[Unit Price]]*Table13[[#This Row],[No.of Units]])*18%</f>
        <v>45899.46</v>
      </c>
      <c r="T1178" s="22" t="s">
        <v>1508</v>
      </c>
    </row>
    <row r="1179" spans="2:20" x14ac:dyDescent="0.3">
      <c r="B1179" s="5" t="s">
        <v>1106</v>
      </c>
      <c r="C1179" s="1">
        <v>6141946</v>
      </c>
      <c r="D1179" s="1">
        <v>36</v>
      </c>
      <c r="E1179" s="1" t="s">
        <v>12</v>
      </c>
      <c r="F1179" s="16">
        <v>45938</v>
      </c>
      <c r="G1179" s="1" t="s">
        <v>1470</v>
      </c>
      <c r="H1179" s="1" t="s">
        <v>1471</v>
      </c>
      <c r="I1179" s="17" t="s">
        <v>1504</v>
      </c>
      <c r="J1179" s="18" t="s">
        <v>25</v>
      </c>
      <c r="K1179" s="19" t="s">
        <v>26</v>
      </c>
      <c r="L1179" s="19" t="s">
        <v>15</v>
      </c>
      <c r="M1179" s="20">
        <v>2</v>
      </c>
      <c r="N1179" s="21">
        <v>69999</v>
      </c>
      <c r="O1179" s="22">
        <v>8</v>
      </c>
      <c r="P1179" s="23">
        <v>128798.16</v>
      </c>
      <c r="Q1179" s="22">
        <v>4.8</v>
      </c>
      <c r="R1179" s="22">
        <v>20</v>
      </c>
      <c r="S1179" s="23">
        <f>(Table13[[#This Row],[Unit Price]]*Table13[[#This Row],[No.of Units]])*18%</f>
        <v>25199.64</v>
      </c>
      <c r="T1179" s="22" t="s">
        <v>1507</v>
      </c>
    </row>
    <row r="1180" spans="2:20" x14ac:dyDescent="0.3">
      <c r="B1180" s="5" t="s">
        <v>1107</v>
      </c>
      <c r="C1180" s="1">
        <v>3264468</v>
      </c>
      <c r="D1180" s="1">
        <v>36</v>
      </c>
      <c r="E1180" s="1" t="s">
        <v>12</v>
      </c>
      <c r="F1180" s="16">
        <v>45938</v>
      </c>
      <c r="G1180" s="1" t="s">
        <v>1470</v>
      </c>
      <c r="H1180" s="1" t="s">
        <v>1471</v>
      </c>
      <c r="I1180" s="17" t="s">
        <v>1503</v>
      </c>
      <c r="J1180" s="18" t="s">
        <v>28</v>
      </c>
      <c r="K1180" s="19" t="s">
        <v>26</v>
      </c>
      <c r="L1180" s="19" t="s">
        <v>15</v>
      </c>
      <c r="M1180" s="20">
        <v>8</v>
      </c>
      <c r="N1180" s="21">
        <v>42999</v>
      </c>
      <c r="O1180" s="22">
        <v>15</v>
      </c>
      <c r="P1180" s="23">
        <v>292393.2</v>
      </c>
      <c r="Q1180" s="22">
        <v>4.5999999999999996</v>
      </c>
      <c r="R1180" s="22">
        <v>20</v>
      </c>
      <c r="S1180" s="23">
        <f>(Table13[[#This Row],[Unit Price]]*Table13[[#This Row],[No.of Units]])*18%</f>
        <v>61918.559999999998</v>
      </c>
      <c r="T1180" s="22" t="s">
        <v>1508</v>
      </c>
    </row>
    <row r="1181" spans="2:20" x14ac:dyDescent="0.3">
      <c r="B1181" s="5" t="s">
        <v>1108</v>
      </c>
      <c r="C1181" s="1">
        <v>9977490</v>
      </c>
      <c r="D1181" s="1">
        <v>33</v>
      </c>
      <c r="E1181" s="1" t="s">
        <v>12</v>
      </c>
      <c r="F1181" s="16">
        <v>45938</v>
      </c>
      <c r="G1181" s="1" t="s">
        <v>1470</v>
      </c>
      <c r="H1181" s="1" t="s">
        <v>1472</v>
      </c>
      <c r="I1181" s="17" t="s">
        <v>1502</v>
      </c>
      <c r="J1181" s="18" t="s">
        <v>13</v>
      </c>
      <c r="K1181" s="19" t="s">
        <v>14</v>
      </c>
      <c r="L1181" s="19" t="s">
        <v>29</v>
      </c>
      <c r="M1181" s="20">
        <v>6</v>
      </c>
      <c r="N1181" s="21">
        <v>99999</v>
      </c>
      <c r="O1181" s="22">
        <v>10</v>
      </c>
      <c r="P1181" s="23">
        <v>539994.6</v>
      </c>
      <c r="Q1181" s="22">
        <v>4.7</v>
      </c>
      <c r="R1181" s="22">
        <v>20</v>
      </c>
      <c r="S1181" s="23">
        <f>(Table13[[#This Row],[Unit Price]]*Table13[[#This Row],[No.of Units]])*18%</f>
        <v>107998.92</v>
      </c>
      <c r="T1181" s="22" t="s">
        <v>1508</v>
      </c>
    </row>
    <row r="1182" spans="2:20" x14ac:dyDescent="0.3">
      <c r="B1182" s="5" t="s">
        <v>1109</v>
      </c>
      <c r="C1182" s="1">
        <v>4597589</v>
      </c>
      <c r="D1182" s="1">
        <v>27</v>
      </c>
      <c r="E1182" s="1" t="s">
        <v>12</v>
      </c>
      <c r="F1182" s="16">
        <v>45938</v>
      </c>
      <c r="G1182" s="1" t="s">
        <v>1473</v>
      </c>
      <c r="H1182" s="1" t="s">
        <v>1483</v>
      </c>
      <c r="I1182" s="17" t="s">
        <v>1503</v>
      </c>
      <c r="J1182" s="18" t="s">
        <v>17</v>
      </c>
      <c r="K1182" s="19" t="s">
        <v>18</v>
      </c>
      <c r="L1182" s="19" t="s">
        <v>29</v>
      </c>
      <c r="M1182" s="20">
        <v>53</v>
      </c>
      <c r="N1182" s="21">
        <v>4999</v>
      </c>
      <c r="O1182" s="22">
        <v>18</v>
      </c>
      <c r="P1182" s="23">
        <v>217256.54</v>
      </c>
      <c r="Q1182" s="22">
        <v>4.4000000000000004</v>
      </c>
      <c r="R1182" s="22">
        <v>20</v>
      </c>
      <c r="S1182" s="23">
        <f>(Table13[[#This Row],[Unit Price]]*Table13[[#This Row],[No.of Units]])*18%</f>
        <v>47690.46</v>
      </c>
      <c r="T1182" s="22" t="s">
        <v>1507</v>
      </c>
    </row>
    <row r="1183" spans="2:20" x14ac:dyDescent="0.3">
      <c r="B1183" s="5" t="s">
        <v>1110</v>
      </c>
      <c r="C1183" s="1">
        <v>2544564</v>
      </c>
      <c r="D1183" s="1">
        <v>54</v>
      </c>
      <c r="E1183" s="1" t="s">
        <v>20</v>
      </c>
      <c r="F1183" s="16">
        <v>45938</v>
      </c>
      <c r="G1183" s="1" t="s">
        <v>1470</v>
      </c>
      <c r="H1183" s="1" t="s">
        <v>1482</v>
      </c>
      <c r="I1183" s="17" t="s">
        <v>1504</v>
      </c>
      <c r="J1183" s="18" t="s">
        <v>21</v>
      </c>
      <c r="K1183" s="19" t="s">
        <v>18</v>
      </c>
      <c r="L1183" s="19" t="s">
        <v>29</v>
      </c>
      <c r="M1183" s="20">
        <v>10</v>
      </c>
      <c r="N1183" s="21">
        <v>24900</v>
      </c>
      <c r="O1183" s="22">
        <v>5</v>
      </c>
      <c r="P1183" s="23">
        <v>236550</v>
      </c>
      <c r="Q1183" s="22">
        <v>4.8</v>
      </c>
      <c r="R1183" s="22">
        <v>20</v>
      </c>
      <c r="S1183" s="23">
        <f>(Table13[[#This Row],[Unit Price]]*Table13[[#This Row],[No.of Units]])*18%</f>
        <v>44820</v>
      </c>
      <c r="T1183" s="22" t="s">
        <v>1508</v>
      </c>
    </row>
    <row r="1184" spans="2:20" x14ac:dyDescent="0.3">
      <c r="B1184" s="5" t="s">
        <v>1111</v>
      </c>
      <c r="C1184" s="1">
        <v>4833870</v>
      </c>
      <c r="D1184" s="1">
        <v>26</v>
      </c>
      <c r="E1184" s="1" t="s">
        <v>12</v>
      </c>
      <c r="F1184" s="16">
        <v>45938</v>
      </c>
      <c r="G1184" s="1" t="s">
        <v>1470</v>
      </c>
      <c r="H1184" s="1" t="s">
        <v>1472</v>
      </c>
      <c r="I1184" s="17" t="s">
        <v>1505</v>
      </c>
      <c r="J1184" s="18" t="s">
        <v>23</v>
      </c>
      <c r="K1184" s="19" t="s">
        <v>14</v>
      </c>
      <c r="L1184" s="19" t="s">
        <v>29</v>
      </c>
      <c r="M1184" s="20">
        <v>6</v>
      </c>
      <c r="N1184" s="21">
        <v>84999</v>
      </c>
      <c r="O1184" s="22">
        <v>12</v>
      </c>
      <c r="P1184" s="23">
        <v>448794.72</v>
      </c>
      <c r="Q1184" s="22">
        <v>4.5</v>
      </c>
      <c r="R1184" s="22">
        <v>20</v>
      </c>
      <c r="S1184" s="23">
        <f>(Table13[[#This Row],[Unit Price]]*Table13[[#This Row],[No.of Units]])*18%</f>
        <v>91798.92</v>
      </c>
      <c r="T1184" s="22" t="s">
        <v>1507</v>
      </c>
    </row>
    <row r="1185" spans="2:20" x14ac:dyDescent="0.3">
      <c r="B1185" s="5" t="s">
        <v>1112</v>
      </c>
      <c r="C1185" s="1">
        <v>7010898</v>
      </c>
      <c r="D1185" s="1">
        <v>31</v>
      </c>
      <c r="E1185" s="1" t="s">
        <v>12</v>
      </c>
      <c r="F1185" s="16">
        <v>45938</v>
      </c>
      <c r="G1185" s="1" t="s">
        <v>1470</v>
      </c>
      <c r="H1185" s="1" t="s">
        <v>1471</v>
      </c>
      <c r="I1185" s="17" t="s">
        <v>1504</v>
      </c>
      <c r="J1185" s="18" t="s">
        <v>25</v>
      </c>
      <c r="K1185" s="19" t="s">
        <v>26</v>
      </c>
      <c r="L1185" s="19" t="s">
        <v>29</v>
      </c>
      <c r="M1185" s="20">
        <v>4</v>
      </c>
      <c r="N1185" s="21">
        <v>69999</v>
      </c>
      <c r="O1185" s="22">
        <v>8</v>
      </c>
      <c r="P1185" s="23">
        <v>257596.32</v>
      </c>
      <c r="Q1185" s="22">
        <v>4.8</v>
      </c>
      <c r="R1185" s="22">
        <v>20</v>
      </c>
      <c r="S1185" s="23">
        <f>(Table13[[#This Row],[Unit Price]]*Table13[[#This Row],[No.of Units]])*18%</f>
        <v>50399.28</v>
      </c>
      <c r="T1185" s="22" t="s">
        <v>1508</v>
      </c>
    </row>
    <row r="1186" spans="2:20" x14ac:dyDescent="0.3">
      <c r="B1186" s="5" t="s">
        <v>1113</v>
      </c>
      <c r="C1186" s="1">
        <v>9967268</v>
      </c>
      <c r="D1186" s="1">
        <v>64</v>
      </c>
      <c r="E1186" s="1" t="s">
        <v>20</v>
      </c>
      <c r="F1186" s="16">
        <v>45938</v>
      </c>
      <c r="G1186" s="1" t="s">
        <v>1470</v>
      </c>
      <c r="H1186" s="1" t="s">
        <v>1471</v>
      </c>
      <c r="I1186" s="17" t="s">
        <v>1503</v>
      </c>
      <c r="J1186" s="18" t="s">
        <v>28</v>
      </c>
      <c r="K1186" s="19" t="s">
        <v>26</v>
      </c>
      <c r="L1186" s="19" t="s">
        <v>29</v>
      </c>
      <c r="M1186" s="20">
        <v>7</v>
      </c>
      <c r="N1186" s="21">
        <v>42999</v>
      </c>
      <c r="O1186" s="22">
        <v>15</v>
      </c>
      <c r="P1186" s="23">
        <v>255844.05</v>
      </c>
      <c r="Q1186" s="22">
        <v>4.5999999999999996</v>
      </c>
      <c r="R1186" s="22">
        <v>20</v>
      </c>
      <c r="S1186" s="23">
        <f>(Table13[[#This Row],[Unit Price]]*Table13[[#This Row],[No.of Units]])*18%</f>
        <v>54178.74</v>
      </c>
      <c r="T1186" s="22" t="s">
        <v>1508</v>
      </c>
    </row>
    <row r="1187" spans="2:20" x14ac:dyDescent="0.3">
      <c r="B1187" s="5" t="s">
        <v>1114</v>
      </c>
      <c r="C1187" s="1">
        <v>1897745</v>
      </c>
      <c r="D1187" s="1">
        <v>61</v>
      </c>
      <c r="E1187" s="1" t="s">
        <v>20</v>
      </c>
      <c r="F1187" s="16">
        <v>45938</v>
      </c>
      <c r="G1187" s="1" t="s">
        <v>1473</v>
      </c>
      <c r="H1187" s="1" t="s">
        <v>1471</v>
      </c>
      <c r="I1187" s="17" t="s">
        <v>1502</v>
      </c>
      <c r="J1187" s="18" t="s">
        <v>13</v>
      </c>
      <c r="K1187" s="19" t="s">
        <v>14</v>
      </c>
      <c r="L1187" s="19" t="s">
        <v>35</v>
      </c>
      <c r="M1187" s="20">
        <v>6</v>
      </c>
      <c r="N1187" s="21">
        <v>99999</v>
      </c>
      <c r="O1187" s="22">
        <v>10</v>
      </c>
      <c r="P1187" s="23">
        <v>539994.6</v>
      </c>
      <c r="Q1187" s="22">
        <v>4.7</v>
      </c>
      <c r="R1187" s="22">
        <v>20</v>
      </c>
      <c r="S1187" s="23">
        <f>(Table13[[#This Row],[Unit Price]]*Table13[[#This Row],[No.of Units]])*18%</f>
        <v>107998.92</v>
      </c>
      <c r="T1187" s="22" t="s">
        <v>1508</v>
      </c>
    </row>
    <row r="1188" spans="2:20" x14ac:dyDescent="0.3">
      <c r="B1188" s="5" t="s">
        <v>1115</v>
      </c>
      <c r="C1188" s="1">
        <v>4450198</v>
      </c>
      <c r="D1188" s="1">
        <v>28</v>
      </c>
      <c r="E1188" s="1" t="s">
        <v>12</v>
      </c>
      <c r="F1188" s="16">
        <v>45938</v>
      </c>
      <c r="G1188" s="1" t="s">
        <v>1470</v>
      </c>
      <c r="H1188" s="1" t="s">
        <v>1482</v>
      </c>
      <c r="I1188" s="17" t="s">
        <v>1503</v>
      </c>
      <c r="J1188" s="18" t="s">
        <v>17</v>
      </c>
      <c r="K1188" s="19" t="s">
        <v>18</v>
      </c>
      <c r="L1188" s="19" t="s">
        <v>35</v>
      </c>
      <c r="M1188" s="20">
        <v>35</v>
      </c>
      <c r="N1188" s="21">
        <v>4999</v>
      </c>
      <c r="O1188" s="22">
        <v>18</v>
      </c>
      <c r="P1188" s="23">
        <v>143471.29999999999</v>
      </c>
      <c r="Q1188" s="22">
        <v>4.4000000000000004</v>
      </c>
      <c r="R1188" s="22">
        <v>20</v>
      </c>
      <c r="S1188" s="23">
        <f>(Table13[[#This Row],[Unit Price]]*Table13[[#This Row],[No.of Units]])*18%</f>
        <v>31493.699999999997</v>
      </c>
      <c r="T1188" s="22" t="s">
        <v>1508</v>
      </c>
    </row>
    <row r="1189" spans="2:20" x14ac:dyDescent="0.3">
      <c r="B1189" s="5" t="s">
        <v>1116</v>
      </c>
      <c r="C1189" s="1">
        <v>8761336</v>
      </c>
      <c r="D1189" s="1">
        <v>27</v>
      </c>
      <c r="E1189" s="1" t="s">
        <v>12</v>
      </c>
      <c r="F1189" s="16">
        <v>45938</v>
      </c>
      <c r="G1189" s="1" t="s">
        <v>1470</v>
      </c>
      <c r="H1189" s="1" t="s">
        <v>1480</v>
      </c>
      <c r="I1189" s="17" t="s">
        <v>1504</v>
      </c>
      <c r="J1189" s="18" t="s">
        <v>21</v>
      </c>
      <c r="K1189" s="19" t="s">
        <v>18</v>
      </c>
      <c r="L1189" s="19" t="s">
        <v>35</v>
      </c>
      <c r="M1189" s="20">
        <v>8</v>
      </c>
      <c r="N1189" s="21">
        <v>24900</v>
      </c>
      <c r="O1189" s="22">
        <v>5</v>
      </c>
      <c r="P1189" s="23">
        <v>189240</v>
      </c>
      <c r="Q1189" s="22">
        <v>4.8</v>
      </c>
      <c r="R1189" s="22">
        <v>20</v>
      </c>
      <c r="S1189" s="23">
        <f>(Table13[[#This Row],[Unit Price]]*Table13[[#This Row],[No.of Units]])*18%</f>
        <v>35856</v>
      </c>
      <c r="T1189" s="22" t="s">
        <v>1508</v>
      </c>
    </row>
    <row r="1190" spans="2:20" x14ac:dyDescent="0.3">
      <c r="B1190" s="5" t="s">
        <v>1117</v>
      </c>
      <c r="C1190" s="1">
        <v>3528677</v>
      </c>
      <c r="D1190" s="1">
        <v>42</v>
      </c>
      <c r="E1190" s="1" t="s">
        <v>12</v>
      </c>
      <c r="F1190" s="16">
        <v>45938</v>
      </c>
      <c r="G1190" s="1" t="s">
        <v>1470</v>
      </c>
      <c r="H1190" s="1" t="s">
        <v>1471</v>
      </c>
      <c r="I1190" s="17" t="s">
        <v>1505</v>
      </c>
      <c r="J1190" s="18" t="s">
        <v>23</v>
      </c>
      <c r="K1190" s="19" t="s">
        <v>14</v>
      </c>
      <c r="L1190" s="19" t="s">
        <v>35</v>
      </c>
      <c r="M1190" s="20">
        <v>4</v>
      </c>
      <c r="N1190" s="21">
        <v>84999</v>
      </c>
      <c r="O1190" s="22">
        <v>12</v>
      </c>
      <c r="P1190" s="23">
        <v>299196.48</v>
      </c>
      <c r="Q1190" s="22">
        <v>4.5</v>
      </c>
      <c r="R1190" s="22">
        <v>20</v>
      </c>
      <c r="S1190" s="23">
        <f>(Table13[[#This Row],[Unit Price]]*Table13[[#This Row],[No.of Units]])*18%</f>
        <v>61199.28</v>
      </c>
      <c r="T1190" s="22" t="s">
        <v>1508</v>
      </c>
    </row>
    <row r="1191" spans="2:20" x14ac:dyDescent="0.3">
      <c r="B1191" s="5" t="s">
        <v>1118</v>
      </c>
      <c r="C1191" s="1">
        <v>8373738</v>
      </c>
      <c r="D1191" s="1">
        <v>34</v>
      </c>
      <c r="E1191" s="1" t="s">
        <v>12</v>
      </c>
      <c r="F1191" s="16">
        <v>45938</v>
      </c>
      <c r="G1191" s="1" t="s">
        <v>1470</v>
      </c>
      <c r="H1191" s="1" t="s">
        <v>1471</v>
      </c>
      <c r="I1191" s="17" t="s">
        <v>1504</v>
      </c>
      <c r="J1191" s="18" t="s">
        <v>25</v>
      </c>
      <c r="K1191" s="19" t="s">
        <v>26</v>
      </c>
      <c r="L1191" s="19" t="s">
        <v>35</v>
      </c>
      <c r="M1191" s="20">
        <v>6</v>
      </c>
      <c r="N1191" s="21">
        <v>69999</v>
      </c>
      <c r="O1191" s="22">
        <v>8</v>
      </c>
      <c r="P1191" s="23">
        <v>386394.48</v>
      </c>
      <c r="Q1191" s="22">
        <v>4.8</v>
      </c>
      <c r="R1191" s="22">
        <v>20</v>
      </c>
      <c r="S1191" s="23">
        <f>(Table13[[#This Row],[Unit Price]]*Table13[[#This Row],[No.of Units]])*18%</f>
        <v>75598.92</v>
      </c>
      <c r="T1191" s="22" t="s">
        <v>1507</v>
      </c>
    </row>
    <row r="1192" spans="2:20" x14ac:dyDescent="0.3">
      <c r="B1192" s="5" t="s">
        <v>1119</v>
      </c>
      <c r="C1192" s="1">
        <v>1366596</v>
      </c>
      <c r="D1192" s="1">
        <v>23</v>
      </c>
      <c r="E1192" s="1" t="s">
        <v>12</v>
      </c>
      <c r="F1192" s="16">
        <v>45938</v>
      </c>
      <c r="G1192" s="1" t="s">
        <v>1470</v>
      </c>
      <c r="H1192" s="1" t="s">
        <v>1482</v>
      </c>
      <c r="I1192" s="17" t="s">
        <v>1503</v>
      </c>
      <c r="J1192" s="18" t="s">
        <v>28</v>
      </c>
      <c r="K1192" s="19" t="s">
        <v>26</v>
      </c>
      <c r="L1192" s="19" t="s">
        <v>35</v>
      </c>
      <c r="M1192" s="20">
        <v>8</v>
      </c>
      <c r="N1192" s="21">
        <v>42999</v>
      </c>
      <c r="O1192" s="22">
        <v>15</v>
      </c>
      <c r="P1192" s="23">
        <v>292393.2</v>
      </c>
      <c r="Q1192" s="22">
        <v>4.5999999999999996</v>
      </c>
      <c r="R1192" s="22">
        <v>20</v>
      </c>
      <c r="S1192" s="23">
        <f>(Table13[[#This Row],[Unit Price]]*Table13[[#This Row],[No.of Units]])*18%</f>
        <v>61918.559999999998</v>
      </c>
      <c r="T1192" s="22" t="s">
        <v>1508</v>
      </c>
    </row>
    <row r="1193" spans="2:20" x14ac:dyDescent="0.3">
      <c r="B1193" s="5" t="s">
        <v>1120</v>
      </c>
      <c r="C1193" s="1">
        <v>6229553</v>
      </c>
      <c r="D1193" s="1">
        <v>35</v>
      </c>
      <c r="E1193" s="1" t="s">
        <v>12</v>
      </c>
      <c r="F1193" s="16">
        <v>45938</v>
      </c>
      <c r="G1193" s="1" t="s">
        <v>1470</v>
      </c>
      <c r="H1193" s="1" t="s">
        <v>1471</v>
      </c>
      <c r="I1193" s="17" t="s">
        <v>1502</v>
      </c>
      <c r="J1193" s="18" t="s">
        <v>13</v>
      </c>
      <c r="K1193" s="19" t="s">
        <v>14</v>
      </c>
      <c r="L1193" s="19" t="s">
        <v>42</v>
      </c>
      <c r="M1193" s="20">
        <v>6</v>
      </c>
      <c r="N1193" s="21">
        <v>99999</v>
      </c>
      <c r="O1193" s="22">
        <v>10</v>
      </c>
      <c r="P1193" s="23">
        <v>539994.6</v>
      </c>
      <c r="Q1193" s="22">
        <v>4.7</v>
      </c>
      <c r="R1193" s="22">
        <v>20</v>
      </c>
      <c r="S1193" s="23">
        <f>(Table13[[#This Row],[Unit Price]]*Table13[[#This Row],[No.of Units]])*18%</f>
        <v>107998.92</v>
      </c>
      <c r="T1193" s="22" t="s">
        <v>1508</v>
      </c>
    </row>
    <row r="1194" spans="2:20" x14ac:dyDescent="0.3">
      <c r="B1194" s="5" t="s">
        <v>1121</v>
      </c>
      <c r="C1194" s="1">
        <v>4989878</v>
      </c>
      <c r="D1194" s="1">
        <v>49</v>
      </c>
      <c r="E1194" s="1" t="s">
        <v>12</v>
      </c>
      <c r="F1194" s="16">
        <v>45938</v>
      </c>
      <c r="G1194" s="1" t="s">
        <v>1470</v>
      </c>
      <c r="H1194" s="1" t="s">
        <v>1471</v>
      </c>
      <c r="I1194" s="17" t="s">
        <v>1503</v>
      </c>
      <c r="J1194" s="18" t="s">
        <v>17</v>
      </c>
      <c r="K1194" s="19" t="s">
        <v>18</v>
      </c>
      <c r="L1194" s="19" t="s">
        <v>42</v>
      </c>
      <c r="M1194" s="20">
        <v>52</v>
      </c>
      <c r="N1194" s="21">
        <v>4999</v>
      </c>
      <c r="O1194" s="22">
        <v>18</v>
      </c>
      <c r="P1194" s="23">
        <v>213157.36</v>
      </c>
      <c r="Q1194" s="22">
        <v>4.4000000000000004</v>
      </c>
      <c r="R1194" s="22">
        <v>20</v>
      </c>
      <c r="S1194" s="23">
        <f>(Table13[[#This Row],[Unit Price]]*Table13[[#This Row],[No.of Units]])*18%</f>
        <v>46790.64</v>
      </c>
      <c r="T1194" s="22" t="s">
        <v>1508</v>
      </c>
    </row>
    <row r="1195" spans="2:20" x14ac:dyDescent="0.3">
      <c r="B1195" s="5" t="s">
        <v>1122</v>
      </c>
      <c r="C1195" s="1">
        <v>5176395</v>
      </c>
      <c r="D1195" s="1">
        <v>21</v>
      </c>
      <c r="E1195" s="1" t="s">
        <v>12</v>
      </c>
      <c r="F1195" s="16">
        <v>45938</v>
      </c>
      <c r="G1195" s="1" t="s">
        <v>1470</v>
      </c>
      <c r="H1195" s="1" t="s">
        <v>1471</v>
      </c>
      <c r="I1195" s="17" t="s">
        <v>1504</v>
      </c>
      <c r="J1195" s="18" t="s">
        <v>21</v>
      </c>
      <c r="K1195" s="19" t="s">
        <v>18</v>
      </c>
      <c r="L1195" s="19" t="s">
        <v>42</v>
      </c>
      <c r="M1195" s="20">
        <v>14</v>
      </c>
      <c r="N1195" s="21">
        <v>24900</v>
      </c>
      <c r="O1195" s="22">
        <v>5</v>
      </c>
      <c r="P1195" s="23">
        <v>331170</v>
      </c>
      <c r="Q1195" s="22">
        <v>4.8</v>
      </c>
      <c r="R1195" s="22">
        <v>20</v>
      </c>
      <c r="S1195" s="23">
        <f>(Table13[[#This Row],[Unit Price]]*Table13[[#This Row],[No.of Units]])*18%</f>
        <v>62748</v>
      </c>
      <c r="T1195" s="22" t="s">
        <v>1508</v>
      </c>
    </row>
    <row r="1196" spans="2:20" x14ac:dyDescent="0.3">
      <c r="B1196" s="5" t="s">
        <v>1123</v>
      </c>
      <c r="C1196" s="1">
        <v>2470347</v>
      </c>
      <c r="D1196" s="1">
        <v>41</v>
      </c>
      <c r="E1196" s="1" t="s">
        <v>12</v>
      </c>
      <c r="F1196" s="16">
        <v>45938</v>
      </c>
      <c r="G1196" s="1" t="s">
        <v>1470</v>
      </c>
      <c r="H1196" s="1" t="s">
        <v>1482</v>
      </c>
      <c r="I1196" s="17" t="s">
        <v>1505</v>
      </c>
      <c r="J1196" s="18" t="s">
        <v>23</v>
      </c>
      <c r="K1196" s="19" t="s">
        <v>14</v>
      </c>
      <c r="L1196" s="19" t="s">
        <v>42</v>
      </c>
      <c r="M1196" s="20">
        <v>6</v>
      </c>
      <c r="N1196" s="21">
        <v>84999</v>
      </c>
      <c r="O1196" s="22">
        <v>12</v>
      </c>
      <c r="P1196" s="23">
        <v>448794.72</v>
      </c>
      <c r="Q1196" s="22">
        <v>4.5</v>
      </c>
      <c r="R1196" s="22">
        <v>20</v>
      </c>
      <c r="S1196" s="23">
        <f>(Table13[[#This Row],[Unit Price]]*Table13[[#This Row],[No.of Units]])*18%</f>
        <v>91798.92</v>
      </c>
      <c r="T1196" s="22" t="s">
        <v>1507</v>
      </c>
    </row>
    <row r="1197" spans="2:20" x14ac:dyDescent="0.3">
      <c r="B1197" s="5" t="s">
        <v>1124</v>
      </c>
      <c r="C1197" s="1">
        <v>8121668</v>
      </c>
      <c r="D1197" s="1">
        <v>45</v>
      </c>
      <c r="E1197" s="1" t="s">
        <v>12</v>
      </c>
      <c r="F1197" s="16">
        <v>45938</v>
      </c>
      <c r="G1197" s="1" t="s">
        <v>1470</v>
      </c>
      <c r="H1197" s="1" t="s">
        <v>1471</v>
      </c>
      <c r="I1197" s="17" t="s">
        <v>1504</v>
      </c>
      <c r="J1197" s="18" t="s">
        <v>25</v>
      </c>
      <c r="K1197" s="19" t="s">
        <v>26</v>
      </c>
      <c r="L1197" s="19" t="s">
        <v>42</v>
      </c>
      <c r="M1197" s="20">
        <v>5</v>
      </c>
      <c r="N1197" s="21">
        <v>69999</v>
      </c>
      <c r="O1197" s="22">
        <v>8</v>
      </c>
      <c r="P1197" s="23">
        <v>321995.40000000002</v>
      </c>
      <c r="Q1197" s="22">
        <v>4.8</v>
      </c>
      <c r="R1197" s="22">
        <v>20</v>
      </c>
      <c r="S1197" s="23">
        <f>(Table13[[#This Row],[Unit Price]]*Table13[[#This Row],[No.of Units]])*18%</f>
        <v>62999.1</v>
      </c>
      <c r="T1197" s="22" t="s">
        <v>1508</v>
      </c>
    </row>
    <row r="1198" spans="2:20" x14ac:dyDescent="0.3">
      <c r="B1198" s="5" t="s">
        <v>1125</v>
      </c>
      <c r="C1198" s="1">
        <v>1484330</v>
      </c>
      <c r="D1198" s="1">
        <v>32</v>
      </c>
      <c r="E1198" s="1" t="s">
        <v>12</v>
      </c>
      <c r="F1198" s="16">
        <v>45938</v>
      </c>
      <c r="G1198" s="1" t="s">
        <v>1470</v>
      </c>
      <c r="H1198" s="1" t="s">
        <v>1471</v>
      </c>
      <c r="I1198" s="17" t="s">
        <v>1503</v>
      </c>
      <c r="J1198" s="18" t="s">
        <v>28</v>
      </c>
      <c r="K1198" s="19" t="s">
        <v>26</v>
      </c>
      <c r="L1198" s="19" t="s">
        <v>42</v>
      </c>
      <c r="M1198" s="20">
        <v>9</v>
      </c>
      <c r="N1198" s="21">
        <v>42999</v>
      </c>
      <c r="O1198" s="22">
        <v>15</v>
      </c>
      <c r="P1198" s="23">
        <v>328942.34999999998</v>
      </c>
      <c r="Q1198" s="22">
        <v>4.5999999999999996</v>
      </c>
      <c r="R1198" s="22">
        <v>20</v>
      </c>
      <c r="S1198" s="23">
        <f>(Table13[[#This Row],[Unit Price]]*Table13[[#This Row],[No.of Units]])*18%</f>
        <v>69658.38</v>
      </c>
      <c r="T1198" s="22" t="s">
        <v>1508</v>
      </c>
    </row>
    <row r="1199" spans="2:20" x14ac:dyDescent="0.3">
      <c r="B1199" s="5" t="s">
        <v>1126</v>
      </c>
      <c r="C1199" s="1">
        <v>1753921</v>
      </c>
      <c r="D1199" s="1">
        <v>31</v>
      </c>
      <c r="E1199" s="1" t="s">
        <v>12</v>
      </c>
      <c r="F1199" s="16">
        <v>45938</v>
      </c>
      <c r="G1199" s="1" t="s">
        <v>1470</v>
      </c>
      <c r="H1199" s="1" t="s">
        <v>1472</v>
      </c>
      <c r="I1199" s="17" t="s">
        <v>1502</v>
      </c>
      <c r="J1199" s="18" t="s">
        <v>13</v>
      </c>
      <c r="K1199" s="19" t="s">
        <v>14</v>
      </c>
      <c r="L1199" s="19" t="s">
        <v>49</v>
      </c>
      <c r="M1199" s="20">
        <v>6</v>
      </c>
      <c r="N1199" s="21">
        <v>99999</v>
      </c>
      <c r="O1199" s="22">
        <v>10</v>
      </c>
      <c r="P1199" s="23">
        <v>539994.6</v>
      </c>
      <c r="Q1199" s="22">
        <v>4.7</v>
      </c>
      <c r="R1199" s="22">
        <v>20</v>
      </c>
      <c r="S1199" s="23">
        <f>(Table13[[#This Row],[Unit Price]]*Table13[[#This Row],[No.of Units]])*18%</f>
        <v>107998.92</v>
      </c>
      <c r="T1199" s="22" t="s">
        <v>1508</v>
      </c>
    </row>
    <row r="1200" spans="2:20" x14ac:dyDescent="0.3">
      <c r="B1200" s="5" t="s">
        <v>1127</v>
      </c>
      <c r="C1200" s="1">
        <v>6968357</v>
      </c>
      <c r="D1200" s="1">
        <v>45</v>
      </c>
      <c r="E1200" s="1" t="s">
        <v>12</v>
      </c>
      <c r="F1200" s="16">
        <v>45938</v>
      </c>
      <c r="G1200" s="1" t="s">
        <v>1475</v>
      </c>
      <c r="H1200" s="1" t="s">
        <v>1480</v>
      </c>
      <c r="I1200" s="17" t="s">
        <v>1503</v>
      </c>
      <c r="J1200" s="18" t="s">
        <v>17</v>
      </c>
      <c r="K1200" s="19" t="s">
        <v>18</v>
      </c>
      <c r="L1200" s="19" t="s">
        <v>49</v>
      </c>
      <c r="M1200" s="20">
        <v>58</v>
      </c>
      <c r="N1200" s="21">
        <v>4999</v>
      </c>
      <c r="O1200" s="22">
        <v>18</v>
      </c>
      <c r="P1200" s="23">
        <v>237752.44</v>
      </c>
      <c r="Q1200" s="22">
        <v>4.4000000000000004</v>
      </c>
      <c r="R1200" s="22">
        <v>20</v>
      </c>
      <c r="S1200" s="23">
        <f>(Table13[[#This Row],[Unit Price]]*Table13[[#This Row],[No.of Units]])*18%</f>
        <v>52189.56</v>
      </c>
      <c r="T1200" s="22" t="s">
        <v>1507</v>
      </c>
    </row>
    <row r="1201" spans="2:20" x14ac:dyDescent="0.3">
      <c r="B1201" s="5" t="s">
        <v>1128</v>
      </c>
      <c r="C1201" s="1">
        <v>5809177</v>
      </c>
      <c r="D1201" s="1">
        <v>47</v>
      </c>
      <c r="E1201" s="1" t="s">
        <v>12</v>
      </c>
      <c r="F1201" s="16">
        <v>45938</v>
      </c>
      <c r="G1201" s="1" t="s">
        <v>1475</v>
      </c>
      <c r="H1201" s="1" t="s">
        <v>1471</v>
      </c>
      <c r="I1201" s="17" t="s">
        <v>1504</v>
      </c>
      <c r="J1201" s="18" t="s">
        <v>21</v>
      </c>
      <c r="K1201" s="19" t="s">
        <v>18</v>
      </c>
      <c r="L1201" s="19" t="s">
        <v>49</v>
      </c>
      <c r="M1201" s="20">
        <v>8</v>
      </c>
      <c r="N1201" s="21">
        <v>24900</v>
      </c>
      <c r="O1201" s="22">
        <v>5</v>
      </c>
      <c r="P1201" s="23">
        <v>189240</v>
      </c>
      <c r="Q1201" s="22">
        <v>4.8</v>
      </c>
      <c r="R1201" s="22">
        <v>20</v>
      </c>
      <c r="S1201" s="23">
        <f>(Table13[[#This Row],[Unit Price]]*Table13[[#This Row],[No.of Units]])*18%</f>
        <v>35856</v>
      </c>
      <c r="T1201" s="22" t="s">
        <v>1508</v>
      </c>
    </row>
    <row r="1202" spans="2:20" x14ac:dyDescent="0.3">
      <c r="B1202" s="5" t="s">
        <v>1129</v>
      </c>
      <c r="C1202" s="1">
        <v>1398058</v>
      </c>
      <c r="D1202" s="1">
        <v>26</v>
      </c>
      <c r="E1202" s="1" t="s">
        <v>12</v>
      </c>
      <c r="F1202" s="16">
        <v>45938</v>
      </c>
      <c r="G1202" s="1" t="s">
        <v>1470</v>
      </c>
      <c r="H1202" s="1" t="s">
        <v>1471</v>
      </c>
      <c r="I1202" s="17" t="s">
        <v>1505</v>
      </c>
      <c r="J1202" s="18" t="s">
        <v>23</v>
      </c>
      <c r="K1202" s="19" t="s">
        <v>14</v>
      </c>
      <c r="L1202" s="19" t="s">
        <v>49</v>
      </c>
      <c r="M1202" s="20">
        <v>4</v>
      </c>
      <c r="N1202" s="21">
        <v>84999</v>
      </c>
      <c r="O1202" s="22">
        <v>12</v>
      </c>
      <c r="P1202" s="23">
        <v>299196.48</v>
      </c>
      <c r="Q1202" s="22">
        <v>4.5</v>
      </c>
      <c r="R1202" s="22">
        <v>20</v>
      </c>
      <c r="S1202" s="23">
        <f>(Table13[[#This Row],[Unit Price]]*Table13[[#This Row],[No.of Units]])*18%</f>
        <v>61199.28</v>
      </c>
      <c r="T1202" s="22" t="s">
        <v>1507</v>
      </c>
    </row>
    <row r="1203" spans="2:20" x14ac:dyDescent="0.3">
      <c r="B1203" s="5" t="s">
        <v>1130</v>
      </c>
      <c r="C1203" s="1">
        <v>8829622</v>
      </c>
      <c r="D1203" s="1">
        <v>41</v>
      </c>
      <c r="E1203" s="1" t="s">
        <v>12</v>
      </c>
      <c r="F1203" s="16">
        <v>45938</v>
      </c>
      <c r="G1203" s="1" t="s">
        <v>1473</v>
      </c>
      <c r="H1203" s="1" t="s">
        <v>1471</v>
      </c>
      <c r="I1203" s="17" t="s">
        <v>1504</v>
      </c>
      <c r="J1203" s="18" t="s">
        <v>25</v>
      </c>
      <c r="K1203" s="19" t="s">
        <v>26</v>
      </c>
      <c r="L1203" s="19" t="s">
        <v>49</v>
      </c>
      <c r="M1203" s="20">
        <v>5</v>
      </c>
      <c r="N1203" s="21">
        <v>69999</v>
      </c>
      <c r="O1203" s="22">
        <v>8</v>
      </c>
      <c r="P1203" s="23">
        <v>321995.40000000002</v>
      </c>
      <c r="Q1203" s="22">
        <v>4.8</v>
      </c>
      <c r="R1203" s="22">
        <v>20</v>
      </c>
      <c r="S1203" s="23">
        <f>(Table13[[#This Row],[Unit Price]]*Table13[[#This Row],[No.of Units]])*18%</f>
        <v>62999.1</v>
      </c>
      <c r="T1203" s="22" t="s">
        <v>1507</v>
      </c>
    </row>
    <row r="1204" spans="2:20" x14ac:dyDescent="0.3">
      <c r="B1204" s="5" t="s">
        <v>1131</v>
      </c>
      <c r="C1204" s="1">
        <v>4573619</v>
      </c>
      <c r="D1204" s="1">
        <v>39</v>
      </c>
      <c r="E1204" s="1" t="s">
        <v>12</v>
      </c>
      <c r="F1204" s="16">
        <v>45938</v>
      </c>
      <c r="G1204" s="1" t="s">
        <v>1470</v>
      </c>
      <c r="H1204" s="1" t="s">
        <v>1482</v>
      </c>
      <c r="I1204" s="17" t="s">
        <v>1503</v>
      </c>
      <c r="J1204" s="18" t="s">
        <v>28</v>
      </c>
      <c r="K1204" s="19" t="s">
        <v>26</v>
      </c>
      <c r="L1204" s="19" t="s">
        <v>49</v>
      </c>
      <c r="M1204" s="20">
        <v>7</v>
      </c>
      <c r="N1204" s="21">
        <v>42999</v>
      </c>
      <c r="O1204" s="22">
        <v>15</v>
      </c>
      <c r="P1204" s="23">
        <v>255844.05</v>
      </c>
      <c r="Q1204" s="22">
        <v>4.5999999999999996</v>
      </c>
      <c r="R1204" s="22">
        <v>20</v>
      </c>
      <c r="S1204" s="23">
        <f>(Table13[[#This Row],[Unit Price]]*Table13[[#This Row],[No.of Units]])*18%</f>
        <v>54178.74</v>
      </c>
      <c r="T1204" s="22" t="s">
        <v>1507</v>
      </c>
    </row>
    <row r="1205" spans="2:20" x14ac:dyDescent="0.3">
      <c r="B1205" s="5" t="s">
        <v>1132</v>
      </c>
      <c r="C1205" s="1">
        <v>9927746</v>
      </c>
      <c r="D1205" s="1">
        <v>26</v>
      </c>
      <c r="E1205" s="1" t="s">
        <v>12</v>
      </c>
      <c r="F1205" s="16">
        <v>45945</v>
      </c>
      <c r="G1205" s="1" t="s">
        <v>1470</v>
      </c>
      <c r="H1205" s="1" t="s">
        <v>1480</v>
      </c>
      <c r="I1205" s="17" t="s">
        <v>1502</v>
      </c>
      <c r="J1205" s="18" t="s">
        <v>13</v>
      </c>
      <c r="K1205" s="19" t="s">
        <v>14</v>
      </c>
      <c r="L1205" s="19" t="s">
        <v>15</v>
      </c>
      <c r="M1205" s="20">
        <v>5</v>
      </c>
      <c r="N1205" s="21">
        <v>99999</v>
      </c>
      <c r="O1205" s="22">
        <v>10</v>
      </c>
      <c r="P1205" s="23">
        <v>449995.5</v>
      </c>
      <c r="Q1205" s="22">
        <v>4.7</v>
      </c>
      <c r="R1205" s="22">
        <v>20</v>
      </c>
      <c r="S1205" s="23">
        <f>(Table13[[#This Row],[Unit Price]]*Table13[[#This Row],[No.of Units]])*18%</f>
        <v>89999.099999999991</v>
      </c>
      <c r="T1205" s="22" t="s">
        <v>1508</v>
      </c>
    </row>
    <row r="1206" spans="2:20" x14ac:dyDescent="0.3">
      <c r="B1206" s="5" t="s">
        <v>1133</v>
      </c>
      <c r="C1206" s="1">
        <v>4786933</v>
      </c>
      <c r="D1206" s="1">
        <v>72</v>
      </c>
      <c r="E1206" s="1" t="s">
        <v>20</v>
      </c>
      <c r="F1206" s="16">
        <v>45945</v>
      </c>
      <c r="G1206" s="1" t="s">
        <v>1470</v>
      </c>
      <c r="H1206" s="1" t="s">
        <v>1471</v>
      </c>
      <c r="I1206" s="17" t="s">
        <v>1503</v>
      </c>
      <c r="J1206" s="18" t="s">
        <v>17</v>
      </c>
      <c r="K1206" s="19" t="s">
        <v>18</v>
      </c>
      <c r="L1206" s="19" t="s">
        <v>15</v>
      </c>
      <c r="M1206" s="20">
        <v>36</v>
      </c>
      <c r="N1206" s="21">
        <v>4999</v>
      </c>
      <c r="O1206" s="22">
        <v>18</v>
      </c>
      <c r="P1206" s="23">
        <v>147570.48000000001</v>
      </c>
      <c r="Q1206" s="22">
        <v>4.4000000000000004</v>
      </c>
      <c r="R1206" s="22">
        <v>20</v>
      </c>
      <c r="S1206" s="23">
        <f>(Table13[[#This Row],[Unit Price]]*Table13[[#This Row],[No.of Units]])*18%</f>
        <v>32393.52</v>
      </c>
      <c r="T1206" s="22" t="s">
        <v>1507</v>
      </c>
    </row>
    <row r="1207" spans="2:20" x14ac:dyDescent="0.3">
      <c r="B1207" s="5" t="s">
        <v>1133</v>
      </c>
      <c r="C1207" s="1">
        <v>4786933</v>
      </c>
      <c r="D1207" s="1">
        <v>21</v>
      </c>
      <c r="E1207" s="1" t="s">
        <v>12</v>
      </c>
      <c r="F1207" s="16">
        <v>45945</v>
      </c>
      <c r="G1207" s="1" t="s">
        <v>1470</v>
      </c>
      <c r="H1207" s="1" t="s">
        <v>1482</v>
      </c>
      <c r="I1207" s="17" t="s">
        <v>1504</v>
      </c>
      <c r="J1207" s="18" t="s">
        <v>21</v>
      </c>
      <c r="K1207" s="19" t="s">
        <v>18</v>
      </c>
      <c r="L1207" s="19" t="s">
        <v>15</v>
      </c>
      <c r="M1207" s="20">
        <v>12</v>
      </c>
      <c r="N1207" s="21">
        <v>24900</v>
      </c>
      <c r="O1207" s="22">
        <v>5</v>
      </c>
      <c r="P1207" s="23">
        <v>283860</v>
      </c>
      <c r="Q1207" s="22">
        <v>4.8</v>
      </c>
      <c r="R1207" s="22">
        <v>20</v>
      </c>
      <c r="S1207" s="23">
        <f>(Table13[[#This Row],[Unit Price]]*Table13[[#This Row],[No.of Units]])*18%</f>
        <v>53784</v>
      </c>
      <c r="T1207" s="22" t="s">
        <v>1508</v>
      </c>
    </row>
    <row r="1208" spans="2:20" x14ac:dyDescent="0.3">
      <c r="B1208" s="5" t="s">
        <v>1133</v>
      </c>
      <c r="C1208" s="1">
        <v>4786933</v>
      </c>
      <c r="D1208" s="1">
        <v>30</v>
      </c>
      <c r="E1208" s="1" t="s">
        <v>12</v>
      </c>
      <c r="F1208" s="16">
        <v>45945</v>
      </c>
      <c r="G1208" s="1" t="s">
        <v>1470</v>
      </c>
      <c r="H1208" s="1" t="s">
        <v>1482</v>
      </c>
      <c r="I1208" s="17" t="s">
        <v>1505</v>
      </c>
      <c r="J1208" s="18" t="s">
        <v>23</v>
      </c>
      <c r="K1208" s="19" t="s">
        <v>14</v>
      </c>
      <c r="L1208" s="19" t="s">
        <v>15</v>
      </c>
      <c r="M1208" s="20">
        <v>4</v>
      </c>
      <c r="N1208" s="21">
        <v>84999</v>
      </c>
      <c r="O1208" s="22">
        <v>12</v>
      </c>
      <c r="P1208" s="23">
        <v>299196.48</v>
      </c>
      <c r="Q1208" s="22">
        <v>4.5</v>
      </c>
      <c r="R1208" s="22">
        <v>20</v>
      </c>
      <c r="S1208" s="23">
        <f>(Table13[[#This Row],[Unit Price]]*Table13[[#This Row],[No.of Units]])*18%</f>
        <v>61199.28</v>
      </c>
      <c r="T1208" s="22" t="s">
        <v>1508</v>
      </c>
    </row>
    <row r="1209" spans="2:20" x14ac:dyDescent="0.3">
      <c r="B1209" s="5" t="s">
        <v>1133</v>
      </c>
      <c r="C1209" s="1">
        <v>4786933</v>
      </c>
      <c r="D1209" s="1">
        <v>71</v>
      </c>
      <c r="E1209" s="1" t="s">
        <v>20</v>
      </c>
      <c r="F1209" s="16">
        <v>45945</v>
      </c>
      <c r="G1209" s="1" t="s">
        <v>1470</v>
      </c>
      <c r="H1209" s="1" t="s">
        <v>1471</v>
      </c>
      <c r="I1209" s="17" t="s">
        <v>1504</v>
      </c>
      <c r="J1209" s="18" t="s">
        <v>25</v>
      </c>
      <c r="K1209" s="19" t="s">
        <v>26</v>
      </c>
      <c r="L1209" s="19" t="s">
        <v>15</v>
      </c>
      <c r="M1209" s="20">
        <v>3</v>
      </c>
      <c r="N1209" s="21">
        <v>69999</v>
      </c>
      <c r="O1209" s="22">
        <v>8</v>
      </c>
      <c r="P1209" s="23">
        <v>193197.24</v>
      </c>
      <c r="Q1209" s="22">
        <v>4.8</v>
      </c>
      <c r="R1209" s="22">
        <v>20</v>
      </c>
      <c r="S1209" s="23">
        <f>(Table13[[#This Row],[Unit Price]]*Table13[[#This Row],[No.of Units]])*18%</f>
        <v>37799.46</v>
      </c>
      <c r="T1209" s="22" t="s">
        <v>1508</v>
      </c>
    </row>
    <row r="1210" spans="2:20" x14ac:dyDescent="0.3">
      <c r="B1210" s="5" t="s">
        <v>1134</v>
      </c>
      <c r="C1210" s="1">
        <v>7002542</v>
      </c>
      <c r="D1210" s="1">
        <v>22</v>
      </c>
      <c r="E1210" s="1" t="s">
        <v>12</v>
      </c>
      <c r="F1210" s="16">
        <v>45945</v>
      </c>
      <c r="G1210" s="1" t="s">
        <v>1470</v>
      </c>
      <c r="H1210" s="1" t="s">
        <v>1471</v>
      </c>
      <c r="I1210" s="17" t="s">
        <v>1503</v>
      </c>
      <c r="J1210" s="18" t="s">
        <v>28</v>
      </c>
      <c r="K1210" s="19" t="s">
        <v>26</v>
      </c>
      <c r="L1210" s="19" t="s">
        <v>15</v>
      </c>
      <c r="M1210" s="20">
        <v>9</v>
      </c>
      <c r="N1210" s="21">
        <v>42999</v>
      </c>
      <c r="O1210" s="22">
        <v>15</v>
      </c>
      <c r="P1210" s="23">
        <v>328942.34999999998</v>
      </c>
      <c r="Q1210" s="22">
        <v>4.5999999999999996</v>
      </c>
      <c r="R1210" s="22">
        <v>20</v>
      </c>
      <c r="S1210" s="23">
        <f>(Table13[[#This Row],[Unit Price]]*Table13[[#This Row],[No.of Units]])*18%</f>
        <v>69658.38</v>
      </c>
      <c r="T1210" s="22" t="s">
        <v>1508</v>
      </c>
    </row>
    <row r="1211" spans="2:20" x14ac:dyDescent="0.3">
      <c r="B1211" s="5" t="s">
        <v>1135</v>
      </c>
      <c r="C1211" s="1">
        <v>6834677</v>
      </c>
      <c r="D1211" s="1">
        <v>32</v>
      </c>
      <c r="E1211" s="1" t="s">
        <v>12</v>
      </c>
      <c r="F1211" s="16">
        <v>45945</v>
      </c>
      <c r="G1211" s="1" t="s">
        <v>1470</v>
      </c>
      <c r="H1211" s="1" t="s">
        <v>1471</v>
      </c>
      <c r="I1211" s="17" t="s">
        <v>1502</v>
      </c>
      <c r="J1211" s="18" t="s">
        <v>13</v>
      </c>
      <c r="K1211" s="19" t="s">
        <v>14</v>
      </c>
      <c r="L1211" s="19" t="s">
        <v>29</v>
      </c>
      <c r="M1211" s="20">
        <v>5</v>
      </c>
      <c r="N1211" s="21">
        <v>99999</v>
      </c>
      <c r="O1211" s="22">
        <v>10</v>
      </c>
      <c r="P1211" s="23">
        <v>449995.5</v>
      </c>
      <c r="Q1211" s="22">
        <v>4.7</v>
      </c>
      <c r="R1211" s="22">
        <v>20</v>
      </c>
      <c r="S1211" s="23">
        <f>(Table13[[#This Row],[Unit Price]]*Table13[[#This Row],[No.of Units]])*18%</f>
        <v>89999.099999999991</v>
      </c>
      <c r="T1211" s="22" t="s">
        <v>1507</v>
      </c>
    </row>
    <row r="1212" spans="2:20" x14ac:dyDescent="0.3">
      <c r="B1212" s="5" t="s">
        <v>1136</v>
      </c>
      <c r="C1212" s="1">
        <v>5535723</v>
      </c>
      <c r="D1212" s="1">
        <v>71</v>
      </c>
      <c r="E1212" s="1" t="s">
        <v>20</v>
      </c>
      <c r="F1212" s="16">
        <v>45945</v>
      </c>
      <c r="G1212" s="1" t="s">
        <v>1470</v>
      </c>
      <c r="H1212" s="1" t="s">
        <v>1472</v>
      </c>
      <c r="I1212" s="17" t="s">
        <v>1503</v>
      </c>
      <c r="J1212" s="18" t="s">
        <v>17</v>
      </c>
      <c r="K1212" s="19" t="s">
        <v>18</v>
      </c>
      <c r="L1212" s="19" t="s">
        <v>29</v>
      </c>
      <c r="M1212" s="20">
        <v>33</v>
      </c>
      <c r="N1212" s="21">
        <v>4999</v>
      </c>
      <c r="O1212" s="22">
        <v>18</v>
      </c>
      <c r="P1212" s="23">
        <v>135272.94</v>
      </c>
      <c r="Q1212" s="22">
        <v>4.4000000000000004</v>
      </c>
      <c r="R1212" s="22">
        <v>20</v>
      </c>
      <c r="S1212" s="23">
        <f>(Table13[[#This Row],[Unit Price]]*Table13[[#This Row],[No.of Units]])*18%</f>
        <v>29694.059999999998</v>
      </c>
      <c r="T1212" s="22" t="s">
        <v>1508</v>
      </c>
    </row>
    <row r="1213" spans="2:20" x14ac:dyDescent="0.3">
      <c r="B1213" s="5" t="s">
        <v>1137</v>
      </c>
      <c r="C1213" s="1">
        <v>8979469</v>
      </c>
      <c r="D1213" s="1">
        <v>76</v>
      </c>
      <c r="E1213" s="1" t="s">
        <v>20</v>
      </c>
      <c r="F1213" s="16">
        <v>45945</v>
      </c>
      <c r="G1213" s="1" t="s">
        <v>1470</v>
      </c>
      <c r="H1213" s="1" t="s">
        <v>1471</v>
      </c>
      <c r="I1213" s="17" t="s">
        <v>1504</v>
      </c>
      <c r="J1213" s="18" t="s">
        <v>21</v>
      </c>
      <c r="K1213" s="19" t="s">
        <v>18</v>
      </c>
      <c r="L1213" s="19" t="s">
        <v>29</v>
      </c>
      <c r="M1213" s="20">
        <v>10</v>
      </c>
      <c r="N1213" s="21">
        <v>24900</v>
      </c>
      <c r="O1213" s="22">
        <v>5</v>
      </c>
      <c r="P1213" s="23">
        <v>236550</v>
      </c>
      <c r="Q1213" s="22">
        <v>4.8</v>
      </c>
      <c r="R1213" s="22">
        <v>20</v>
      </c>
      <c r="S1213" s="23">
        <f>(Table13[[#This Row],[Unit Price]]*Table13[[#This Row],[No.of Units]])*18%</f>
        <v>44820</v>
      </c>
      <c r="T1213" s="22" t="s">
        <v>1507</v>
      </c>
    </row>
    <row r="1214" spans="2:20" x14ac:dyDescent="0.3">
      <c r="B1214" s="5" t="s">
        <v>1138</v>
      </c>
      <c r="C1214" s="1">
        <v>7768870</v>
      </c>
      <c r="D1214" s="1">
        <v>30</v>
      </c>
      <c r="E1214" s="1" t="s">
        <v>12</v>
      </c>
      <c r="F1214" s="16">
        <v>45945</v>
      </c>
      <c r="G1214" s="1" t="s">
        <v>1473</v>
      </c>
      <c r="H1214" s="1" t="s">
        <v>1472</v>
      </c>
      <c r="I1214" s="17" t="s">
        <v>1505</v>
      </c>
      <c r="J1214" s="18" t="s">
        <v>23</v>
      </c>
      <c r="K1214" s="19" t="s">
        <v>14</v>
      </c>
      <c r="L1214" s="19" t="s">
        <v>29</v>
      </c>
      <c r="M1214" s="20">
        <v>3</v>
      </c>
      <c r="N1214" s="21">
        <v>84999</v>
      </c>
      <c r="O1214" s="22">
        <v>12</v>
      </c>
      <c r="P1214" s="23">
        <v>224397.36</v>
      </c>
      <c r="Q1214" s="22">
        <v>4.5</v>
      </c>
      <c r="R1214" s="22">
        <v>20</v>
      </c>
      <c r="S1214" s="23">
        <f>(Table13[[#This Row],[Unit Price]]*Table13[[#This Row],[No.of Units]])*18%</f>
        <v>45899.46</v>
      </c>
      <c r="T1214" s="22" t="s">
        <v>1508</v>
      </c>
    </row>
    <row r="1215" spans="2:20" x14ac:dyDescent="0.3">
      <c r="B1215" s="5" t="s">
        <v>1139</v>
      </c>
      <c r="C1215" s="1">
        <v>2713833</v>
      </c>
      <c r="D1215" s="1">
        <v>32</v>
      </c>
      <c r="E1215" s="1" t="s">
        <v>12</v>
      </c>
      <c r="F1215" s="16">
        <v>45945</v>
      </c>
      <c r="G1215" s="1" t="s">
        <v>1470</v>
      </c>
      <c r="H1215" s="1" t="s">
        <v>1471</v>
      </c>
      <c r="I1215" s="17" t="s">
        <v>1504</v>
      </c>
      <c r="J1215" s="18" t="s">
        <v>25</v>
      </c>
      <c r="K1215" s="19" t="s">
        <v>26</v>
      </c>
      <c r="L1215" s="19" t="s">
        <v>29</v>
      </c>
      <c r="M1215" s="20">
        <v>3</v>
      </c>
      <c r="N1215" s="21">
        <v>69999</v>
      </c>
      <c r="O1215" s="22">
        <v>8</v>
      </c>
      <c r="P1215" s="23">
        <v>193197.24</v>
      </c>
      <c r="Q1215" s="22">
        <v>4.8</v>
      </c>
      <c r="R1215" s="22">
        <v>20</v>
      </c>
      <c r="S1215" s="23">
        <f>(Table13[[#This Row],[Unit Price]]*Table13[[#This Row],[No.of Units]])*18%</f>
        <v>37799.46</v>
      </c>
      <c r="T1215" s="22" t="s">
        <v>1507</v>
      </c>
    </row>
    <row r="1216" spans="2:20" x14ac:dyDescent="0.3">
      <c r="B1216" s="5" t="s">
        <v>1140</v>
      </c>
      <c r="C1216" s="1">
        <v>4803692</v>
      </c>
      <c r="D1216" s="1">
        <v>39</v>
      </c>
      <c r="E1216" s="1" t="s">
        <v>12</v>
      </c>
      <c r="F1216" s="16">
        <v>45945</v>
      </c>
      <c r="G1216" s="1" t="s">
        <v>1470</v>
      </c>
      <c r="H1216" s="1" t="s">
        <v>1472</v>
      </c>
      <c r="I1216" s="17" t="s">
        <v>1503</v>
      </c>
      <c r="J1216" s="18" t="s">
        <v>28</v>
      </c>
      <c r="K1216" s="19" t="s">
        <v>26</v>
      </c>
      <c r="L1216" s="19" t="s">
        <v>29</v>
      </c>
      <c r="M1216" s="20">
        <v>9</v>
      </c>
      <c r="N1216" s="21">
        <v>42999</v>
      </c>
      <c r="O1216" s="22">
        <v>15</v>
      </c>
      <c r="P1216" s="23">
        <v>328942.34999999998</v>
      </c>
      <c r="Q1216" s="22">
        <v>4.5999999999999996</v>
      </c>
      <c r="R1216" s="22">
        <v>20</v>
      </c>
      <c r="S1216" s="23">
        <f>(Table13[[#This Row],[Unit Price]]*Table13[[#This Row],[No.of Units]])*18%</f>
        <v>69658.38</v>
      </c>
      <c r="T1216" s="22" t="s">
        <v>1508</v>
      </c>
    </row>
    <row r="1217" spans="2:20" x14ac:dyDescent="0.3">
      <c r="B1217" s="5" t="s">
        <v>1141</v>
      </c>
      <c r="C1217" s="1">
        <v>3727132</v>
      </c>
      <c r="D1217" s="1">
        <v>26</v>
      </c>
      <c r="E1217" s="1" t="s">
        <v>12</v>
      </c>
      <c r="F1217" s="16">
        <v>45945</v>
      </c>
      <c r="G1217" s="1" t="s">
        <v>1470</v>
      </c>
      <c r="H1217" s="1" t="s">
        <v>1472</v>
      </c>
      <c r="I1217" s="17" t="s">
        <v>1502</v>
      </c>
      <c r="J1217" s="18" t="s">
        <v>13</v>
      </c>
      <c r="K1217" s="19" t="s">
        <v>14</v>
      </c>
      <c r="L1217" s="19" t="s">
        <v>35</v>
      </c>
      <c r="M1217" s="20">
        <v>6</v>
      </c>
      <c r="N1217" s="21">
        <v>99999</v>
      </c>
      <c r="O1217" s="22">
        <v>10</v>
      </c>
      <c r="P1217" s="23">
        <v>539994.6</v>
      </c>
      <c r="Q1217" s="22">
        <v>4.7</v>
      </c>
      <c r="R1217" s="22">
        <v>20</v>
      </c>
      <c r="S1217" s="23">
        <f>(Table13[[#This Row],[Unit Price]]*Table13[[#This Row],[No.of Units]])*18%</f>
        <v>107998.92</v>
      </c>
      <c r="T1217" s="22" t="s">
        <v>1508</v>
      </c>
    </row>
    <row r="1218" spans="2:20" x14ac:dyDescent="0.3">
      <c r="B1218" s="5" t="s">
        <v>1142</v>
      </c>
      <c r="C1218" s="1">
        <v>2714485</v>
      </c>
      <c r="D1218" s="1">
        <v>39</v>
      </c>
      <c r="E1218" s="1" t="s">
        <v>12</v>
      </c>
      <c r="F1218" s="16">
        <v>45945</v>
      </c>
      <c r="G1218" s="1" t="s">
        <v>1470</v>
      </c>
      <c r="H1218" s="1" t="s">
        <v>1472</v>
      </c>
      <c r="I1218" s="17" t="s">
        <v>1503</v>
      </c>
      <c r="J1218" s="18" t="s">
        <v>17</v>
      </c>
      <c r="K1218" s="19" t="s">
        <v>18</v>
      </c>
      <c r="L1218" s="19" t="s">
        <v>35</v>
      </c>
      <c r="M1218" s="20">
        <v>26</v>
      </c>
      <c r="N1218" s="21">
        <v>4999</v>
      </c>
      <c r="O1218" s="22">
        <v>18</v>
      </c>
      <c r="P1218" s="23">
        <v>106578.68</v>
      </c>
      <c r="Q1218" s="22">
        <v>4.4000000000000004</v>
      </c>
      <c r="R1218" s="22">
        <v>20</v>
      </c>
      <c r="S1218" s="23">
        <f>(Table13[[#This Row],[Unit Price]]*Table13[[#This Row],[No.of Units]])*18%</f>
        <v>23395.32</v>
      </c>
      <c r="T1218" s="22" t="s">
        <v>1508</v>
      </c>
    </row>
    <row r="1219" spans="2:20" x14ac:dyDescent="0.3">
      <c r="B1219" s="5" t="s">
        <v>1143</v>
      </c>
      <c r="C1219" s="1">
        <v>1518509</v>
      </c>
      <c r="D1219" s="1">
        <v>32</v>
      </c>
      <c r="E1219" s="1" t="s">
        <v>12</v>
      </c>
      <c r="F1219" s="16">
        <v>45945</v>
      </c>
      <c r="G1219" s="1" t="s">
        <v>1470</v>
      </c>
      <c r="H1219" s="1" t="s">
        <v>1482</v>
      </c>
      <c r="I1219" s="17" t="s">
        <v>1504</v>
      </c>
      <c r="J1219" s="18" t="s">
        <v>21</v>
      </c>
      <c r="K1219" s="19" t="s">
        <v>18</v>
      </c>
      <c r="L1219" s="19" t="s">
        <v>35</v>
      </c>
      <c r="M1219" s="20">
        <v>11</v>
      </c>
      <c r="N1219" s="21">
        <v>24900</v>
      </c>
      <c r="O1219" s="22">
        <v>5</v>
      </c>
      <c r="P1219" s="23">
        <v>260205</v>
      </c>
      <c r="Q1219" s="22">
        <v>4.8</v>
      </c>
      <c r="R1219" s="22">
        <v>20</v>
      </c>
      <c r="S1219" s="23">
        <f>(Table13[[#This Row],[Unit Price]]*Table13[[#This Row],[No.of Units]])*18%</f>
        <v>49302</v>
      </c>
      <c r="T1219" s="22" t="s">
        <v>1508</v>
      </c>
    </row>
    <row r="1220" spans="2:20" x14ac:dyDescent="0.3">
      <c r="B1220" s="5" t="s">
        <v>1144</v>
      </c>
      <c r="C1220" s="1">
        <v>8172172</v>
      </c>
      <c r="D1220" s="1">
        <v>43</v>
      </c>
      <c r="E1220" s="1" t="s">
        <v>12</v>
      </c>
      <c r="F1220" s="16">
        <v>45945</v>
      </c>
      <c r="G1220" s="1" t="s">
        <v>1470</v>
      </c>
      <c r="H1220" s="1" t="s">
        <v>1471</v>
      </c>
      <c r="I1220" s="17" t="s">
        <v>1505</v>
      </c>
      <c r="J1220" s="18" t="s">
        <v>23</v>
      </c>
      <c r="K1220" s="19" t="s">
        <v>14</v>
      </c>
      <c r="L1220" s="19" t="s">
        <v>35</v>
      </c>
      <c r="M1220" s="20">
        <v>4</v>
      </c>
      <c r="N1220" s="21">
        <v>84999</v>
      </c>
      <c r="O1220" s="22">
        <v>12</v>
      </c>
      <c r="P1220" s="23">
        <v>299196.48</v>
      </c>
      <c r="Q1220" s="22">
        <v>4.5</v>
      </c>
      <c r="R1220" s="22">
        <v>20</v>
      </c>
      <c r="S1220" s="23">
        <f>(Table13[[#This Row],[Unit Price]]*Table13[[#This Row],[No.of Units]])*18%</f>
        <v>61199.28</v>
      </c>
      <c r="T1220" s="22" t="s">
        <v>1508</v>
      </c>
    </row>
    <row r="1221" spans="2:20" x14ac:dyDescent="0.3">
      <c r="B1221" s="5" t="s">
        <v>1145</v>
      </c>
      <c r="C1221" s="1">
        <v>2616604</v>
      </c>
      <c r="D1221" s="1">
        <v>45</v>
      </c>
      <c r="E1221" s="1" t="s">
        <v>12</v>
      </c>
      <c r="F1221" s="16">
        <v>45945</v>
      </c>
      <c r="G1221" s="1" t="s">
        <v>1474</v>
      </c>
      <c r="H1221" s="1" t="s">
        <v>1472</v>
      </c>
      <c r="I1221" s="17" t="s">
        <v>1504</v>
      </c>
      <c r="J1221" s="18" t="s">
        <v>25</v>
      </c>
      <c r="K1221" s="19" t="s">
        <v>26</v>
      </c>
      <c r="L1221" s="19" t="s">
        <v>35</v>
      </c>
      <c r="M1221" s="20">
        <v>3</v>
      </c>
      <c r="N1221" s="21">
        <v>69999</v>
      </c>
      <c r="O1221" s="22">
        <v>8</v>
      </c>
      <c r="P1221" s="23">
        <v>193197.24</v>
      </c>
      <c r="Q1221" s="22">
        <v>4.8</v>
      </c>
      <c r="R1221" s="22">
        <v>20</v>
      </c>
      <c r="S1221" s="23">
        <f>(Table13[[#This Row],[Unit Price]]*Table13[[#This Row],[No.of Units]])*18%</f>
        <v>37799.46</v>
      </c>
      <c r="T1221" s="22" t="s">
        <v>1507</v>
      </c>
    </row>
    <row r="1222" spans="2:20" x14ac:dyDescent="0.3">
      <c r="B1222" s="5" t="s">
        <v>1146</v>
      </c>
      <c r="C1222" s="1">
        <v>6767779</v>
      </c>
      <c r="D1222" s="1">
        <v>23</v>
      </c>
      <c r="E1222" s="1" t="s">
        <v>12</v>
      </c>
      <c r="F1222" s="16">
        <v>45945</v>
      </c>
      <c r="G1222" s="1" t="s">
        <v>1470</v>
      </c>
      <c r="H1222" s="1" t="s">
        <v>1483</v>
      </c>
      <c r="I1222" s="17" t="s">
        <v>1503</v>
      </c>
      <c r="J1222" s="18" t="s">
        <v>28</v>
      </c>
      <c r="K1222" s="19" t="s">
        <v>26</v>
      </c>
      <c r="L1222" s="19" t="s">
        <v>35</v>
      </c>
      <c r="M1222" s="20">
        <v>8</v>
      </c>
      <c r="N1222" s="21">
        <v>42999</v>
      </c>
      <c r="O1222" s="22">
        <v>15</v>
      </c>
      <c r="P1222" s="23">
        <v>292393.2</v>
      </c>
      <c r="Q1222" s="22">
        <v>4.5999999999999996</v>
      </c>
      <c r="R1222" s="22">
        <v>20</v>
      </c>
      <c r="S1222" s="23">
        <f>(Table13[[#This Row],[Unit Price]]*Table13[[#This Row],[No.of Units]])*18%</f>
        <v>61918.559999999998</v>
      </c>
      <c r="T1222" s="22" t="s">
        <v>1507</v>
      </c>
    </row>
    <row r="1223" spans="2:20" x14ac:dyDescent="0.3">
      <c r="B1223" s="5" t="s">
        <v>1147</v>
      </c>
      <c r="C1223" s="1">
        <v>3501607</v>
      </c>
      <c r="D1223" s="1">
        <v>35</v>
      </c>
      <c r="E1223" s="1" t="s">
        <v>12</v>
      </c>
      <c r="F1223" s="16">
        <v>45945</v>
      </c>
      <c r="G1223" s="1" t="s">
        <v>1470</v>
      </c>
      <c r="H1223" s="1" t="s">
        <v>1471</v>
      </c>
      <c r="I1223" s="17" t="s">
        <v>1502</v>
      </c>
      <c r="J1223" s="18" t="s">
        <v>13</v>
      </c>
      <c r="K1223" s="19" t="s">
        <v>14</v>
      </c>
      <c r="L1223" s="19" t="s">
        <v>42</v>
      </c>
      <c r="M1223" s="20">
        <v>3</v>
      </c>
      <c r="N1223" s="21">
        <v>99999</v>
      </c>
      <c r="O1223" s="22">
        <v>10</v>
      </c>
      <c r="P1223" s="23">
        <v>269997.3</v>
      </c>
      <c r="Q1223" s="22">
        <v>4.7</v>
      </c>
      <c r="R1223" s="22">
        <v>20</v>
      </c>
      <c r="S1223" s="23">
        <f>(Table13[[#This Row],[Unit Price]]*Table13[[#This Row],[No.of Units]])*18%</f>
        <v>53999.46</v>
      </c>
      <c r="T1223" s="22" t="s">
        <v>1508</v>
      </c>
    </row>
    <row r="1224" spans="2:20" x14ac:dyDescent="0.3">
      <c r="B1224" s="5" t="s">
        <v>1148</v>
      </c>
      <c r="C1224" s="1">
        <v>3838385</v>
      </c>
      <c r="D1224" s="1">
        <v>48</v>
      </c>
      <c r="E1224" s="1" t="s">
        <v>12</v>
      </c>
      <c r="F1224" s="16">
        <v>45945</v>
      </c>
      <c r="G1224" s="1" t="s">
        <v>1470</v>
      </c>
      <c r="H1224" s="1" t="s">
        <v>1471</v>
      </c>
      <c r="I1224" s="17" t="s">
        <v>1503</v>
      </c>
      <c r="J1224" s="18" t="s">
        <v>17</v>
      </c>
      <c r="K1224" s="19" t="s">
        <v>18</v>
      </c>
      <c r="L1224" s="19" t="s">
        <v>42</v>
      </c>
      <c r="M1224" s="20">
        <v>41</v>
      </c>
      <c r="N1224" s="21">
        <v>4999</v>
      </c>
      <c r="O1224" s="22">
        <v>18</v>
      </c>
      <c r="P1224" s="23">
        <v>168066.38</v>
      </c>
      <c r="Q1224" s="22">
        <v>4.4000000000000004</v>
      </c>
      <c r="R1224" s="22">
        <v>20</v>
      </c>
      <c r="S1224" s="23">
        <f>(Table13[[#This Row],[Unit Price]]*Table13[[#This Row],[No.of Units]])*18%</f>
        <v>36892.619999999995</v>
      </c>
      <c r="T1224" s="22" t="s">
        <v>1508</v>
      </c>
    </row>
    <row r="1225" spans="2:20" x14ac:dyDescent="0.3">
      <c r="B1225" s="5" t="s">
        <v>1149</v>
      </c>
      <c r="C1225" s="1">
        <v>6957650</v>
      </c>
      <c r="D1225" s="1">
        <v>22</v>
      </c>
      <c r="E1225" s="1" t="s">
        <v>12</v>
      </c>
      <c r="F1225" s="16">
        <v>45945</v>
      </c>
      <c r="G1225" s="1" t="s">
        <v>1470</v>
      </c>
      <c r="H1225" s="1" t="s">
        <v>1471</v>
      </c>
      <c r="I1225" s="17" t="s">
        <v>1504</v>
      </c>
      <c r="J1225" s="18" t="s">
        <v>21</v>
      </c>
      <c r="K1225" s="19" t="s">
        <v>18</v>
      </c>
      <c r="L1225" s="19" t="s">
        <v>42</v>
      </c>
      <c r="M1225" s="20">
        <v>8</v>
      </c>
      <c r="N1225" s="21">
        <v>24900</v>
      </c>
      <c r="O1225" s="22">
        <v>5</v>
      </c>
      <c r="P1225" s="23">
        <v>189240</v>
      </c>
      <c r="Q1225" s="22">
        <v>4.8</v>
      </c>
      <c r="R1225" s="22">
        <v>20</v>
      </c>
      <c r="S1225" s="23">
        <f>(Table13[[#This Row],[Unit Price]]*Table13[[#This Row],[No.of Units]])*18%</f>
        <v>35856</v>
      </c>
      <c r="T1225" s="22" t="s">
        <v>1508</v>
      </c>
    </row>
    <row r="1226" spans="2:20" x14ac:dyDescent="0.3">
      <c r="B1226" s="5" t="s">
        <v>1150</v>
      </c>
      <c r="C1226" s="1">
        <v>4245640</v>
      </c>
      <c r="D1226" s="1">
        <v>26</v>
      </c>
      <c r="E1226" s="1" t="s">
        <v>12</v>
      </c>
      <c r="F1226" s="16">
        <v>45945</v>
      </c>
      <c r="G1226" s="1" t="s">
        <v>1470</v>
      </c>
      <c r="H1226" s="1" t="s">
        <v>1471</v>
      </c>
      <c r="I1226" s="17" t="s">
        <v>1505</v>
      </c>
      <c r="J1226" s="18" t="s">
        <v>23</v>
      </c>
      <c r="K1226" s="19" t="s">
        <v>14</v>
      </c>
      <c r="L1226" s="19" t="s">
        <v>42</v>
      </c>
      <c r="M1226" s="20">
        <v>5</v>
      </c>
      <c r="N1226" s="21">
        <v>84999</v>
      </c>
      <c r="O1226" s="22">
        <v>12</v>
      </c>
      <c r="P1226" s="23">
        <v>373995.6</v>
      </c>
      <c r="Q1226" s="22">
        <v>4.5</v>
      </c>
      <c r="R1226" s="22">
        <v>20</v>
      </c>
      <c r="S1226" s="23">
        <f>(Table13[[#This Row],[Unit Price]]*Table13[[#This Row],[No.of Units]])*18%</f>
        <v>76499.099999999991</v>
      </c>
      <c r="T1226" s="22" t="s">
        <v>1507</v>
      </c>
    </row>
    <row r="1227" spans="2:20" x14ac:dyDescent="0.3">
      <c r="B1227" s="5" t="s">
        <v>1151</v>
      </c>
      <c r="C1227" s="1">
        <v>3967649</v>
      </c>
      <c r="D1227" s="1">
        <v>20</v>
      </c>
      <c r="E1227" s="1" t="s">
        <v>12</v>
      </c>
      <c r="F1227" s="16">
        <v>45945</v>
      </c>
      <c r="G1227" s="1" t="s">
        <v>1470</v>
      </c>
      <c r="H1227" s="1" t="s">
        <v>1471</v>
      </c>
      <c r="I1227" s="17" t="s">
        <v>1504</v>
      </c>
      <c r="J1227" s="18" t="s">
        <v>25</v>
      </c>
      <c r="K1227" s="19" t="s">
        <v>26</v>
      </c>
      <c r="L1227" s="19" t="s">
        <v>42</v>
      </c>
      <c r="M1227" s="20">
        <v>6</v>
      </c>
      <c r="N1227" s="21">
        <v>69999</v>
      </c>
      <c r="O1227" s="22">
        <v>8</v>
      </c>
      <c r="P1227" s="23">
        <v>386394.48</v>
      </c>
      <c r="Q1227" s="22">
        <v>4.8</v>
      </c>
      <c r="R1227" s="22">
        <v>20</v>
      </c>
      <c r="S1227" s="23">
        <f>(Table13[[#This Row],[Unit Price]]*Table13[[#This Row],[No.of Units]])*18%</f>
        <v>75598.92</v>
      </c>
      <c r="T1227" s="22" t="s">
        <v>1508</v>
      </c>
    </row>
    <row r="1228" spans="2:20" x14ac:dyDescent="0.3">
      <c r="B1228" s="5" t="s">
        <v>1152</v>
      </c>
      <c r="C1228" s="1">
        <v>4422587</v>
      </c>
      <c r="D1228" s="1">
        <v>26</v>
      </c>
      <c r="E1228" s="1" t="s">
        <v>12</v>
      </c>
      <c r="F1228" s="16">
        <v>45945</v>
      </c>
      <c r="G1228" s="1" t="s">
        <v>1470</v>
      </c>
      <c r="H1228" s="1" t="s">
        <v>1483</v>
      </c>
      <c r="I1228" s="17" t="s">
        <v>1503</v>
      </c>
      <c r="J1228" s="18" t="s">
        <v>28</v>
      </c>
      <c r="K1228" s="19" t="s">
        <v>26</v>
      </c>
      <c r="L1228" s="19" t="s">
        <v>42</v>
      </c>
      <c r="M1228" s="20">
        <v>7</v>
      </c>
      <c r="N1228" s="21">
        <v>42999</v>
      </c>
      <c r="O1228" s="22">
        <v>15</v>
      </c>
      <c r="P1228" s="23">
        <v>255844.05</v>
      </c>
      <c r="Q1228" s="22">
        <v>4.5999999999999996</v>
      </c>
      <c r="R1228" s="22">
        <v>20</v>
      </c>
      <c r="S1228" s="23">
        <f>(Table13[[#This Row],[Unit Price]]*Table13[[#This Row],[No.of Units]])*18%</f>
        <v>54178.74</v>
      </c>
      <c r="T1228" s="22" t="s">
        <v>1508</v>
      </c>
    </row>
    <row r="1229" spans="2:20" x14ac:dyDescent="0.3">
      <c r="B1229" s="5" t="s">
        <v>1153</v>
      </c>
      <c r="C1229" s="1">
        <v>5787329</v>
      </c>
      <c r="D1229" s="1">
        <v>47</v>
      </c>
      <c r="E1229" s="1" t="s">
        <v>12</v>
      </c>
      <c r="F1229" s="16">
        <v>45945</v>
      </c>
      <c r="G1229" s="1" t="s">
        <v>1474</v>
      </c>
      <c r="H1229" s="1" t="s">
        <v>1471</v>
      </c>
      <c r="I1229" s="17" t="s">
        <v>1502</v>
      </c>
      <c r="J1229" s="18" t="s">
        <v>13</v>
      </c>
      <c r="K1229" s="19" t="s">
        <v>14</v>
      </c>
      <c r="L1229" s="19" t="s">
        <v>49</v>
      </c>
      <c r="M1229" s="20">
        <v>6</v>
      </c>
      <c r="N1229" s="21">
        <v>99999</v>
      </c>
      <c r="O1229" s="22">
        <v>10</v>
      </c>
      <c r="P1229" s="23">
        <v>539994.6</v>
      </c>
      <c r="Q1229" s="22">
        <v>4.7</v>
      </c>
      <c r="R1229" s="22">
        <v>20</v>
      </c>
      <c r="S1229" s="23">
        <f>(Table13[[#This Row],[Unit Price]]*Table13[[#This Row],[No.of Units]])*18%</f>
        <v>107998.92</v>
      </c>
      <c r="T1229" s="22" t="s">
        <v>1508</v>
      </c>
    </row>
    <row r="1230" spans="2:20" x14ac:dyDescent="0.3">
      <c r="B1230" s="5" t="s">
        <v>1154</v>
      </c>
      <c r="C1230" s="1">
        <v>2485892</v>
      </c>
      <c r="D1230" s="1">
        <v>38</v>
      </c>
      <c r="E1230" s="1" t="s">
        <v>12</v>
      </c>
      <c r="F1230" s="16">
        <v>45945</v>
      </c>
      <c r="G1230" s="1" t="s">
        <v>1470</v>
      </c>
      <c r="H1230" s="1" t="s">
        <v>1471</v>
      </c>
      <c r="I1230" s="17" t="s">
        <v>1503</v>
      </c>
      <c r="J1230" s="18" t="s">
        <v>17</v>
      </c>
      <c r="K1230" s="19" t="s">
        <v>18</v>
      </c>
      <c r="L1230" s="19" t="s">
        <v>49</v>
      </c>
      <c r="M1230" s="20">
        <v>43</v>
      </c>
      <c r="N1230" s="21">
        <v>4999</v>
      </c>
      <c r="O1230" s="22">
        <v>18</v>
      </c>
      <c r="P1230" s="23">
        <v>176264.74</v>
      </c>
      <c r="Q1230" s="22">
        <v>4.4000000000000004</v>
      </c>
      <c r="R1230" s="22">
        <v>20</v>
      </c>
      <c r="S1230" s="23">
        <f>(Table13[[#This Row],[Unit Price]]*Table13[[#This Row],[No.of Units]])*18%</f>
        <v>38692.26</v>
      </c>
      <c r="T1230" s="22" t="s">
        <v>1508</v>
      </c>
    </row>
    <row r="1231" spans="2:20" x14ac:dyDescent="0.3">
      <c r="B1231" s="5" t="s">
        <v>1155</v>
      </c>
      <c r="C1231" s="1">
        <v>8503995</v>
      </c>
      <c r="D1231" s="1">
        <v>22</v>
      </c>
      <c r="E1231" s="1" t="s">
        <v>12</v>
      </c>
      <c r="F1231" s="16">
        <v>45945</v>
      </c>
      <c r="G1231" s="1" t="s">
        <v>1470</v>
      </c>
      <c r="H1231" s="1" t="s">
        <v>1482</v>
      </c>
      <c r="I1231" s="17" t="s">
        <v>1504</v>
      </c>
      <c r="J1231" s="18" t="s">
        <v>21</v>
      </c>
      <c r="K1231" s="19" t="s">
        <v>18</v>
      </c>
      <c r="L1231" s="19" t="s">
        <v>49</v>
      </c>
      <c r="M1231" s="20">
        <v>8</v>
      </c>
      <c r="N1231" s="21">
        <v>24900</v>
      </c>
      <c r="O1231" s="22">
        <v>5</v>
      </c>
      <c r="P1231" s="23">
        <v>189240</v>
      </c>
      <c r="Q1231" s="22">
        <v>4.8</v>
      </c>
      <c r="R1231" s="22">
        <v>20</v>
      </c>
      <c r="S1231" s="23">
        <f>(Table13[[#This Row],[Unit Price]]*Table13[[#This Row],[No.of Units]])*18%</f>
        <v>35856</v>
      </c>
      <c r="T1231" s="22" t="s">
        <v>1507</v>
      </c>
    </row>
    <row r="1232" spans="2:20" x14ac:dyDescent="0.3">
      <c r="B1232" s="5" t="s">
        <v>1156</v>
      </c>
      <c r="C1232" s="1">
        <v>6087504</v>
      </c>
      <c r="D1232" s="1">
        <v>35</v>
      </c>
      <c r="E1232" s="1" t="s">
        <v>12</v>
      </c>
      <c r="F1232" s="16">
        <v>45945</v>
      </c>
      <c r="G1232" s="1" t="s">
        <v>1474</v>
      </c>
      <c r="H1232" s="1" t="s">
        <v>1482</v>
      </c>
      <c r="I1232" s="17" t="s">
        <v>1505</v>
      </c>
      <c r="J1232" s="18" t="s">
        <v>23</v>
      </c>
      <c r="K1232" s="19" t="s">
        <v>14</v>
      </c>
      <c r="L1232" s="19" t="s">
        <v>49</v>
      </c>
      <c r="M1232" s="20">
        <v>5</v>
      </c>
      <c r="N1232" s="21">
        <v>84999</v>
      </c>
      <c r="O1232" s="22">
        <v>12</v>
      </c>
      <c r="P1232" s="23">
        <v>373995.6</v>
      </c>
      <c r="Q1232" s="22">
        <v>4.5</v>
      </c>
      <c r="R1232" s="22">
        <v>20</v>
      </c>
      <c r="S1232" s="23">
        <f>(Table13[[#This Row],[Unit Price]]*Table13[[#This Row],[No.of Units]])*18%</f>
        <v>76499.099999999991</v>
      </c>
      <c r="T1232" s="22" t="s">
        <v>1508</v>
      </c>
    </row>
    <row r="1233" spans="2:20" x14ac:dyDescent="0.3">
      <c r="B1233" s="5" t="s">
        <v>1157</v>
      </c>
      <c r="C1233" s="1">
        <v>4199509</v>
      </c>
      <c r="D1233" s="1">
        <v>46</v>
      </c>
      <c r="E1233" s="1" t="s">
        <v>12</v>
      </c>
      <c r="F1233" s="16">
        <v>45945</v>
      </c>
      <c r="G1233" s="1" t="s">
        <v>1470</v>
      </c>
      <c r="H1233" s="1" t="s">
        <v>1482</v>
      </c>
      <c r="I1233" s="17" t="s">
        <v>1504</v>
      </c>
      <c r="J1233" s="18" t="s">
        <v>25</v>
      </c>
      <c r="K1233" s="19" t="s">
        <v>26</v>
      </c>
      <c r="L1233" s="19" t="s">
        <v>49</v>
      </c>
      <c r="M1233" s="20">
        <v>6</v>
      </c>
      <c r="N1233" s="21">
        <v>69999</v>
      </c>
      <c r="O1233" s="22">
        <v>8</v>
      </c>
      <c r="P1233" s="23">
        <v>386394.48</v>
      </c>
      <c r="Q1233" s="22">
        <v>4.8</v>
      </c>
      <c r="R1233" s="22">
        <v>20</v>
      </c>
      <c r="S1233" s="23">
        <f>(Table13[[#This Row],[Unit Price]]*Table13[[#This Row],[No.of Units]])*18%</f>
        <v>75598.92</v>
      </c>
      <c r="T1233" s="22" t="s">
        <v>1507</v>
      </c>
    </row>
    <row r="1234" spans="2:20" x14ac:dyDescent="0.3">
      <c r="B1234" s="5" t="s">
        <v>1158</v>
      </c>
      <c r="C1234" s="1">
        <v>3985944</v>
      </c>
      <c r="D1234" s="1">
        <v>41</v>
      </c>
      <c r="E1234" s="1" t="s">
        <v>12</v>
      </c>
      <c r="F1234" s="16">
        <v>45945</v>
      </c>
      <c r="G1234" s="1" t="s">
        <v>1470</v>
      </c>
      <c r="H1234" s="1" t="s">
        <v>1482</v>
      </c>
      <c r="I1234" s="17" t="s">
        <v>1503</v>
      </c>
      <c r="J1234" s="18" t="s">
        <v>28</v>
      </c>
      <c r="K1234" s="19" t="s">
        <v>26</v>
      </c>
      <c r="L1234" s="19" t="s">
        <v>49</v>
      </c>
      <c r="M1234" s="20">
        <v>7</v>
      </c>
      <c r="N1234" s="21">
        <v>42999</v>
      </c>
      <c r="O1234" s="22">
        <v>15</v>
      </c>
      <c r="P1234" s="23">
        <v>255844.05</v>
      </c>
      <c r="Q1234" s="22">
        <v>4.5999999999999996</v>
      </c>
      <c r="R1234" s="22">
        <v>20</v>
      </c>
      <c r="S1234" s="23">
        <f>(Table13[[#This Row],[Unit Price]]*Table13[[#This Row],[No.of Units]])*18%</f>
        <v>54178.74</v>
      </c>
      <c r="T1234" s="22" t="s">
        <v>1507</v>
      </c>
    </row>
    <row r="1235" spans="2:20" x14ac:dyDescent="0.3">
      <c r="B1235" s="5" t="s">
        <v>1159</v>
      </c>
      <c r="C1235" s="1">
        <v>1025273</v>
      </c>
      <c r="D1235" s="1">
        <v>22</v>
      </c>
      <c r="E1235" s="1" t="s">
        <v>12</v>
      </c>
      <c r="F1235" s="16">
        <v>45952</v>
      </c>
      <c r="G1235" s="1" t="s">
        <v>1470</v>
      </c>
      <c r="H1235" s="1" t="s">
        <v>1480</v>
      </c>
      <c r="I1235" s="17" t="s">
        <v>1502</v>
      </c>
      <c r="J1235" s="18" t="s">
        <v>13</v>
      </c>
      <c r="K1235" s="19" t="s">
        <v>14</v>
      </c>
      <c r="L1235" s="19" t="s">
        <v>15</v>
      </c>
      <c r="M1235" s="20">
        <v>5</v>
      </c>
      <c r="N1235" s="21">
        <v>99999</v>
      </c>
      <c r="O1235" s="22">
        <v>10</v>
      </c>
      <c r="P1235" s="23">
        <v>449995.5</v>
      </c>
      <c r="Q1235" s="22">
        <v>4.7</v>
      </c>
      <c r="R1235" s="22">
        <v>20</v>
      </c>
      <c r="S1235" s="23">
        <f>(Table13[[#This Row],[Unit Price]]*Table13[[#This Row],[No.of Units]])*18%</f>
        <v>89999.099999999991</v>
      </c>
      <c r="T1235" s="22" t="s">
        <v>1507</v>
      </c>
    </row>
    <row r="1236" spans="2:20" x14ac:dyDescent="0.3">
      <c r="B1236" s="5" t="s">
        <v>1160</v>
      </c>
      <c r="C1236" s="1">
        <v>9225888</v>
      </c>
      <c r="D1236" s="1">
        <v>23</v>
      </c>
      <c r="E1236" s="1" t="s">
        <v>12</v>
      </c>
      <c r="F1236" s="16">
        <v>45952</v>
      </c>
      <c r="G1236" s="1" t="s">
        <v>1470</v>
      </c>
      <c r="H1236" s="1" t="s">
        <v>1471</v>
      </c>
      <c r="I1236" s="17" t="s">
        <v>1503</v>
      </c>
      <c r="J1236" s="18" t="s">
        <v>17</v>
      </c>
      <c r="K1236" s="19" t="s">
        <v>18</v>
      </c>
      <c r="L1236" s="19" t="s">
        <v>15</v>
      </c>
      <c r="M1236" s="20">
        <v>32</v>
      </c>
      <c r="N1236" s="21">
        <v>4999</v>
      </c>
      <c r="O1236" s="22">
        <v>18</v>
      </c>
      <c r="P1236" s="23">
        <v>131173.76000000001</v>
      </c>
      <c r="Q1236" s="22">
        <v>4.4000000000000004</v>
      </c>
      <c r="R1236" s="22">
        <v>20</v>
      </c>
      <c r="S1236" s="23">
        <f>(Table13[[#This Row],[Unit Price]]*Table13[[#This Row],[No.of Units]])*18%</f>
        <v>28794.239999999998</v>
      </c>
      <c r="T1236" s="22" t="s">
        <v>1508</v>
      </c>
    </row>
    <row r="1237" spans="2:20" x14ac:dyDescent="0.3">
      <c r="B1237" s="5" t="s">
        <v>1161</v>
      </c>
      <c r="C1237" s="1">
        <v>9109452</v>
      </c>
      <c r="D1237" s="1">
        <v>38</v>
      </c>
      <c r="E1237" s="1" t="s">
        <v>12</v>
      </c>
      <c r="F1237" s="16">
        <v>45952</v>
      </c>
      <c r="G1237" s="1" t="s">
        <v>1470</v>
      </c>
      <c r="H1237" s="1" t="s">
        <v>1481</v>
      </c>
      <c r="I1237" s="17" t="s">
        <v>1504</v>
      </c>
      <c r="J1237" s="18" t="s">
        <v>21</v>
      </c>
      <c r="K1237" s="19" t="s">
        <v>18</v>
      </c>
      <c r="L1237" s="19" t="s">
        <v>15</v>
      </c>
      <c r="M1237" s="20">
        <v>7</v>
      </c>
      <c r="N1237" s="21">
        <v>24900</v>
      </c>
      <c r="O1237" s="22">
        <v>5</v>
      </c>
      <c r="P1237" s="23">
        <v>165585</v>
      </c>
      <c r="Q1237" s="22">
        <v>4.8</v>
      </c>
      <c r="R1237" s="22">
        <v>20</v>
      </c>
      <c r="S1237" s="23">
        <f>(Table13[[#This Row],[Unit Price]]*Table13[[#This Row],[No.of Units]])*18%</f>
        <v>31374</v>
      </c>
      <c r="T1237" s="22" t="s">
        <v>1508</v>
      </c>
    </row>
    <row r="1238" spans="2:20" x14ac:dyDescent="0.3">
      <c r="B1238" s="5" t="s">
        <v>1162</v>
      </c>
      <c r="C1238" s="1">
        <v>9160131</v>
      </c>
      <c r="D1238" s="1">
        <v>35</v>
      </c>
      <c r="E1238" s="1" t="s">
        <v>12</v>
      </c>
      <c r="F1238" s="16">
        <v>45952</v>
      </c>
      <c r="G1238" s="1" t="s">
        <v>1470</v>
      </c>
      <c r="H1238" s="1" t="s">
        <v>1471</v>
      </c>
      <c r="I1238" s="17" t="s">
        <v>1505</v>
      </c>
      <c r="J1238" s="18" t="s">
        <v>23</v>
      </c>
      <c r="K1238" s="19" t="s">
        <v>14</v>
      </c>
      <c r="L1238" s="19" t="s">
        <v>15</v>
      </c>
      <c r="M1238" s="20">
        <v>6</v>
      </c>
      <c r="N1238" s="21">
        <v>84999</v>
      </c>
      <c r="O1238" s="22">
        <v>12</v>
      </c>
      <c r="P1238" s="23">
        <v>448794.72</v>
      </c>
      <c r="Q1238" s="22">
        <v>4.5</v>
      </c>
      <c r="R1238" s="22">
        <v>20</v>
      </c>
      <c r="S1238" s="23">
        <f>(Table13[[#This Row],[Unit Price]]*Table13[[#This Row],[No.of Units]])*18%</f>
        <v>91798.92</v>
      </c>
      <c r="T1238" s="22" t="s">
        <v>1508</v>
      </c>
    </row>
    <row r="1239" spans="2:20" x14ac:dyDescent="0.3">
      <c r="B1239" s="5" t="s">
        <v>1163</v>
      </c>
      <c r="C1239" s="1">
        <v>7287435</v>
      </c>
      <c r="D1239" s="1">
        <v>36</v>
      </c>
      <c r="E1239" s="1" t="s">
        <v>12</v>
      </c>
      <c r="F1239" s="16">
        <v>45952</v>
      </c>
      <c r="G1239" s="1" t="s">
        <v>1470</v>
      </c>
      <c r="H1239" s="1" t="s">
        <v>1482</v>
      </c>
      <c r="I1239" s="17" t="s">
        <v>1504</v>
      </c>
      <c r="J1239" s="18" t="s">
        <v>25</v>
      </c>
      <c r="K1239" s="19" t="s">
        <v>26</v>
      </c>
      <c r="L1239" s="19" t="s">
        <v>15</v>
      </c>
      <c r="M1239" s="20">
        <v>4</v>
      </c>
      <c r="N1239" s="21">
        <v>69999</v>
      </c>
      <c r="O1239" s="22">
        <v>8</v>
      </c>
      <c r="P1239" s="23">
        <v>257596.32</v>
      </c>
      <c r="Q1239" s="22">
        <v>4.8</v>
      </c>
      <c r="R1239" s="22">
        <v>20</v>
      </c>
      <c r="S1239" s="23">
        <f>(Table13[[#This Row],[Unit Price]]*Table13[[#This Row],[No.of Units]])*18%</f>
        <v>50399.28</v>
      </c>
      <c r="T1239" s="22" t="s">
        <v>1508</v>
      </c>
    </row>
    <row r="1240" spans="2:20" x14ac:dyDescent="0.3">
      <c r="B1240" s="5" t="s">
        <v>1164</v>
      </c>
      <c r="C1240" s="1">
        <v>5480727</v>
      </c>
      <c r="D1240" s="1">
        <v>18</v>
      </c>
      <c r="E1240" s="1" t="s">
        <v>34</v>
      </c>
      <c r="F1240" s="16">
        <v>45952</v>
      </c>
      <c r="G1240" s="1" t="s">
        <v>1470</v>
      </c>
      <c r="H1240" s="1" t="s">
        <v>1472</v>
      </c>
      <c r="I1240" s="17" t="s">
        <v>1503</v>
      </c>
      <c r="J1240" s="18" t="s">
        <v>28</v>
      </c>
      <c r="K1240" s="19" t="s">
        <v>26</v>
      </c>
      <c r="L1240" s="19" t="s">
        <v>15</v>
      </c>
      <c r="M1240" s="20">
        <v>7</v>
      </c>
      <c r="N1240" s="21">
        <v>42999</v>
      </c>
      <c r="O1240" s="22">
        <v>15</v>
      </c>
      <c r="P1240" s="23">
        <v>255844.05</v>
      </c>
      <c r="Q1240" s="22">
        <v>4.5999999999999996</v>
      </c>
      <c r="R1240" s="22">
        <v>20</v>
      </c>
      <c r="S1240" s="23">
        <f>(Table13[[#This Row],[Unit Price]]*Table13[[#This Row],[No.of Units]])*18%</f>
        <v>54178.74</v>
      </c>
      <c r="T1240" s="22" t="s">
        <v>1508</v>
      </c>
    </row>
    <row r="1241" spans="2:20" x14ac:dyDescent="0.3">
      <c r="B1241" s="5" t="s">
        <v>1165</v>
      </c>
      <c r="C1241" s="1">
        <v>2447093</v>
      </c>
      <c r="D1241" s="1">
        <v>54</v>
      </c>
      <c r="E1241" s="1" t="s">
        <v>20</v>
      </c>
      <c r="F1241" s="16">
        <v>45952</v>
      </c>
      <c r="G1241" s="1" t="s">
        <v>1470</v>
      </c>
      <c r="H1241" s="1" t="s">
        <v>1480</v>
      </c>
      <c r="I1241" s="17" t="s">
        <v>1502</v>
      </c>
      <c r="J1241" s="18" t="s">
        <v>13</v>
      </c>
      <c r="K1241" s="19" t="s">
        <v>14</v>
      </c>
      <c r="L1241" s="19" t="s">
        <v>29</v>
      </c>
      <c r="M1241" s="20">
        <v>3</v>
      </c>
      <c r="N1241" s="21">
        <v>99999</v>
      </c>
      <c r="O1241" s="22">
        <v>10</v>
      </c>
      <c r="P1241" s="23">
        <v>269997.3</v>
      </c>
      <c r="Q1241" s="22">
        <v>4.7</v>
      </c>
      <c r="R1241" s="22">
        <v>20</v>
      </c>
      <c r="S1241" s="23">
        <f>(Table13[[#This Row],[Unit Price]]*Table13[[#This Row],[No.of Units]])*18%</f>
        <v>53999.46</v>
      </c>
      <c r="T1241" s="22" t="s">
        <v>1508</v>
      </c>
    </row>
    <row r="1242" spans="2:20" x14ac:dyDescent="0.3">
      <c r="B1242" s="5" t="s">
        <v>1166</v>
      </c>
      <c r="C1242" s="1">
        <v>1706520</v>
      </c>
      <c r="D1242" s="1">
        <v>40</v>
      </c>
      <c r="E1242" s="1" t="s">
        <v>12</v>
      </c>
      <c r="F1242" s="16">
        <v>45952</v>
      </c>
      <c r="G1242" s="1" t="s">
        <v>1470</v>
      </c>
      <c r="H1242" s="1" t="s">
        <v>1471</v>
      </c>
      <c r="I1242" s="17" t="s">
        <v>1503</v>
      </c>
      <c r="J1242" s="18" t="s">
        <v>17</v>
      </c>
      <c r="K1242" s="19" t="s">
        <v>18</v>
      </c>
      <c r="L1242" s="19" t="s">
        <v>29</v>
      </c>
      <c r="M1242" s="20">
        <v>53</v>
      </c>
      <c r="N1242" s="21">
        <v>4999</v>
      </c>
      <c r="O1242" s="22">
        <v>18</v>
      </c>
      <c r="P1242" s="23">
        <v>217256.54</v>
      </c>
      <c r="Q1242" s="22">
        <v>4.4000000000000004</v>
      </c>
      <c r="R1242" s="22">
        <v>20</v>
      </c>
      <c r="S1242" s="23">
        <f>(Table13[[#This Row],[Unit Price]]*Table13[[#This Row],[No.of Units]])*18%</f>
        <v>47690.46</v>
      </c>
      <c r="T1242" s="22" t="s">
        <v>1508</v>
      </c>
    </row>
    <row r="1243" spans="2:20" x14ac:dyDescent="0.3">
      <c r="B1243" s="5" t="s">
        <v>1167</v>
      </c>
      <c r="C1243" s="1">
        <v>2008379</v>
      </c>
      <c r="D1243" s="1">
        <v>41</v>
      </c>
      <c r="E1243" s="1" t="s">
        <v>12</v>
      </c>
      <c r="F1243" s="16">
        <v>45952</v>
      </c>
      <c r="G1243" s="1" t="s">
        <v>1470</v>
      </c>
      <c r="H1243" s="1" t="s">
        <v>1471</v>
      </c>
      <c r="I1243" s="17" t="s">
        <v>1504</v>
      </c>
      <c r="J1243" s="18" t="s">
        <v>21</v>
      </c>
      <c r="K1243" s="19" t="s">
        <v>18</v>
      </c>
      <c r="L1243" s="19" t="s">
        <v>29</v>
      </c>
      <c r="M1243" s="20">
        <v>14</v>
      </c>
      <c r="N1243" s="21">
        <v>24900</v>
      </c>
      <c r="O1243" s="22">
        <v>5</v>
      </c>
      <c r="P1243" s="23">
        <v>331170</v>
      </c>
      <c r="Q1243" s="22">
        <v>4.8</v>
      </c>
      <c r="R1243" s="22">
        <v>20</v>
      </c>
      <c r="S1243" s="23">
        <f>(Table13[[#This Row],[Unit Price]]*Table13[[#This Row],[No.of Units]])*18%</f>
        <v>62748</v>
      </c>
      <c r="T1243" s="22" t="s">
        <v>1508</v>
      </c>
    </row>
    <row r="1244" spans="2:20" x14ac:dyDescent="0.3">
      <c r="B1244" s="5" t="s">
        <v>1168</v>
      </c>
      <c r="C1244" s="1">
        <v>6342847</v>
      </c>
      <c r="D1244" s="1">
        <v>39</v>
      </c>
      <c r="E1244" s="1" t="s">
        <v>12</v>
      </c>
      <c r="F1244" s="16">
        <v>45952</v>
      </c>
      <c r="G1244" s="1" t="s">
        <v>1470</v>
      </c>
      <c r="H1244" s="1" t="s">
        <v>1483</v>
      </c>
      <c r="I1244" s="17" t="s">
        <v>1505</v>
      </c>
      <c r="J1244" s="18" t="s">
        <v>23</v>
      </c>
      <c r="K1244" s="19" t="s">
        <v>14</v>
      </c>
      <c r="L1244" s="19" t="s">
        <v>29</v>
      </c>
      <c r="M1244" s="20">
        <v>5</v>
      </c>
      <c r="N1244" s="21">
        <v>84999</v>
      </c>
      <c r="O1244" s="22">
        <v>12</v>
      </c>
      <c r="P1244" s="23">
        <v>373995.6</v>
      </c>
      <c r="Q1244" s="22">
        <v>4.5</v>
      </c>
      <c r="R1244" s="22">
        <v>20</v>
      </c>
      <c r="S1244" s="23">
        <f>(Table13[[#This Row],[Unit Price]]*Table13[[#This Row],[No.of Units]])*18%</f>
        <v>76499.099999999991</v>
      </c>
      <c r="T1244" s="22" t="s">
        <v>1508</v>
      </c>
    </row>
    <row r="1245" spans="2:20" x14ac:dyDescent="0.3">
      <c r="B1245" s="5" t="s">
        <v>1169</v>
      </c>
      <c r="C1245" s="1">
        <v>144548</v>
      </c>
      <c r="D1245" s="1">
        <v>37</v>
      </c>
      <c r="E1245" s="1" t="s">
        <v>12</v>
      </c>
      <c r="F1245" s="16">
        <v>45952</v>
      </c>
      <c r="G1245" s="1" t="s">
        <v>1470</v>
      </c>
      <c r="H1245" s="1" t="s">
        <v>1480</v>
      </c>
      <c r="I1245" s="17" t="s">
        <v>1504</v>
      </c>
      <c r="J1245" s="18" t="s">
        <v>25</v>
      </c>
      <c r="K1245" s="19" t="s">
        <v>26</v>
      </c>
      <c r="L1245" s="19" t="s">
        <v>29</v>
      </c>
      <c r="M1245" s="20">
        <v>2</v>
      </c>
      <c r="N1245" s="21">
        <v>69999</v>
      </c>
      <c r="O1245" s="22">
        <v>8</v>
      </c>
      <c r="P1245" s="23">
        <v>128798.16</v>
      </c>
      <c r="Q1245" s="22">
        <v>4.8</v>
      </c>
      <c r="R1245" s="22">
        <v>20</v>
      </c>
      <c r="S1245" s="23">
        <f>(Table13[[#This Row],[Unit Price]]*Table13[[#This Row],[No.of Units]])*18%</f>
        <v>25199.64</v>
      </c>
      <c r="T1245" s="22" t="s">
        <v>1508</v>
      </c>
    </row>
    <row r="1246" spans="2:20" x14ac:dyDescent="0.3">
      <c r="B1246" s="5" t="s">
        <v>1170</v>
      </c>
      <c r="C1246" s="1">
        <v>4480208</v>
      </c>
      <c r="D1246" s="1">
        <v>57</v>
      </c>
      <c r="E1246" s="1" t="s">
        <v>20</v>
      </c>
      <c r="F1246" s="16">
        <v>45952</v>
      </c>
      <c r="G1246" s="1" t="s">
        <v>1470</v>
      </c>
      <c r="H1246" s="1" t="s">
        <v>1482</v>
      </c>
      <c r="I1246" s="17" t="s">
        <v>1503</v>
      </c>
      <c r="J1246" s="18" t="s">
        <v>28</v>
      </c>
      <c r="K1246" s="19" t="s">
        <v>26</v>
      </c>
      <c r="L1246" s="19" t="s">
        <v>29</v>
      </c>
      <c r="M1246" s="20">
        <v>9</v>
      </c>
      <c r="N1246" s="21">
        <v>42999</v>
      </c>
      <c r="O1246" s="22">
        <v>15</v>
      </c>
      <c r="P1246" s="23">
        <v>328942.34999999998</v>
      </c>
      <c r="Q1246" s="22">
        <v>4.5999999999999996</v>
      </c>
      <c r="R1246" s="22">
        <v>20</v>
      </c>
      <c r="S1246" s="23">
        <f>(Table13[[#This Row],[Unit Price]]*Table13[[#This Row],[No.of Units]])*18%</f>
        <v>69658.38</v>
      </c>
      <c r="T1246" s="22" t="s">
        <v>1508</v>
      </c>
    </row>
    <row r="1247" spans="2:20" x14ac:dyDescent="0.3">
      <c r="B1247" s="5" t="s">
        <v>1171</v>
      </c>
      <c r="C1247" s="1">
        <v>452328</v>
      </c>
      <c r="D1247" s="1">
        <v>20</v>
      </c>
      <c r="E1247" s="1" t="s">
        <v>12</v>
      </c>
      <c r="F1247" s="16">
        <v>45952</v>
      </c>
      <c r="G1247" s="1" t="s">
        <v>1470</v>
      </c>
      <c r="H1247" s="1" t="s">
        <v>1471</v>
      </c>
      <c r="I1247" s="17" t="s">
        <v>1502</v>
      </c>
      <c r="J1247" s="18" t="s">
        <v>13</v>
      </c>
      <c r="K1247" s="19" t="s">
        <v>14</v>
      </c>
      <c r="L1247" s="19" t="s">
        <v>35</v>
      </c>
      <c r="M1247" s="20">
        <v>4</v>
      </c>
      <c r="N1247" s="21">
        <v>99999</v>
      </c>
      <c r="O1247" s="22">
        <v>10</v>
      </c>
      <c r="P1247" s="23">
        <v>359996.4</v>
      </c>
      <c r="Q1247" s="22">
        <v>4.7</v>
      </c>
      <c r="R1247" s="22">
        <v>20</v>
      </c>
      <c r="S1247" s="23">
        <f>(Table13[[#This Row],[Unit Price]]*Table13[[#This Row],[No.of Units]])*18%</f>
        <v>71999.28</v>
      </c>
      <c r="T1247" s="22" t="s">
        <v>1507</v>
      </c>
    </row>
    <row r="1248" spans="2:20" x14ac:dyDescent="0.3">
      <c r="B1248" s="5" t="s">
        <v>1172</v>
      </c>
      <c r="C1248" s="1">
        <v>7027004</v>
      </c>
      <c r="D1248" s="1">
        <v>32</v>
      </c>
      <c r="E1248" s="1" t="s">
        <v>12</v>
      </c>
      <c r="F1248" s="16">
        <v>45952</v>
      </c>
      <c r="G1248" s="1" t="s">
        <v>1470</v>
      </c>
      <c r="H1248" s="1" t="s">
        <v>1481</v>
      </c>
      <c r="I1248" s="17" t="s">
        <v>1503</v>
      </c>
      <c r="J1248" s="18" t="s">
        <v>17</v>
      </c>
      <c r="K1248" s="19" t="s">
        <v>18</v>
      </c>
      <c r="L1248" s="19" t="s">
        <v>35</v>
      </c>
      <c r="M1248" s="20">
        <v>23</v>
      </c>
      <c r="N1248" s="21">
        <v>4999</v>
      </c>
      <c r="O1248" s="22">
        <v>18</v>
      </c>
      <c r="P1248" s="23">
        <v>94281.14</v>
      </c>
      <c r="Q1248" s="22">
        <v>4.4000000000000004</v>
      </c>
      <c r="R1248" s="22">
        <v>20</v>
      </c>
      <c r="S1248" s="23">
        <f>(Table13[[#This Row],[Unit Price]]*Table13[[#This Row],[No.of Units]])*18%</f>
        <v>20695.86</v>
      </c>
      <c r="T1248" s="22" t="s">
        <v>1507</v>
      </c>
    </row>
    <row r="1249" spans="2:20" x14ac:dyDescent="0.3">
      <c r="B1249" s="5" t="s">
        <v>1173</v>
      </c>
      <c r="C1249" s="1">
        <v>4639579</v>
      </c>
      <c r="D1249" s="1">
        <v>77</v>
      </c>
      <c r="E1249" s="1" t="s">
        <v>20</v>
      </c>
      <c r="F1249" s="16">
        <v>45952</v>
      </c>
      <c r="G1249" s="1" t="s">
        <v>1470</v>
      </c>
      <c r="H1249" s="1" t="s">
        <v>1480</v>
      </c>
      <c r="I1249" s="17" t="s">
        <v>1504</v>
      </c>
      <c r="J1249" s="18" t="s">
        <v>21</v>
      </c>
      <c r="K1249" s="19" t="s">
        <v>18</v>
      </c>
      <c r="L1249" s="19" t="s">
        <v>35</v>
      </c>
      <c r="M1249" s="20">
        <v>5</v>
      </c>
      <c r="N1249" s="21">
        <v>24900</v>
      </c>
      <c r="O1249" s="22">
        <v>5</v>
      </c>
      <c r="P1249" s="23">
        <v>118275</v>
      </c>
      <c r="Q1249" s="22">
        <v>4.8</v>
      </c>
      <c r="R1249" s="22">
        <v>20</v>
      </c>
      <c r="S1249" s="23">
        <f>(Table13[[#This Row],[Unit Price]]*Table13[[#This Row],[No.of Units]])*18%</f>
        <v>22410</v>
      </c>
      <c r="T1249" s="22" t="s">
        <v>1508</v>
      </c>
    </row>
    <row r="1250" spans="2:20" x14ac:dyDescent="0.3">
      <c r="B1250" s="5" t="s">
        <v>1174</v>
      </c>
      <c r="C1250" s="1">
        <v>8192502</v>
      </c>
      <c r="D1250" s="1">
        <v>39</v>
      </c>
      <c r="E1250" s="1" t="s">
        <v>12</v>
      </c>
      <c r="F1250" s="16">
        <v>45952</v>
      </c>
      <c r="G1250" s="1" t="s">
        <v>1470</v>
      </c>
      <c r="H1250" s="1" t="s">
        <v>1471</v>
      </c>
      <c r="I1250" s="17" t="s">
        <v>1505</v>
      </c>
      <c r="J1250" s="18" t="s">
        <v>23</v>
      </c>
      <c r="K1250" s="19" t="s">
        <v>14</v>
      </c>
      <c r="L1250" s="19" t="s">
        <v>35</v>
      </c>
      <c r="M1250" s="20">
        <v>2</v>
      </c>
      <c r="N1250" s="21">
        <v>84999</v>
      </c>
      <c r="O1250" s="22">
        <v>12</v>
      </c>
      <c r="P1250" s="23">
        <v>149598.24</v>
      </c>
      <c r="Q1250" s="22">
        <v>4.5</v>
      </c>
      <c r="R1250" s="22">
        <v>20</v>
      </c>
      <c r="S1250" s="23">
        <f>(Table13[[#This Row],[Unit Price]]*Table13[[#This Row],[No.of Units]])*18%</f>
        <v>30599.64</v>
      </c>
      <c r="T1250" s="22" t="s">
        <v>1507</v>
      </c>
    </row>
    <row r="1251" spans="2:20" x14ac:dyDescent="0.3">
      <c r="B1251" s="5" t="s">
        <v>1175</v>
      </c>
      <c r="C1251" s="1">
        <v>1073898</v>
      </c>
      <c r="D1251" s="1">
        <v>51</v>
      </c>
      <c r="E1251" s="1" t="s">
        <v>20</v>
      </c>
      <c r="F1251" s="16">
        <v>45952</v>
      </c>
      <c r="G1251" s="1" t="s">
        <v>1470</v>
      </c>
      <c r="H1251" s="1" t="s">
        <v>1482</v>
      </c>
      <c r="I1251" s="17" t="s">
        <v>1504</v>
      </c>
      <c r="J1251" s="18" t="s">
        <v>25</v>
      </c>
      <c r="K1251" s="19" t="s">
        <v>26</v>
      </c>
      <c r="L1251" s="19" t="s">
        <v>35</v>
      </c>
      <c r="M1251" s="20">
        <v>2</v>
      </c>
      <c r="N1251" s="21">
        <v>69999</v>
      </c>
      <c r="O1251" s="22">
        <v>8</v>
      </c>
      <c r="P1251" s="23">
        <v>128798.16</v>
      </c>
      <c r="Q1251" s="22">
        <v>4.8</v>
      </c>
      <c r="R1251" s="22">
        <v>20</v>
      </c>
      <c r="S1251" s="23">
        <f>(Table13[[#This Row],[Unit Price]]*Table13[[#This Row],[No.of Units]])*18%</f>
        <v>25199.64</v>
      </c>
      <c r="T1251" s="22" t="s">
        <v>1508</v>
      </c>
    </row>
    <row r="1252" spans="2:20" x14ac:dyDescent="0.3">
      <c r="B1252" s="5" t="s">
        <v>1176</v>
      </c>
      <c r="C1252" s="1">
        <v>8105776</v>
      </c>
      <c r="D1252" s="1">
        <v>25</v>
      </c>
      <c r="E1252" s="1" t="s">
        <v>12</v>
      </c>
      <c r="F1252" s="16">
        <v>45952</v>
      </c>
      <c r="G1252" s="1" t="s">
        <v>1470</v>
      </c>
      <c r="H1252" s="1" t="s">
        <v>1482</v>
      </c>
      <c r="I1252" s="17" t="s">
        <v>1503</v>
      </c>
      <c r="J1252" s="18" t="s">
        <v>28</v>
      </c>
      <c r="K1252" s="19" t="s">
        <v>26</v>
      </c>
      <c r="L1252" s="19" t="s">
        <v>35</v>
      </c>
      <c r="M1252" s="20">
        <v>9</v>
      </c>
      <c r="N1252" s="21">
        <v>42999</v>
      </c>
      <c r="O1252" s="22">
        <v>15</v>
      </c>
      <c r="P1252" s="23">
        <v>328942.34999999998</v>
      </c>
      <c r="Q1252" s="22">
        <v>4.5999999999999996</v>
      </c>
      <c r="R1252" s="22">
        <v>20</v>
      </c>
      <c r="S1252" s="23">
        <f>(Table13[[#This Row],[Unit Price]]*Table13[[#This Row],[No.of Units]])*18%</f>
        <v>69658.38</v>
      </c>
      <c r="T1252" s="22" t="s">
        <v>1508</v>
      </c>
    </row>
    <row r="1253" spans="2:20" x14ac:dyDescent="0.3">
      <c r="B1253" s="5" t="s">
        <v>1177</v>
      </c>
      <c r="C1253" s="1">
        <v>4108433</v>
      </c>
      <c r="D1253" s="1">
        <v>38</v>
      </c>
      <c r="E1253" s="1" t="s">
        <v>12</v>
      </c>
      <c r="F1253" s="16">
        <v>45952</v>
      </c>
      <c r="G1253" s="1" t="s">
        <v>1474</v>
      </c>
      <c r="H1253" s="1" t="s">
        <v>1482</v>
      </c>
      <c r="I1253" s="17" t="s">
        <v>1502</v>
      </c>
      <c r="J1253" s="18" t="s">
        <v>13</v>
      </c>
      <c r="K1253" s="19" t="s">
        <v>14</v>
      </c>
      <c r="L1253" s="19" t="s">
        <v>42</v>
      </c>
      <c r="M1253" s="20">
        <v>3</v>
      </c>
      <c r="N1253" s="21">
        <v>99999</v>
      </c>
      <c r="O1253" s="22">
        <v>10</v>
      </c>
      <c r="P1253" s="23">
        <v>269997.3</v>
      </c>
      <c r="Q1253" s="22">
        <v>4.7</v>
      </c>
      <c r="R1253" s="22">
        <v>20</v>
      </c>
      <c r="S1253" s="23">
        <f>(Table13[[#This Row],[Unit Price]]*Table13[[#This Row],[No.of Units]])*18%</f>
        <v>53999.46</v>
      </c>
      <c r="T1253" s="22" t="s">
        <v>1508</v>
      </c>
    </row>
    <row r="1254" spans="2:20" x14ac:dyDescent="0.3">
      <c r="B1254" s="5" t="s">
        <v>1178</v>
      </c>
      <c r="C1254" s="1">
        <v>7590596</v>
      </c>
      <c r="D1254" s="1">
        <v>71</v>
      </c>
      <c r="E1254" s="1" t="s">
        <v>20</v>
      </c>
      <c r="F1254" s="16">
        <v>45952</v>
      </c>
      <c r="G1254" s="1" t="s">
        <v>1470</v>
      </c>
      <c r="H1254" s="1" t="s">
        <v>1482</v>
      </c>
      <c r="I1254" s="17" t="s">
        <v>1503</v>
      </c>
      <c r="J1254" s="18" t="s">
        <v>17</v>
      </c>
      <c r="K1254" s="19" t="s">
        <v>18</v>
      </c>
      <c r="L1254" s="19" t="s">
        <v>42</v>
      </c>
      <c r="M1254" s="20">
        <v>53</v>
      </c>
      <c r="N1254" s="21">
        <v>4999</v>
      </c>
      <c r="O1254" s="22">
        <v>18</v>
      </c>
      <c r="P1254" s="23">
        <v>217256.54</v>
      </c>
      <c r="Q1254" s="22">
        <v>4.4000000000000004</v>
      </c>
      <c r="R1254" s="22">
        <v>20</v>
      </c>
      <c r="S1254" s="23">
        <f>(Table13[[#This Row],[Unit Price]]*Table13[[#This Row],[No.of Units]])*18%</f>
        <v>47690.46</v>
      </c>
      <c r="T1254" s="22" t="s">
        <v>1508</v>
      </c>
    </row>
    <row r="1255" spans="2:20" x14ac:dyDescent="0.3">
      <c r="B1255" s="5" t="s">
        <v>1179</v>
      </c>
      <c r="C1255" s="1">
        <v>7783914</v>
      </c>
      <c r="D1255" s="1">
        <v>55</v>
      </c>
      <c r="E1255" s="1" t="s">
        <v>20</v>
      </c>
      <c r="F1255" s="16">
        <v>45952</v>
      </c>
      <c r="G1255" s="1" t="s">
        <v>1470</v>
      </c>
      <c r="H1255" s="1" t="s">
        <v>1482</v>
      </c>
      <c r="I1255" s="17" t="s">
        <v>1504</v>
      </c>
      <c r="J1255" s="18" t="s">
        <v>21</v>
      </c>
      <c r="K1255" s="19" t="s">
        <v>18</v>
      </c>
      <c r="L1255" s="19" t="s">
        <v>42</v>
      </c>
      <c r="M1255" s="20">
        <v>12</v>
      </c>
      <c r="N1255" s="21">
        <v>24900</v>
      </c>
      <c r="O1255" s="22">
        <v>5</v>
      </c>
      <c r="P1255" s="23">
        <v>283860</v>
      </c>
      <c r="Q1255" s="22">
        <v>4.8</v>
      </c>
      <c r="R1255" s="22">
        <v>20</v>
      </c>
      <c r="S1255" s="23">
        <f>(Table13[[#This Row],[Unit Price]]*Table13[[#This Row],[No.of Units]])*18%</f>
        <v>53784</v>
      </c>
      <c r="T1255" s="22" t="s">
        <v>1508</v>
      </c>
    </row>
    <row r="1256" spans="2:20" x14ac:dyDescent="0.3">
      <c r="B1256" s="5" t="s">
        <v>1180</v>
      </c>
      <c r="C1256" s="1">
        <v>9286257</v>
      </c>
      <c r="D1256" s="1">
        <v>22</v>
      </c>
      <c r="E1256" s="1" t="s">
        <v>12</v>
      </c>
      <c r="F1256" s="16">
        <v>45952</v>
      </c>
      <c r="G1256" s="1" t="s">
        <v>1470</v>
      </c>
      <c r="H1256" s="1" t="s">
        <v>1471</v>
      </c>
      <c r="I1256" s="17" t="s">
        <v>1505</v>
      </c>
      <c r="J1256" s="18" t="s">
        <v>23</v>
      </c>
      <c r="K1256" s="19" t="s">
        <v>14</v>
      </c>
      <c r="L1256" s="19" t="s">
        <v>42</v>
      </c>
      <c r="M1256" s="20">
        <v>6</v>
      </c>
      <c r="N1256" s="21">
        <v>84999</v>
      </c>
      <c r="O1256" s="22">
        <v>12</v>
      </c>
      <c r="P1256" s="23">
        <v>448794.72</v>
      </c>
      <c r="Q1256" s="22">
        <v>4.5</v>
      </c>
      <c r="R1256" s="22">
        <v>20</v>
      </c>
      <c r="S1256" s="23">
        <f>(Table13[[#This Row],[Unit Price]]*Table13[[#This Row],[No.of Units]])*18%</f>
        <v>91798.92</v>
      </c>
      <c r="T1256" s="22" t="s">
        <v>1507</v>
      </c>
    </row>
    <row r="1257" spans="2:20" x14ac:dyDescent="0.3">
      <c r="B1257" s="5" t="s">
        <v>1181</v>
      </c>
      <c r="C1257" s="1">
        <v>6331688</v>
      </c>
      <c r="D1257" s="1">
        <v>34</v>
      </c>
      <c r="E1257" s="1" t="s">
        <v>12</v>
      </c>
      <c r="F1257" s="16">
        <v>45952</v>
      </c>
      <c r="G1257" s="1" t="s">
        <v>1470</v>
      </c>
      <c r="H1257" s="1" t="s">
        <v>1471</v>
      </c>
      <c r="I1257" s="17" t="s">
        <v>1504</v>
      </c>
      <c r="J1257" s="18" t="s">
        <v>25</v>
      </c>
      <c r="K1257" s="19" t="s">
        <v>26</v>
      </c>
      <c r="L1257" s="19" t="s">
        <v>42</v>
      </c>
      <c r="M1257" s="20">
        <v>4</v>
      </c>
      <c r="N1257" s="21">
        <v>69999</v>
      </c>
      <c r="O1257" s="22">
        <v>8</v>
      </c>
      <c r="P1257" s="23">
        <v>257596.32</v>
      </c>
      <c r="Q1257" s="22">
        <v>4.8</v>
      </c>
      <c r="R1257" s="22">
        <v>20</v>
      </c>
      <c r="S1257" s="23">
        <f>(Table13[[#This Row],[Unit Price]]*Table13[[#This Row],[No.of Units]])*18%</f>
        <v>50399.28</v>
      </c>
      <c r="T1257" s="22" t="s">
        <v>1507</v>
      </c>
    </row>
    <row r="1258" spans="2:20" x14ac:dyDescent="0.3">
      <c r="B1258" s="5" t="s">
        <v>1182</v>
      </c>
      <c r="C1258" s="1">
        <v>6294340</v>
      </c>
      <c r="D1258" s="1">
        <v>20</v>
      </c>
      <c r="E1258" s="1" t="s">
        <v>12</v>
      </c>
      <c r="F1258" s="16">
        <v>45952</v>
      </c>
      <c r="G1258" s="1" t="s">
        <v>1470</v>
      </c>
      <c r="H1258" s="1" t="s">
        <v>1471</v>
      </c>
      <c r="I1258" s="17" t="s">
        <v>1503</v>
      </c>
      <c r="J1258" s="18" t="s">
        <v>28</v>
      </c>
      <c r="K1258" s="19" t="s">
        <v>26</v>
      </c>
      <c r="L1258" s="19" t="s">
        <v>42</v>
      </c>
      <c r="M1258" s="20">
        <v>9</v>
      </c>
      <c r="N1258" s="21">
        <v>42999</v>
      </c>
      <c r="O1258" s="22">
        <v>15</v>
      </c>
      <c r="P1258" s="23">
        <v>328942.34999999998</v>
      </c>
      <c r="Q1258" s="22">
        <v>4.5999999999999996</v>
      </c>
      <c r="R1258" s="22">
        <v>20</v>
      </c>
      <c r="S1258" s="23">
        <f>(Table13[[#This Row],[Unit Price]]*Table13[[#This Row],[No.of Units]])*18%</f>
        <v>69658.38</v>
      </c>
      <c r="T1258" s="22" t="s">
        <v>1507</v>
      </c>
    </row>
    <row r="1259" spans="2:20" x14ac:dyDescent="0.3">
      <c r="B1259" s="5" t="s">
        <v>1183</v>
      </c>
      <c r="C1259" s="1">
        <v>4969347</v>
      </c>
      <c r="D1259" s="1">
        <v>41</v>
      </c>
      <c r="E1259" s="1" t="s">
        <v>12</v>
      </c>
      <c r="F1259" s="16">
        <v>45952</v>
      </c>
      <c r="G1259" s="1" t="s">
        <v>1470</v>
      </c>
      <c r="H1259" s="1" t="s">
        <v>1481</v>
      </c>
      <c r="I1259" s="17" t="s">
        <v>1502</v>
      </c>
      <c r="J1259" s="18" t="s">
        <v>13</v>
      </c>
      <c r="K1259" s="19" t="s">
        <v>14</v>
      </c>
      <c r="L1259" s="19" t="s">
        <v>49</v>
      </c>
      <c r="M1259" s="20">
        <v>4</v>
      </c>
      <c r="N1259" s="21">
        <v>99999</v>
      </c>
      <c r="O1259" s="22">
        <v>10</v>
      </c>
      <c r="P1259" s="23">
        <v>359996.4</v>
      </c>
      <c r="Q1259" s="22">
        <v>4.7</v>
      </c>
      <c r="R1259" s="22">
        <v>20</v>
      </c>
      <c r="S1259" s="23">
        <f>(Table13[[#This Row],[Unit Price]]*Table13[[#This Row],[No.of Units]])*18%</f>
        <v>71999.28</v>
      </c>
      <c r="T1259" s="22" t="s">
        <v>1508</v>
      </c>
    </row>
    <row r="1260" spans="2:20" x14ac:dyDescent="0.3">
      <c r="B1260" s="5" t="s">
        <v>1184</v>
      </c>
      <c r="C1260" s="1">
        <v>8321158</v>
      </c>
      <c r="D1260" s="1">
        <v>20</v>
      </c>
      <c r="E1260" s="1" t="s">
        <v>12</v>
      </c>
      <c r="F1260" s="16">
        <v>45952</v>
      </c>
      <c r="G1260" s="1" t="s">
        <v>1470</v>
      </c>
      <c r="H1260" s="1" t="s">
        <v>1481</v>
      </c>
      <c r="I1260" s="17" t="s">
        <v>1503</v>
      </c>
      <c r="J1260" s="18" t="s">
        <v>17</v>
      </c>
      <c r="K1260" s="19" t="s">
        <v>18</v>
      </c>
      <c r="L1260" s="19" t="s">
        <v>49</v>
      </c>
      <c r="M1260" s="20">
        <v>53</v>
      </c>
      <c r="N1260" s="21">
        <v>4999</v>
      </c>
      <c r="O1260" s="22">
        <v>18</v>
      </c>
      <c r="P1260" s="23">
        <v>217256.54</v>
      </c>
      <c r="Q1260" s="22">
        <v>4.4000000000000004</v>
      </c>
      <c r="R1260" s="22">
        <v>20</v>
      </c>
      <c r="S1260" s="23">
        <f>(Table13[[#This Row],[Unit Price]]*Table13[[#This Row],[No.of Units]])*18%</f>
        <v>47690.46</v>
      </c>
      <c r="T1260" s="22" t="s">
        <v>1507</v>
      </c>
    </row>
    <row r="1261" spans="2:20" x14ac:dyDescent="0.3">
      <c r="B1261" s="5" t="s">
        <v>1185</v>
      </c>
      <c r="C1261" s="1">
        <v>6510714</v>
      </c>
      <c r="D1261" s="1">
        <v>29</v>
      </c>
      <c r="E1261" s="1" t="s">
        <v>12</v>
      </c>
      <c r="F1261" s="16">
        <v>45952</v>
      </c>
      <c r="G1261" s="1" t="s">
        <v>1475</v>
      </c>
      <c r="H1261" s="1" t="s">
        <v>1482</v>
      </c>
      <c r="I1261" s="17" t="s">
        <v>1504</v>
      </c>
      <c r="J1261" s="18" t="s">
        <v>21</v>
      </c>
      <c r="K1261" s="19" t="s">
        <v>18</v>
      </c>
      <c r="L1261" s="19" t="s">
        <v>49</v>
      </c>
      <c r="M1261" s="20">
        <v>9</v>
      </c>
      <c r="N1261" s="21">
        <v>24900</v>
      </c>
      <c r="O1261" s="22">
        <v>5</v>
      </c>
      <c r="P1261" s="23">
        <v>212895</v>
      </c>
      <c r="Q1261" s="22">
        <v>4.8</v>
      </c>
      <c r="R1261" s="22">
        <v>20</v>
      </c>
      <c r="S1261" s="23">
        <f>(Table13[[#This Row],[Unit Price]]*Table13[[#This Row],[No.of Units]])*18%</f>
        <v>40338</v>
      </c>
      <c r="T1261" s="22" t="s">
        <v>1507</v>
      </c>
    </row>
    <row r="1262" spans="2:20" x14ac:dyDescent="0.3">
      <c r="B1262" s="5" t="s">
        <v>1185</v>
      </c>
      <c r="C1262" s="1">
        <v>6510714</v>
      </c>
      <c r="D1262" s="1">
        <v>45</v>
      </c>
      <c r="E1262" s="1" t="s">
        <v>12</v>
      </c>
      <c r="F1262" s="16">
        <v>45952</v>
      </c>
      <c r="G1262" s="1" t="s">
        <v>1475</v>
      </c>
      <c r="H1262" s="1" t="s">
        <v>1480</v>
      </c>
      <c r="I1262" s="17" t="s">
        <v>1505</v>
      </c>
      <c r="J1262" s="18" t="s">
        <v>23</v>
      </c>
      <c r="K1262" s="19" t="s">
        <v>14</v>
      </c>
      <c r="L1262" s="19" t="s">
        <v>49</v>
      </c>
      <c r="M1262" s="20">
        <v>6</v>
      </c>
      <c r="N1262" s="21">
        <v>84999</v>
      </c>
      <c r="O1262" s="22">
        <v>12</v>
      </c>
      <c r="P1262" s="23">
        <v>448794.72</v>
      </c>
      <c r="Q1262" s="22">
        <v>4.5</v>
      </c>
      <c r="R1262" s="22">
        <v>20</v>
      </c>
      <c r="S1262" s="23">
        <f>(Table13[[#This Row],[Unit Price]]*Table13[[#This Row],[No.of Units]])*18%</f>
        <v>91798.92</v>
      </c>
      <c r="T1262" s="22" t="s">
        <v>1508</v>
      </c>
    </row>
    <row r="1263" spans="2:20" x14ac:dyDescent="0.3">
      <c r="B1263" s="5" t="s">
        <v>1186</v>
      </c>
      <c r="C1263" s="1">
        <v>1094625</v>
      </c>
      <c r="D1263" s="1">
        <v>44</v>
      </c>
      <c r="E1263" s="1" t="s">
        <v>12</v>
      </c>
      <c r="F1263" s="16">
        <v>45952</v>
      </c>
      <c r="G1263" s="1" t="s">
        <v>1470</v>
      </c>
      <c r="H1263" s="1" t="s">
        <v>1471</v>
      </c>
      <c r="I1263" s="17" t="s">
        <v>1504</v>
      </c>
      <c r="J1263" s="18" t="s">
        <v>25</v>
      </c>
      <c r="K1263" s="19" t="s">
        <v>26</v>
      </c>
      <c r="L1263" s="19" t="s">
        <v>49</v>
      </c>
      <c r="M1263" s="20">
        <v>2</v>
      </c>
      <c r="N1263" s="21">
        <v>69999</v>
      </c>
      <c r="O1263" s="22">
        <v>8</v>
      </c>
      <c r="P1263" s="23">
        <v>128798.16</v>
      </c>
      <c r="Q1263" s="22">
        <v>4.8</v>
      </c>
      <c r="R1263" s="22">
        <v>20</v>
      </c>
      <c r="S1263" s="23">
        <f>(Table13[[#This Row],[Unit Price]]*Table13[[#This Row],[No.of Units]])*18%</f>
        <v>25199.64</v>
      </c>
      <c r="T1263" s="22" t="s">
        <v>1508</v>
      </c>
    </row>
    <row r="1264" spans="2:20" x14ac:dyDescent="0.3">
      <c r="B1264" s="5" t="s">
        <v>1187</v>
      </c>
      <c r="C1264" s="1">
        <v>4748558</v>
      </c>
      <c r="D1264" s="1">
        <v>22</v>
      </c>
      <c r="E1264" s="1" t="s">
        <v>12</v>
      </c>
      <c r="F1264" s="16">
        <v>45952</v>
      </c>
      <c r="G1264" s="1" t="s">
        <v>1470</v>
      </c>
      <c r="H1264" s="1" t="s">
        <v>1471</v>
      </c>
      <c r="I1264" s="17" t="s">
        <v>1503</v>
      </c>
      <c r="J1264" s="18" t="s">
        <v>28</v>
      </c>
      <c r="K1264" s="19" t="s">
        <v>26</v>
      </c>
      <c r="L1264" s="19" t="s">
        <v>49</v>
      </c>
      <c r="M1264" s="20">
        <v>7</v>
      </c>
      <c r="N1264" s="21">
        <v>42999</v>
      </c>
      <c r="O1264" s="22">
        <v>15</v>
      </c>
      <c r="P1264" s="23">
        <v>255844.05</v>
      </c>
      <c r="Q1264" s="22">
        <v>4.5999999999999996</v>
      </c>
      <c r="R1264" s="22">
        <v>20</v>
      </c>
      <c r="S1264" s="23">
        <f>(Table13[[#This Row],[Unit Price]]*Table13[[#This Row],[No.of Units]])*18%</f>
        <v>54178.74</v>
      </c>
      <c r="T1264" s="22" t="s">
        <v>1508</v>
      </c>
    </row>
    <row r="1265" spans="2:20" x14ac:dyDescent="0.3">
      <c r="B1265" s="5" t="s">
        <v>1188</v>
      </c>
      <c r="C1265" s="1">
        <v>6381580</v>
      </c>
      <c r="D1265" s="1">
        <v>40</v>
      </c>
      <c r="E1265" s="1" t="s">
        <v>12</v>
      </c>
      <c r="F1265" s="16">
        <v>45959</v>
      </c>
      <c r="G1265" s="1" t="s">
        <v>1470</v>
      </c>
      <c r="H1265" s="1" t="s">
        <v>1471</v>
      </c>
      <c r="I1265" s="17" t="s">
        <v>1502</v>
      </c>
      <c r="J1265" s="18" t="s">
        <v>13</v>
      </c>
      <c r="K1265" s="19" t="s">
        <v>14</v>
      </c>
      <c r="L1265" s="19" t="s">
        <v>15</v>
      </c>
      <c r="M1265" s="20">
        <v>4</v>
      </c>
      <c r="N1265" s="21">
        <v>99999</v>
      </c>
      <c r="O1265" s="22">
        <v>10</v>
      </c>
      <c r="P1265" s="23">
        <v>359996.4</v>
      </c>
      <c r="Q1265" s="22">
        <v>4.7</v>
      </c>
      <c r="R1265" s="22">
        <v>20</v>
      </c>
      <c r="S1265" s="23">
        <f>(Table13[[#This Row],[Unit Price]]*Table13[[#This Row],[No.of Units]])*18%</f>
        <v>71999.28</v>
      </c>
      <c r="T1265" s="22" t="s">
        <v>1508</v>
      </c>
    </row>
    <row r="1266" spans="2:20" x14ac:dyDescent="0.3">
      <c r="B1266" s="5" t="s">
        <v>1189</v>
      </c>
      <c r="C1266" s="1">
        <v>9691516</v>
      </c>
      <c r="D1266" s="1">
        <v>34</v>
      </c>
      <c r="E1266" s="1" t="s">
        <v>12</v>
      </c>
      <c r="F1266" s="16">
        <v>45959</v>
      </c>
      <c r="G1266" s="1" t="s">
        <v>1470</v>
      </c>
      <c r="H1266" s="1" t="s">
        <v>1471</v>
      </c>
      <c r="I1266" s="17" t="s">
        <v>1503</v>
      </c>
      <c r="J1266" s="18" t="s">
        <v>17</v>
      </c>
      <c r="K1266" s="19" t="s">
        <v>18</v>
      </c>
      <c r="L1266" s="19" t="s">
        <v>15</v>
      </c>
      <c r="M1266" s="20">
        <v>53</v>
      </c>
      <c r="N1266" s="21">
        <v>4999</v>
      </c>
      <c r="O1266" s="22">
        <v>18</v>
      </c>
      <c r="P1266" s="23">
        <v>217256.54</v>
      </c>
      <c r="Q1266" s="22">
        <v>4.4000000000000004</v>
      </c>
      <c r="R1266" s="22">
        <v>20</v>
      </c>
      <c r="S1266" s="23">
        <f>(Table13[[#This Row],[Unit Price]]*Table13[[#This Row],[No.of Units]])*18%</f>
        <v>47690.46</v>
      </c>
      <c r="T1266" s="22" t="s">
        <v>1507</v>
      </c>
    </row>
    <row r="1267" spans="2:20" x14ac:dyDescent="0.3">
      <c r="B1267" s="5" t="s">
        <v>1190</v>
      </c>
      <c r="C1267" s="1">
        <v>629022</v>
      </c>
      <c r="D1267" s="1">
        <v>32</v>
      </c>
      <c r="E1267" s="1" t="s">
        <v>12</v>
      </c>
      <c r="F1267" s="16">
        <v>45959</v>
      </c>
      <c r="G1267" s="1" t="s">
        <v>1470</v>
      </c>
      <c r="H1267" s="1" t="s">
        <v>1471</v>
      </c>
      <c r="I1267" s="17" t="s">
        <v>1504</v>
      </c>
      <c r="J1267" s="18" t="s">
        <v>21</v>
      </c>
      <c r="K1267" s="19" t="s">
        <v>18</v>
      </c>
      <c r="L1267" s="19" t="s">
        <v>15</v>
      </c>
      <c r="M1267" s="20">
        <v>13</v>
      </c>
      <c r="N1267" s="21">
        <v>24900</v>
      </c>
      <c r="O1267" s="22">
        <v>5</v>
      </c>
      <c r="P1267" s="23">
        <v>307515</v>
      </c>
      <c r="Q1267" s="22">
        <v>4.8</v>
      </c>
      <c r="R1267" s="22">
        <v>20</v>
      </c>
      <c r="S1267" s="23">
        <f>(Table13[[#This Row],[Unit Price]]*Table13[[#This Row],[No.of Units]])*18%</f>
        <v>58266</v>
      </c>
      <c r="T1267" s="22" t="s">
        <v>1508</v>
      </c>
    </row>
    <row r="1268" spans="2:20" x14ac:dyDescent="0.3">
      <c r="B1268" s="5" t="s">
        <v>1191</v>
      </c>
      <c r="C1268" s="1">
        <v>6838538</v>
      </c>
      <c r="D1268" s="1">
        <v>20</v>
      </c>
      <c r="E1268" s="1" t="s">
        <v>12</v>
      </c>
      <c r="F1268" s="16">
        <v>45959</v>
      </c>
      <c r="G1268" s="1" t="s">
        <v>1470</v>
      </c>
      <c r="H1268" s="1" t="s">
        <v>1471</v>
      </c>
      <c r="I1268" s="17" t="s">
        <v>1505</v>
      </c>
      <c r="J1268" s="18" t="s">
        <v>23</v>
      </c>
      <c r="K1268" s="19" t="s">
        <v>14</v>
      </c>
      <c r="L1268" s="19" t="s">
        <v>15</v>
      </c>
      <c r="M1268" s="20">
        <v>3</v>
      </c>
      <c r="N1268" s="21">
        <v>84999</v>
      </c>
      <c r="O1268" s="22">
        <v>12</v>
      </c>
      <c r="P1268" s="23">
        <v>224397.36</v>
      </c>
      <c r="Q1268" s="22">
        <v>4.5</v>
      </c>
      <c r="R1268" s="22">
        <v>20</v>
      </c>
      <c r="S1268" s="23">
        <f>(Table13[[#This Row],[Unit Price]]*Table13[[#This Row],[No.of Units]])*18%</f>
        <v>45899.46</v>
      </c>
      <c r="T1268" s="22" t="s">
        <v>1507</v>
      </c>
    </row>
    <row r="1269" spans="2:20" x14ac:dyDescent="0.3">
      <c r="B1269" s="5" t="s">
        <v>1192</v>
      </c>
      <c r="C1269" s="1">
        <v>775906</v>
      </c>
      <c r="D1269" s="1">
        <v>55</v>
      </c>
      <c r="E1269" s="1" t="s">
        <v>20</v>
      </c>
      <c r="F1269" s="16">
        <v>45959</v>
      </c>
      <c r="G1269" s="1" t="s">
        <v>1470</v>
      </c>
      <c r="H1269" s="1" t="s">
        <v>1472</v>
      </c>
      <c r="I1269" s="17" t="s">
        <v>1504</v>
      </c>
      <c r="J1269" s="18" t="s">
        <v>25</v>
      </c>
      <c r="K1269" s="19" t="s">
        <v>26</v>
      </c>
      <c r="L1269" s="19" t="s">
        <v>15</v>
      </c>
      <c r="M1269" s="20">
        <v>4</v>
      </c>
      <c r="N1269" s="21">
        <v>69999</v>
      </c>
      <c r="O1269" s="22">
        <v>8</v>
      </c>
      <c r="P1269" s="23">
        <v>257596.32</v>
      </c>
      <c r="Q1269" s="22">
        <v>4.8</v>
      </c>
      <c r="R1269" s="22">
        <v>20</v>
      </c>
      <c r="S1269" s="23">
        <f>(Table13[[#This Row],[Unit Price]]*Table13[[#This Row],[No.of Units]])*18%</f>
        <v>50399.28</v>
      </c>
      <c r="T1269" s="22" t="s">
        <v>1507</v>
      </c>
    </row>
    <row r="1270" spans="2:20" x14ac:dyDescent="0.3">
      <c r="B1270" s="5" t="s">
        <v>1193</v>
      </c>
      <c r="C1270" s="1">
        <v>4153899</v>
      </c>
      <c r="D1270" s="1">
        <v>38</v>
      </c>
      <c r="E1270" s="1" t="s">
        <v>12</v>
      </c>
      <c r="F1270" s="16">
        <v>45959</v>
      </c>
      <c r="G1270" s="1" t="s">
        <v>1470</v>
      </c>
      <c r="H1270" s="1" t="s">
        <v>1471</v>
      </c>
      <c r="I1270" s="17" t="s">
        <v>1503</v>
      </c>
      <c r="J1270" s="18" t="s">
        <v>28</v>
      </c>
      <c r="K1270" s="19" t="s">
        <v>26</v>
      </c>
      <c r="L1270" s="19" t="s">
        <v>15</v>
      </c>
      <c r="M1270" s="20">
        <v>10</v>
      </c>
      <c r="N1270" s="21">
        <v>42999</v>
      </c>
      <c r="O1270" s="22">
        <v>15</v>
      </c>
      <c r="P1270" s="23">
        <v>365491.5</v>
      </c>
      <c r="Q1270" s="22">
        <v>4.5999999999999996</v>
      </c>
      <c r="R1270" s="22">
        <v>20</v>
      </c>
      <c r="S1270" s="23">
        <f>(Table13[[#This Row],[Unit Price]]*Table13[[#This Row],[No.of Units]])*18%</f>
        <v>77398.2</v>
      </c>
      <c r="T1270" s="22" t="s">
        <v>1507</v>
      </c>
    </row>
    <row r="1271" spans="2:20" x14ac:dyDescent="0.3">
      <c r="B1271" s="5" t="s">
        <v>1194</v>
      </c>
      <c r="C1271" s="1">
        <v>4483599</v>
      </c>
      <c r="D1271" s="1">
        <v>29</v>
      </c>
      <c r="E1271" s="1" t="s">
        <v>12</v>
      </c>
      <c r="F1271" s="16">
        <v>45959</v>
      </c>
      <c r="G1271" s="1" t="s">
        <v>1470</v>
      </c>
      <c r="H1271" s="1" t="s">
        <v>1471</v>
      </c>
      <c r="I1271" s="17" t="s">
        <v>1502</v>
      </c>
      <c r="J1271" s="18" t="s">
        <v>13</v>
      </c>
      <c r="K1271" s="19" t="s">
        <v>14</v>
      </c>
      <c r="L1271" s="19" t="s">
        <v>29</v>
      </c>
      <c r="M1271" s="20">
        <v>6</v>
      </c>
      <c r="N1271" s="21">
        <v>99999</v>
      </c>
      <c r="O1271" s="22">
        <v>10</v>
      </c>
      <c r="P1271" s="23">
        <v>539994.6</v>
      </c>
      <c r="Q1271" s="22">
        <v>4.7</v>
      </c>
      <c r="R1271" s="22">
        <v>20</v>
      </c>
      <c r="S1271" s="23">
        <f>(Table13[[#This Row],[Unit Price]]*Table13[[#This Row],[No.of Units]])*18%</f>
        <v>107998.92</v>
      </c>
      <c r="T1271" s="22" t="s">
        <v>1507</v>
      </c>
    </row>
    <row r="1272" spans="2:20" x14ac:dyDescent="0.3">
      <c r="B1272" s="5" t="s">
        <v>1195</v>
      </c>
      <c r="C1272" s="1">
        <v>3796629</v>
      </c>
      <c r="D1272" s="1">
        <v>24</v>
      </c>
      <c r="E1272" s="1" t="s">
        <v>12</v>
      </c>
      <c r="F1272" s="16">
        <v>45959</v>
      </c>
      <c r="G1272" s="1" t="s">
        <v>1470</v>
      </c>
      <c r="H1272" s="1" t="s">
        <v>1471</v>
      </c>
      <c r="I1272" s="17" t="s">
        <v>1503</v>
      </c>
      <c r="J1272" s="18" t="s">
        <v>17</v>
      </c>
      <c r="K1272" s="19" t="s">
        <v>18</v>
      </c>
      <c r="L1272" s="19" t="s">
        <v>29</v>
      </c>
      <c r="M1272" s="20">
        <v>55</v>
      </c>
      <c r="N1272" s="21">
        <v>4999</v>
      </c>
      <c r="O1272" s="22">
        <v>18</v>
      </c>
      <c r="P1272" s="23">
        <v>225454.9</v>
      </c>
      <c r="Q1272" s="22">
        <v>4.4000000000000004</v>
      </c>
      <c r="R1272" s="22">
        <v>20</v>
      </c>
      <c r="S1272" s="23">
        <f>(Table13[[#This Row],[Unit Price]]*Table13[[#This Row],[No.of Units]])*18%</f>
        <v>49490.1</v>
      </c>
      <c r="T1272" s="22" t="s">
        <v>1508</v>
      </c>
    </row>
    <row r="1273" spans="2:20" x14ac:dyDescent="0.3">
      <c r="B1273" s="5" t="s">
        <v>1196</v>
      </c>
      <c r="C1273" s="1">
        <v>4018425</v>
      </c>
      <c r="D1273" s="1">
        <v>76</v>
      </c>
      <c r="E1273" s="1" t="s">
        <v>20</v>
      </c>
      <c r="F1273" s="16">
        <v>45959</v>
      </c>
      <c r="G1273" s="1" t="s">
        <v>1470</v>
      </c>
      <c r="H1273" s="1" t="s">
        <v>1483</v>
      </c>
      <c r="I1273" s="17" t="s">
        <v>1504</v>
      </c>
      <c r="J1273" s="18" t="s">
        <v>21</v>
      </c>
      <c r="K1273" s="19" t="s">
        <v>18</v>
      </c>
      <c r="L1273" s="19" t="s">
        <v>29</v>
      </c>
      <c r="M1273" s="20">
        <v>15</v>
      </c>
      <c r="N1273" s="21">
        <v>24900</v>
      </c>
      <c r="O1273" s="22">
        <v>5</v>
      </c>
      <c r="P1273" s="23">
        <v>354825</v>
      </c>
      <c r="Q1273" s="22">
        <v>4.8</v>
      </c>
      <c r="R1273" s="22">
        <v>20</v>
      </c>
      <c r="S1273" s="23">
        <f>(Table13[[#This Row],[Unit Price]]*Table13[[#This Row],[No.of Units]])*18%</f>
        <v>67230</v>
      </c>
      <c r="T1273" s="22" t="s">
        <v>1507</v>
      </c>
    </row>
    <row r="1274" spans="2:20" x14ac:dyDescent="0.3">
      <c r="B1274" s="5" t="s">
        <v>1197</v>
      </c>
      <c r="C1274" s="1">
        <v>4788352</v>
      </c>
      <c r="D1274" s="1">
        <v>46</v>
      </c>
      <c r="E1274" s="1" t="s">
        <v>12</v>
      </c>
      <c r="F1274" s="16">
        <v>45959</v>
      </c>
      <c r="G1274" s="1" t="s">
        <v>1470</v>
      </c>
      <c r="H1274" s="1" t="s">
        <v>1471</v>
      </c>
      <c r="I1274" s="17" t="s">
        <v>1505</v>
      </c>
      <c r="J1274" s="18" t="s">
        <v>23</v>
      </c>
      <c r="K1274" s="19" t="s">
        <v>14</v>
      </c>
      <c r="L1274" s="19" t="s">
        <v>29</v>
      </c>
      <c r="M1274" s="20">
        <v>6</v>
      </c>
      <c r="N1274" s="21">
        <v>84999</v>
      </c>
      <c r="O1274" s="22">
        <v>12</v>
      </c>
      <c r="P1274" s="23">
        <v>448794.72</v>
      </c>
      <c r="Q1274" s="22">
        <v>4.5</v>
      </c>
      <c r="R1274" s="22">
        <v>20</v>
      </c>
      <c r="S1274" s="23">
        <f>(Table13[[#This Row],[Unit Price]]*Table13[[#This Row],[No.of Units]])*18%</f>
        <v>91798.92</v>
      </c>
      <c r="T1274" s="22" t="s">
        <v>1508</v>
      </c>
    </row>
    <row r="1275" spans="2:20" x14ac:dyDescent="0.3">
      <c r="B1275" s="5" t="s">
        <v>1198</v>
      </c>
      <c r="C1275" s="1">
        <v>6680125</v>
      </c>
      <c r="D1275" s="1">
        <v>47</v>
      </c>
      <c r="E1275" s="1" t="s">
        <v>12</v>
      </c>
      <c r="F1275" s="16">
        <v>45959</v>
      </c>
      <c r="G1275" s="1" t="s">
        <v>1470</v>
      </c>
      <c r="H1275" s="1" t="s">
        <v>1472</v>
      </c>
      <c r="I1275" s="17" t="s">
        <v>1504</v>
      </c>
      <c r="J1275" s="18" t="s">
        <v>25</v>
      </c>
      <c r="K1275" s="19" t="s">
        <v>26</v>
      </c>
      <c r="L1275" s="19" t="s">
        <v>29</v>
      </c>
      <c r="M1275" s="20">
        <v>4</v>
      </c>
      <c r="N1275" s="21">
        <v>69999</v>
      </c>
      <c r="O1275" s="22">
        <v>8</v>
      </c>
      <c r="P1275" s="23">
        <v>257596.32</v>
      </c>
      <c r="Q1275" s="22">
        <v>4.8</v>
      </c>
      <c r="R1275" s="22">
        <v>20</v>
      </c>
      <c r="S1275" s="23">
        <f>(Table13[[#This Row],[Unit Price]]*Table13[[#This Row],[No.of Units]])*18%</f>
        <v>50399.28</v>
      </c>
      <c r="T1275" s="22" t="s">
        <v>1508</v>
      </c>
    </row>
    <row r="1276" spans="2:20" x14ac:dyDescent="0.3">
      <c r="B1276" s="5" t="s">
        <v>1199</v>
      </c>
      <c r="C1276" s="1">
        <v>9068519</v>
      </c>
      <c r="D1276" s="1">
        <v>41</v>
      </c>
      <c r="E1276" s="1" t="s">
        <v>12</v>
      </c>
      <c r="F1276" s="16">
        <v>45959</v>
      </c>
      <c r="G1276" s="1" t="s">
        <v>1475</v>
      </c>
      <c r="H1276" s="1" t="s">
        <v>1472</v>
      </c>
      <c r="I1276" s="17" t="s">
        <v>1503</v>
      </c>
      <c r="J1276" s="18" t="s">
        <v>28</v>
      </c>
      <c r="K1276" s="19" t="s">
        <v>26</v>
      </c>
      <c r="L1276" s="19" t="s">
        <v>29</v>
      </c>
      <c r="M1276" s="20">
        <v>11</v>
      </c>
      <c r="N1276" s="21">
        <v>42999</v>
      </c>
      <c r="O1276" s="22">
        <v>15</v>
      </c>
      <c r="P1276" s="23">
        <v>402040.65</v>
      </c>
      <c r="Q1276" s="22">
        <v>4.5999999999999996</v>
      </c>
      <c r="R1276" s="22">
        <v>20</v>
      </c>
      <c r="S1276" s="23">
        <f>(Table13[[#This Row],[Unit Price]]*Table13[[#This Row],[No.of Units]])*18%</f>
        <v>85138.02</v>
      </c>
      <c r="T1276" s="22" t="s">
        <v>1508</v>
      </c>
    </row>
    <row r="1277" spans="2:20" x14ac:dyDescent="0.3">
      <c r="B1277" s="5" t="s">
        <v>1199</v>
      </c>
      <c r="C1277" s="1">
        <v>9068519</v>
      </c>
      <c r="D1277" s="1">
        <v>73</v>
      </c>
      <c r="E1277" s="1" t="s">
        <v>20</v>
      </c>
      <c r="F1277" s="16">
        <v>45959</v>
      </c>
      <c r="G1277" s="1" t="s">
        <v>1475</v>
      </c>
      <c r="H1277" s="1" t="s">
        <v>1482</v>
      </c>
      <c r="I1277" s="17" t="s">
        <v>1502</v>
      </c>
      <c r="J1277" s="18" t="s">
        <v>13</v>
      </c>
      <c r="K1277" s="19" t="s">
        <v>14</v>
      </c>
      <c r="L1277" s="19" t="s">
        <v>35</v>
      </c>
      <c r="M1277" s="20">
        <v>3</v>
      </c>
      <c r="N1277" s="21">
        <v>99999</v>
      </c>
      <c r="O1277" s="22">
        <v>10</v>
      </c>
      <c r="P1277" s="23">
        <v>269997.3</v>
      </c>
      <c r="Q1277" s="22">
        <v>4.7</v>
      </c>
      <c r="R1277" s="22">
        <v>20</v>
      </c>
      <c r="S1277" s="23">
        <f>(Table13[[#This Row],[Unit Price]]*Table13[[#This Row],[No.of Units]])*18%</f>
        <v>53999.46</v>
      </c>
      <c r="T1277" s="22" t="s">
        <v>1508</v>
      </c>
    </row>
    <row r="1278" spans="2:20" x14ac:dyDescent="0.3">
      <c r="B1278" s="5" t="s">
        <v>1200</v>
      </c>
      <c r="C1278" s="1">
        <v>2989740</v>
      </c>
      <c r="D1278" s="1">
        <v>23</v>
      </c>
      <c r="E1278" s="1" t="s">
        <v>12</v>
      </c>
      <c r="F1278" s="16">
        <v>45959</v>
      </c>
      <c r="G1278" s="1" t="s">
        <v>1470</v>
      </c>
      <c r="H1278" s="1" t="s">
        <v>1482</v>
      </c>
      <c r="I1278" s="17" t="s">
        <v>1503</v>
      </c>
      <c r="J1278" s="18" t="s">
        <v>17</v>
      </c>
      <c r="K1278" s="19" t="s">
        <v>18</v>
      </c>
      <c r="L1278" s="19" t="s">
        <v>35</v>
      </c>
      <c r="M1278" s="20">
        <v>35</v>
      </c>
      <c r="N1278" s="21">
        <v>4999</v>
      </c>
      <c r="O1278" s="22">
        <v>18</v>
      </c>
      <c r="P1278" s="23">
        <v>143471.29999999999</v>
      </c>
      <c r="Q1278" s="22">
        <v>4.4000000000000004</v>
      </c>
      <c r="R1278" s="22">
        <v>20</v>
      </c>
      <c r="S1278" s="23">
        <f>(Table13[[#This Row],[Unit Price]]*Table13[[#This Row],[No.of Units]])*18%</f>
        <v>31493.699999999997</v>
      </c>
      <c r="T1278" s="22" t="s">
        <v>1508</v>
      </c>
    </row>
    <row r="1279" spans="2:20" x14ac:dyDescent="0.3">
      <c r="B1279" s="5" t="s">
        <v>1200</v>
      </c>
      <c r="C1279" s="1">
        <v>2989740</v>
      </c>
      <c r="D1279" s="1">
        <v>44</v>
      </c>
      <c r="E1279" s="1" t="s">
        <v>12</v>
      </c>
      <c r="F1279" s="16">
        <v>45959</v>
      </c>
      <c r="G1279" s="1" t="s">
        <v>1470</v>
      </c>
      <c r="H1279" s="1" t="s">
        <v>1471</v>
      </c>
      <c r="I1279" s="17" t="s">
        <v>1504</v>
      </c>
      <c r="J1279" s="18" t="s">
        <v>21</v>
      </c>
      <c r="K1279" s="19" t="s">
        <v>18</v>
      </c>
      <c r="L1279" s="19" t="s">
        <v>35</v>
      </c>
      <c r="M1279" s="20">
        <v>7</v>
      </c>
      <c r="N1279" s="21">
        <v>24900</v>
      </c>
      <c r="O1279" s="22">
        <v>5</v>
      </c>
      <c r="P1279" s="23">
        <v>165585</v>
      </c>
      <c r="Q1279" s="22">
        <v>4.8</v>
      </c>
      <c r="R1279" s="22">
        <v>20</v>
      </c>
      <c r="S1279" s="23">
        <f>(Table13[[#This Row],[Unit Price]]*Table13[[#This Row],[No.of Units]])*18%</f>
        <v>31374</v>
      </c>
      <c r="T1279" s="22" t="s">
        <v>1507</v>
      </c>
    </row>
    <row r="1280" spans="2:20" x14ac:dyDescent="0.3">
      <c r="B1280" s="5" t="s">
        <v>1201</v>
      </c>
      <c r="C1280" s="1">
        <v>1201776</v>
      </c>
      <c r="D1280" s="1">
        <v>43</v>
      </c>
      <c r="E1280" s="1" t="s">
        <v>12</v>
      </c>
      <c r="F1280" s="16">
        <v>45959</v>
      </c>
      <c r="G1280" s="1" t="s">
        <v>1470</v>
      </c>
      <c r="H1280" s="1" t="s">
        <v>1471</v>
      </c>
      <c r="I1280" s="17" t="s">
        <v>1505</v>
      </c>
      <c r="J1280" s="18" t="s">
        <v>23</v>
      </c>
      <c r="K1280" s="19" t="s">
        <v>14</v>
      </c>
      <c r="L1280" s="19" t="s">
        <v>35</v>
      </c>
      <c r="M1280" s="20">
        <v>3</v>
      </c>
      <c r="N1280" s="21">
        <v>84999</v>
      </c>
      <c r="O1280" s="22">
        <v>12</v>
      </c>
      <c r="P1280" s="23">
        <v>224397.36</v>
      </c>
      <c r="Q1280" s="22">
        <v>4.5</v>
      </c>
      <c r="R1280" s="22">
        <v>20</v>
      </c>
      <c r="S1280" s="23">
        <f>(Table13[[#This Row],[Unit Price]]*Table13[[#This Row],[No.of Units]])*18%</f>
        <v>45899.46</v>
      </c>
      <c r="T1280" s="22" t="s">
        <v>1508</v>
      </c>
    </row>
    <row r="1281" spans="2:20" x14ac:dyDescent="0.3">
      <c r="B1281" s="5" t="s">
        <v>1202</v>
      </c>
      <c r="C1281" s="1">
        <v>3901170</v>
      </c>
      <c r="D1281" s="1">
        <v>46</v>
      </c>
      <c r="E1281" s="1" t="s">
        <v>12</v>
      </c>
      <c r="F1281" s="16">
        <v>45959</v>
      </c>
      <c r="G1281" s="1" t="s">
        <v>1470</v>
      </c>
      <c r="H1281" s="1" t="s">
        <v>1472</v>
      </c>
      <c r="I1281" s="17" t="s">
        <v>1504</v>
      </c>
      <c r="J1281" s="18" t="s">
        <v>25</v>
      </c>
      <c r="K1281" s="19" t="s">
        <v>26</v>
      </c>
      <c r="L1281" s="19" t="s">
        <v>35</v>
      </c>
      <c r="M1281" s="20">
        <v>5</v>
      </c>
      <c r="N1281" s="21">
        <v>69999</v>
      </c>
      <c r="O1281" s="22">
        <v>8</v>
      </c>
      <c r="P1281" s="23">
        <v>321995.40000000002</v>
      </c>
      <c r="Q1281" s="22">
        <v>4.8</v>
      </c>
      <c r="R1281" s="22">
        <v>20</v>
      </c>
      <c r="S1281" s="23">
        <f>(Table13[[#This Row],[Unit Price]]*Table13[[#This Row],[No.of Units]])*18%</f>
        <v>62999.1</v>
      </c>
      <c r="T1281" s="22" t="s">
        <v>1507</v>
      </c>
    </row>
    <row r="1282" spans="2:20" x14ac:dyDescent="0.3">
      <c r="B1282" s="5" t="s">
        <v>1202</v>
      </c>
      <c r="C1282" s="1">
        <v>3901170</v>
      </c>
      <c r="D1282" s="1">
        <v>31</v>
      </c>
      <c r="E1282" s="1" t="s">
        <v>12</v>
      </c>
      <c r="F1282" s="16">
        <v>45959</v>
      </c>
      <c r="G1282" s="1" t="s">
        <v>1470</v>
      </c>
      <c r="H1282" s="1" t="s">
        <v>1482</v>
      </c>
      <c r="I1282" s="17" t="s">
        <v>1503</v>
      </c>
      <c r="J1282" s="18" t="s">
        <v>28</v>
      </c>
      <c r="K1282" s="19" t="s">
        <v>26</v>
      </c>
      <c r="L1282" s="19" t="s">
        <v>35</v>
      </c>
      <c r="M1282" s="20">
        <v>10</v>
      </c>
      <c r="N1282" s="21">
        <v>42999</v>
      </c>
      <c r="O1282" s="22">
        <v>15</v>
      </c>
      <c r="P1282" s="23">
        <v>365491.5</v>
      </c>
      <c r="Q1282" s="22">
        <v>4.5999999999999996</v>
      </c>
      <c r="R1282" s="22">
        <v>20</v>
      </c>
      <c r="S1282" s="23">
        <f>(Table13[[#This Row],[Unit Price]]*Table13[[#This Row],[No.of Units]])*18%</f>
        <v>77398.2</v>
      </c>
      <c r="T1282" s="22" t="s">
        <v>1508</v>
      </c>
    </row>
    <row r="1283" spans="2:20" x14ac:dyDescent="0.3">
      <c r="B1283" s="5" t="s">
        <v>1202</v>
      </c>
      <c r="C1283" s="1">
        <v>3901170</v>
      </c>
      <c r="D1283" s="1">
        <v>52</v>
      </c>
      <c r="E1283" s="1" t="s">
        <v>20</v>
      </c>
      <c r="F1283" s="16">
        <v>45959</v>
      </c>
      <c r="G1283" s="1" t="s">
        <v>1470</v>
      </c>
      <c r="H1283" s="1" t="s">
        <v>1471</v>
      </c>
      <c r="I1283" s="17" t="s">
        <v>1502</v>
      </c>
      <c r="J1283" s="18" t="s">
        <v>13</v>
      </c>
      <c r="K1283" s="19" t="s">
        <v>14</v>
      </c>
      <c r="L1283" s="19" t="s">
        <v>42</v>
      </c>
      <c r="M1283" s="20">
        <v>4</v>
      </c>
      <c r="N1283" s="21">
        <v>99999</v>
      </c>
      <c r="O1283" s="22">
        <v>10</v>
      </c>
      <c r="P1283" s="23">
        <v>359996.4</v>
      </c>
      <c r="Q1283" s="22">
        <v>4.7</v>
      </c>
      <c r="R1283" s="22">
        <v>20</v>
      </c>
      <c r="S1283" s="23">
        <f>(Table13[[#This Row],[Unit Price]]*Table13[[#This Row],[No.of Units]])*18%</f>
        <v>71999.28</v>
      </c>
      <c r="T1283" s="22" t="s">
        <v>1507</v>
      </c>
    </row>
    <row r="1284" spans="2:20" x14ac:dyDescent="0.3">
      <c r="B1284" s="5" t="s">
        <v>1203</v>
      </c>
      <c r="C1284" s="1">
        <v>728924</v>
      </c>
      <c r="D1284" s="1">
        <v>19</v>
      </c>
      <c r="E1284" s="1" t="s">
        <v>34</v>
      </c>
      <c r="F1284" s="16">
        <v>45959</v>
      </c>
      <c r="G1284" s="1" t="s">
        <v>1470</v>
      </c>
      <c r="H1284" s="1" t="s">
        <v>1471</v>
      </c>
      <c r="I1284" s="17" t="s">
        <v>1503</v>
      </c>
      <c r="J1284" s="18" t="s">
        <v>17</v>
      </c>
      <c r="K1284" s="19" t="s">
        <v>18</v>
      </c>
      <c r="L1284" s="19" t="s">
        <v>42</v>
      </c>
      <c r="M1284" s="20">
        <v>51</v>
      </c>
      <c r="N1284" s="21">
        <v>4999</v>
      </c>
      <c r="O1284" s="22">
        <v>18</v>
      </c>
      <c r="P1284" s="23">
        <v>209058.18</v>
      </c>
      <c r="Q1284" s="22">
        <v>4.4000000000000004</v>
      </c>
      <c r="R1284" s="22">
        <v>20</v>
      </c>
      <c r="S1284" s="23">
        <f>(Table13[[#This Row],[Unit Price]]*Table13[[#This Row],[No.of Units]])*18%</f>
        <v>45890.82</v>
      </c>
      <c r="T1284" s="22" t="s">
        <v>1508</v>
      </c>
    </row>
    <row r="1285" spans="2:20" x14ac:dyDescent="0.3">
      <c r="B1285" s="5" t="s">
        <v>1204</v>
      </c>
      <c r="C1285" s="1">
        <v>5683002</v>
      </c>
      <c r="D1285" s="1">
        <v>43</v>
      </c>
      <c r="E1285" s="1" t="s">
        <v>12</v>
      </c>
      <c r="F1285" s="16">
        <v>45959</v>
      </c>
      <c r="G1285" s="1" t="s">
        <v>1475</v>
      </c>
      <c r="H1285" s="1" t="s">
        <v>1471</v>
      </c>
      <c r="I1285" s="17" t="s">
        <v>1504</v>
      </c>
      <c r="J1285" s="18" t="s">
        <v>21</v>
      </c>
      <c r="K1285" s="19" t="s">
        <v>18</v>
      </c>
      <c r="L1285" s="19" t="s">
        <v>42</v>
      </c>
      <c r="M1285" s="20">
        <v>7</v>
      </c>
      <c r="N1285" s="21">
        <v>24900</v>
      </c>
      <c r="O1285" s="22">
        <v>5</v>
      </c>
      <c r="P1285" s="23">
        <v>165585</v>
      </c>
      <c r="Q1285" s="22">
        <v>4.8</v>
      </c>
      <c r="R1285" s="22">
        <v>20</v>
      </c>
      <c r="S1285" s="23">
        <f>(Table13[[#This Row],[Unit Price]]*Table13[[#This Row],[No.of Units]])*18%</f>
        <v>31374</v>
      </c>
      <c r="T1285" s="22" t="s">
        <v>1508</v>
      </c>
    </row>
    <row r="1286" spans="2:20" x14ac:dyDescent="0.3">
      <c r="B1286" s="5" t="s">
        <v>1205</v>
      </c>
      <c r="C1286" s="1">
        <v>9722357</v>
      </c>
      <c r="D1286" s="1">
        <v>27</v>
      </c>
      <c r="E1286" s="1" t="s">
        <v>12</v>
      </c>
      <c r="F1286" s="16">
        <v>45959</v>
      </c>
      <c r="G1286" s="1" t="s">
        <v>1470</v>
      </c>
      <c r="H1286" s="1" t="s">
        <v>1471</v>
      </c>
      <c r="I1286" s="17" t="s">
        <v>1505</v>
      </c>
      <c r="J1286" s="18" t="s">
        <v>23</v>
      </c>
      <c r="K1286" s="19" t="s">
        <v>14</v>
      </c>
      <c r="L1286" s="19" t="s">
        <v>42</v>
      </c>
      <c r="M1286" s="20">
        <v>5</v>
      </c>
      <c r="N1286" s="21">
        <v>84999</v>
      </c>
      <c r="O1286" s="22">
        <v>12</v>
      </c>
      <c r="P1286" s="23">
        <v>373995.6</v>
      </c>
      <c r="Q1286" s="22">
        <v>4.5</v>
      </c>
      <c r="R1286" s="22">
        <v>20</v>
      </c>
      <c r="S1286" s="23">
        <f>(Table13[[#This Row],[Unit Price]]*Table13[[#This Row],[No.of Units]])*18%</f>
        <v>76499.099999999991</v>
      </c>
      <c r="T1286" s="22" t="s">
        <v>1508</v>
      </c>
    </row>
    <row r="1287" spans="2:20" x14ac:dyDescent="0.3">
      <c r="B1287" s="5" t="s">
        <v>1206</v>
      </c>
      <c r="C1287" s="1">
        <v>3662074</v>
      </c>
      <c r="D1287" s="1">
        <v>20</v>
      </c>
      <c r="E1287" s="1" t="s">
        <v>12</v>
      </c>
      <c r="F1287" s="16">
        <v>45959</v>
      </c>
      <c r="G1287" s="1" t="s">
        <v>1475</v>
      </c>
      <c r="H1287" s="1" t="s">
        <v>1471</v>
      </c>
      <c r="I1287" s="17" t="s">
        <v>1504</v>
      </c>
      <c r="J1287" s="18" t="s">
        <v>25</v>
      </c>
      <c r="K1287" s="19" t="s">
        <v>26</v>
      </c>
      <c r="L1287" s="19" t="s">
        <v>42</v>
      </c>
      <c r="M1287" s="20">
        <v>6</v>
      </c>
      <c r="N1287" s="21">
        <v>69999</v>
      </c>
      <c r="O1287" s="22">
        <v>8</v>
      </c>
      <c r="P1287" s="23">
        <v>386394.48</v>
      </c>
      <c r="Q1287" s="22">
        <v>4.8</v>
      </c>
      <c r="R1287" s="22">
        <v>20</v>
      </c>
      <c r="S1287" s="23">
        <f>(Table13[[#This Row],[Unit Price]]*Table13[[#This Row],[No.of Units]])*18%</f>
        <v>75598.92</v>
      </c>
      <c r="T1287" s="22" t="s">
        <v>1508</v>
      </c>
    </row>
    <row r="1288" spans="2:20" x14ac:dyDescent="0.3">
      <c r="B1288" s="5" t="s">
        <v>1207</v>
      </c>
      <c r="C1288" s="1">
        <v>2438166</v>
      </c>
      <c r="D1288" s="1">
        <v>52</v>
      </c>
      <c r="E1288" s="1" t="s">
        <v>20</v>
      </c>
      <c r="F1288" s="16">
        <v>45959</v>
      </c>
      <c r="G1288" s="1" t="s">
        <v>1470</v>
      </c>
      <c r="H1288" s="1" t="s">
        <v>1471</v>
      </c>
      <c r="I1288" s="17" t="s">
        <v>1503</v>
      </c>
      <c r="J1288" s="18" t="s">
        <v>28</v>
      </c>
      <c r="K1288" s="19" t="s">
        <v>26</v>
      </c>
      <c r="L1288" s="19" t="s">
        <v>42</v>
      </c>
      <c r="M1288" s="20">
        <v>9</v>
      </c>
      <c r="N1288" s="21">
        <v>42999</v>
      </c>
      <c r="O1288" s="22">
        <v>15</v>
      </c>
      <c r="P1288" s="23">
        <v>328942.34999999998</v>
      </c>
      <c r="Q1288" s="22">
        <v>4.5999999999999996</v>
      </c>
      <c r="R1288" s="22">
        <v>20</v>
      </c>
      <c r="S1288" s="23">
        <f>(Table13[[#This Row],[Unit Price]]*Table13[[#This Row],[No.of Units]])*18%</f>
        <v>69658.38</v>
      </c>
      <c r="T1288" s="22" t="s">
        <v>1508</v>
      </c>
    </row>
    <row r="1289" spans="2:20" x14ac:dyDescent="0.3">
      <c r="B1289" s="5" t="s">
        <v>1208</v>
      </c>
      <c r="C1289" s="1">
        <v>6820480</v>
      </c>
      <c r="D1289" s="1">
        <v>23</v>
      </c>
      <c r="E1289" s="1" t="s">
        <v>12</v>
      </c>
      <c r="F1289" s="16">
        <v>45959</v>
      </c>
      <c r="G1289" s="1" t="s">
        <v>1470</v>
      </c>
      <c r="H1289" s="1" t="s">
        <v>1472</v>
      </c>
      <c r="I1289" s="17" t="s">
        <v>1502</v>
      </c>
      <c r="J1289" s="18" t="s">
        <v>13</v>
      </c>
      <c r="K1289" s="19" t="s">
        <v>14</v>
      </c>
      <c r="L1289" s="19" t="s">
        <v>49</v>
      </c>
      <c r="M1289" s="20">
        <v>4</v>
      </c>
      <c r="N1289" s="21">
        <v>99999</v>
      </c>
      <c r="O1289" s="22">
        <v>10</v>
      </c>
      <c r="P1289" s="23">
        <v>359996.4</v>
      </c>
      <c r="Q1289" s="22">
        <v>4.7</v>
      </c>
      <c r="R1289" s="22">
        <v>20</v>
      </c>
      <c r="S1289" s="23">
        <f>(Table13[[#This Row],[Unit Price]]*Table13[[#This Row],[No.of Units]])*18%</f>
        <v>71999.28</v>
      </c>
      <c r="T1289" s="22" t="s">
        <v>1507</v>
      </c>
    </row>
    <row r="1290" spans="2:20" x14ac:dyDescent="0.3">
      <c r="B1290" s="5" t="s">
        <v>1209</v>
      </c>
      <c r="C1290" s="1">
        <v>1750809</v>
      </c>
      <c r="D1290" s="1">
        <v>28</v>
      </c>
      <c r="E1290" s="1" t="s">
        <v>12</v>
      </c>
      <c r="F1290" s="16">
        <v>45959</v>
      </c>
      <c r="G1290" s="1" t="s">
        <v>1470</v>
      </c>
      <c r="H1290" s="1" t="s">
        <v>1482</v>
      </c>
      <c r="I1290" s="17" t="s">
        <v>1503</v>
      </c>
      <c r="J1290" s="18" t="s">
        <v>17</v>
      </c>
      <c r="K1290" s="19" t="s">
        <v>18</v>
      </c>
      <c r="L1290" s="19" t="s">
        <v>49</v>
      </c>
      <c r="M1290" s="20">
        <v>47</v>
      </c>
      <c r="N1290" s="21">
        <v>4999</v>
      </c>
      <c r="O1290" s="22">
        <v>18</v>
      </c>
      <c r="P1290" s="23">
        <v>192661.46</v>
      </c>
      <c r="Q1290" s="22">
        <v>4.4000000000000004</v>
      </c>
      <c r="R1290" s="22">
        <v>20</v>
      </c>
      <c r="S1290" s="23">
        <f>(Table13[[#This Row],[Unit Price]]*Table13[[#This Row],[No.of Units]])*18%</f>
        <v>42291.54</v>
      </c>
      <c r="T1290" s="22" t="s">
        <v>1508</v>
      </c>
    </row>
    <row r="1291" spans="2:20" x14ac:dyDescent="0.3">
      <c r="B1291" s="5" t="s">
        <v>1210</v>
      </c>
      <c r="C1291" s="1">
        <v>7894827</v>
      </c>
      <c r="D1291" s="1">
        <v>29</v>
      </c>
      <c r="E1291" s="1" t="s">
        <v>12</v>
      </c>
      <c r="F1291" s="16">
        <v>45959</v>
      </c>
      <c r="G1291" s="1" t="s">
        <v>1470</v>
      </c>
      <c r="H1291" s="1" t="s">
        <v>1471</v>
      </c>
      <c r="I1291" s="17" t="s">
        <v>1504</v>
      </c>
      <c r="J1291" s="18" t="s">
        <v>21</v>
      </c>
      <c r="K1291" s="19" t="s">
        <v>18</v>
      </c>
      <c r="L1291" s="19" t="s">
        <v>49</v>
      </c>
      <c r="M1291" s="20">
        <v>5</v>
      </c>
      <c r="N1291" s="21">
        <v>24900</v>
      </c>
      <c r="O1291" s="22">
        <v>5</v>
      </c>
      <c r="P1291" s="23">
        <v>118275</v>
      </c>
      <c r="Q1291" s="22">
        <v>4.8</v>
      </c>
      <c r="R1291" s="22">
        <v>20</v>
      </c>
      <c r="S1291" s="23">
        <f>(Table13[[#This Row],[Unit Price]]*Table13[[#This Row],[No.of Units]])*18%</f>
        <v>22410</v>
      </c>
      <c r="T1291" s="22" t="s">
        <v>1507</v>
      </c>
    </row>
    <row r="1292" spans="2:20" x14ac:dyDescent="0.3">
      <c r="B1292" s="5" t="s">
        <v>1211</v>
      </c>
      <c r="C1292" s="1">
        <v>5359308</v>
      </c>
      <c r="D1292" s="1">
        <v>24</v>
      </c>
      <c r="E1292" s="1" t="s">
        <v>12</v>
      </c>
      <c r="F1292" s="16">
        <v>45959</v>
      </c>
      <c r="G1292" s="1" t="s">
        <v>1470</v>
      </c>
      <c r="H1292" s="1" t="s">
        <v>1471</v>
      </c>
      <c r="I1292" s="17" t="s">
        <v>1505</v>
      </c>
      <c r="J1292" s="18" t="s">
        <v>23</v>
      </c>
      <c r="K1292" s="19" t="s">
        <v>14</v>
      </c>
      <c r="L1292" s="19" t="s">
        <v>49</v>
      </c>
      <c r="M1292" s="20">
        <v>2</v>
      </c>
      <c r="N1292" s="21">
        <v>84999</v>
      </c>
      <c r="O1292" s="22">
        <v>12</v>
      </c>
      <c r="P1292" s="23">
        <v>149598.24</v>
      </c>
      <c r="Q1292" s="22">
        <v>4.5</v>
      </c>
      <c r="R1292" s="22">
        <v>20</v>
      </c>
      <c r="S1292" s="23">
        <f>(Table13[[#This Row],[Unit Price]]*Table13[[#This Row],[No.of Units]])*18%</f>
        <v>30599.64</v>
      </c>
      <c r="T1292" s="22" t="s">
        <v>1507</v>
      </c>
    </row>
    <row r="1293" spans="2:20" x14ac:dyDescent="0.3">
      <c r="B1293" s="5" t="s">
        <v>1212</v>
      </c>
      <c r="C1293" s="1">
        <v>9083028</v>
      </c>
      <c r="D1293" s="1">
        <v>61</v>
      </c>
      <c r="E1293" s="1" t="s">
        <v>20</v>
      </c>
      <c r="F1293" s="16">
        <v>45959</v>
      </c>
      <c r="G1293" s="1" t="s">
        <v>1470</v>
      </c>
      <c r="H1293" s="1" t="s">
        <v>1472</v>
      </c>
      <c r="I1293" s="17" t="s">
        <v>1504</v>
      </c>
      <c r="J1293" s="18" t="s">
        <v>25</v>
      </c>
      <c r="K1293" s="19" t="s">
        <v>26</v>
      </c>
      <c r="L1293" s="19" t="s">
        <v>49</v>
      </c>
      <c r="M1293" s="20">
        <v>3</v>
      </c>
      <c r="N1293" s="21">
        <v>69999</v>
      </c>
      <c r="O1293" s="22">
        <v>8</v>
      </c>
      <c r="P1293" s="23">
        <v>193197.24</v>
      </c>
      <c r="Q1293" s="22">
        <v>4.8</v>
      </c>
      <c r="R1293" s="22">
        <v>20</v>
      </c>
      <c r="S1293" s="23">
        <f>(Table13[[#This Row],[Unit Price]]*Table13[[#This Row],[No.of Units]])*18%</f>
        <v>37799.46</v>
      </c>
      <c r="T1293" s="22" t="s">
        <v>1507</v>
      </c>
    </row>
    <row r="1294" spans="2:20" x14ac:dyDescent="0.3">
      <c r="B1294" s="5" t="s">
        <v>1213</v>
      </c>
      <c r="C1294" s="1">
        <v>8259194</v>
      </c>
      <c r="D1294" s="1">
        <v>34</v>
      </c>
      <c r="E1294" s="1" t="s">
        <v>12</v>
      </c>
      <c r="F1294" s="16">
        <v>45959</v>
      </c>
      <c r="G1294" s="1" t="s">
        <v>1470</v>
      </c>
      <c r="H1294" s="1" t="s">
        <v>1482</v>
      </c>
      <c r="I1294" s="17" t="s">
        <v>1503</v>
      </c>
      <c r="J1294" s="18" t="s">
        <v>28</v>
      </c>
      <c r="K1294" s="19" t="s">
        <v>26</v>
      </c>
      <c r="L1294" s="19" t="s">
        <v>49</v>
      </c>
      <c r="M1294" s="20">
        <v>7</v>
      </c>
      <c r="N1294" s="21">
        <v>42999</v>
      </c>
      <c r="O1294" s="22">
        <v>15</v>
      </c>
      <c r="P1294" s="23">
        <v>255844.05</v>
      </c>
      <c r="Q1294" s="22">
        <v>4.5999999999999996</v>
      </c>
      <c r="R1294" s="22">
        <v>20</v>
      </c>
      <c r="S1294" s="23">
        <f>(Table13[[#This Row],[Unit Price]]*Table13[[#This Row],[No.of Units]])*18%</f>
        <v>54178.74</v>
      </c>
      <c r="T1294" s="22" t="s">
        <v>1508</v>
      </c>
    </row>
    <row r="1295" spans="2:20" x14ac:dyDescent="0.3">
      <c r="B1295" s="5" t="s">
        <v>1214</v>
      </c>
      <c r="C1295" s="1">
        <v>4731403</v>
      </c>
      <c r="D1295" s="1">
        <v>73</v>
      </c>
      <c r="E1295" s="1" t="s">
        <v>20</v>
      </c>
      <c r="F1295" s="16">
        <v>45966</v>
      </c>
      <c r="G1295" s="1" t="s">
        <v>1470</v>
      </c>
      <c r="H1295" s="1" t="s">
        <v>1471</v>
      </c>
      <c r="I1295" s="17" t="s">
        <v>1502</v>
      </c>
      <c r="J1295" s="18" t="s">
        <v>13</v>
      </c>
      <c r="K1295" s="19" t="s">
        <v>14</v>
      </c>
      <c r="L1295" s="19" t="s">
        <v>15</v>
      </c>
      <c r="M1295" s="20">
        <v>3</v>
      </c>
      <c r="N1295" s="21">
        <v>99999</v>
      </c>
      <c r="O1295" s="22">
        <v>10</v>
      </c>
      <c r="P1295" s="23">
        <v>269997.3</v>
      </c>
      <c r="Q1295" s="22">
        <v>4.7</v>
      </c>
      <c r="R1295" s="22">
        <v>20</v>
      </c>
      <c r="S1295" s="23">
        <f>(Table13[[#This Row],[Unit Price]]*Table13[[#This Row],[No.of Units]])*18%</f>
        <v>53999.46</v>
      </c>
      <c r="T1295" s="22" t="s">
        <v>1508</v>
      </c>
    </row>
    <row r="1296" spans="2:20" x14ac:dyDescent="0.3">
      <c r="B1296" s="5" t="s">
        <v>1215</v>
      </c>
      <c r="C1296" s="1">
        <v>6035246</v>
      </c>
      <c r="D1296" s="1">
        <v>27</v>
      </c>
      <c r="E1296" s="1" t="s">
        <v>12</v>
      </c>
      <c r="F1296" s="16">
        <v>45966</v>
      </c>
      <c r="G1296" s="1" t="s">
        <v>1470</v>
      </c>
      <c r="H1296" s="1" t="s">
        <v>1472</v>
      </c>
      <c r="I1296" s="17" t="s">
        <v>1503</v>
      </c>
      <c r="J1296" s="18" t="s">
        <v>17</v>
      </c>
      <c r="K1296" s="19" t="s">
        <v>18</v>
      </c>
      <c r="L1296" s="19" t="s">
        <v>15</v>
      </c>
      <c r="M1296" s="20">
        <v>34</v>
      </c>
      <c r="N1296" s="21">
        <v>4999</v>
      </c>
      <c r="O1296" s="22">
        <v>18</v>
      </c>
      <c r="P1296" s="23">
        <v>139372.12</v>
      </c>
      <c r="Q1296" s="22">
        <v>4.4000000000000004</v>
      </c>
      <c r="R1296" s="22">
        <v>20</v>
      </c>
      <c r="S1296" s="23">
        <f>(Table13[[#This Row],[Unit Price]]*Table13[[#This Row],[No.of Units]])*18%</f>
        <v>30593.879999999997</v>
      </c>
      <c r="T1296" s="22" t="s">
        <v>1508</v>
      </c>
    </row>
    <row r="1297" spans="2:20" x14ac:dyDescent="0.3">
      <c r="B1297" s="5" t="s">
        <v>1216</v>
      </c>
      <c r="C1297" s="1">
        <v>5687079</v>
      </c>
      <c r="D1297" s="1">
        <v>75</v>
      </c>
      <c r="E1297" s="1" t="s">
        <v>20</v>
      </c>
      <c r="F1297" s="16">
        <v>45966</v>
      </c>
      <c r="G1297" s="1" t="s">
        <v>1470</v>
      </c>
      <c r="H1297" s="1" t="s">
        <v>1483</v>
      </c>
      <c r="I1297" s="17" t="s">
        <v>1504</v>
      </c>
      <c r="J1297" s="18" t="s">
        <v>21</v>
      </c>
      <c r="K1297" s="19" t="s">
        <v>18</v>
      </c>
      <c r="L1297" s="19" t="s">
        <v>15</v>
      </c>
      <c r="M1297" s="20">
        <v>8</v>
      </c>
      <c r="N1297" s="21">
        <v>24900</v>
      </c>
      <c r="O1297" s="22">
        <v>5</v>
      </c>
      <c r="P1297" s="23">
        <v>189240</v>
      </c>
      <c r="Q1297" s="22">
        <v>4.8</v>
      </c>
      <c r="R1297" s="22">
        <v>20</v>
      </c>
      <c r="S1297" s="23">
        <f>(Table13[[#This Row],[Unit Price]]*Table13[[#This Row],[No.of Units]])*18%</f>
        <v>35856</v>
      </c>
      <c r="T1297" s="22" t="s">
        <v>1508</v>
      </c>
    </row>
    <row r="1298" spans="2:20" x14ac:dyDescent="0.3">
      <c r="B1298" s="5" t="s">
        <v>1217</v>
      </c>
      <c r="C1298" s="1">
        <v>3334901</v>
      </c>
      <c r="D1298" s="1">
        <v>40</v>
      </c>
      <c r="E1298" s="1" t="s">
        <v>12</v>
      </c>
      <c r="F1298" s="16">
        <v>45966</v>
      </c>
      <c r="G1298" s="1" t="s">
        <v>1470</v>
      </c>
      <c r="H1298" s="1" t="s">
        <v>1472</v>
      </c>
      <c r="I1298" s="17" t="s">
        <v>1505</v>
      </c>
      <c r="J1298" s="18" t="s">
        <v>23</v>
      </c>
      <c r="K1298" s="19" t="s">
        <v>14</v>
      </c>
      <c r="L1298" s="19" t="s">
        <v>15</v>
      </c>
      <c r="M1298" s="20">
        <v>3</v>
      </c>
      <c r="N1298" s="21">
        <v>84999</v>
      </c>
      <c r="O1298" s="22">
        <v>12</v>
      </c>
      <c r="P1298" s="23">
        <v>224397.36</v>
      </c>
      <c r="Q1298" s="22">
        <v>4.5</v>
      </c>
      <c r="R1298" s="22">
        <v>20</v>
      </c>
      <c r="S1298" s="23">
        <f>(Table13[[#This Row],[Unit Price]]*Table13[[#This Row],[No.of Units]])*18%</f>
        <v>45899.46</v>
      </c>
      <c r="T1298" s="22" t="s">
        <v>1507</v>
      </c>
    </row>
    <row r="1299" spans="2:20" x14ac:dyDescent="0.3">
      <c r="B1299" s="5" t="s">
        <v>1218</v>
      </c>
      <c r="C1299" s="1">
        <v>6920467</v>
      </c>
      <c r="D1299" s="1">
        <v>44</v>
      </c>
      <c r="E1299" s="1" t="s">
        <v>12</v>
      </c>
      <c r="F1299" s="16">
        <v>45966</v>
      </c>
      <c r="G1299" s="1" t="s">
        <v>1470</v>
      </c>
      <c r="H1299" s="1" t="s">
        <v>1472</v>
      </c>
      <c r="I1299" s="17" t="s">
        <v>1504</v>
      </c>
      <c r="J1299" s="18" t="s">
        <v>25</v>
      </c>
      <c r="K1299" s="19" t="s">
        <v>26</v>
      </c>
      <c r="L1299" s="19" t="s">
        <v>15</v>
      </c>
      <c r="M1299" s="20">
        <v>5</v>
      </c>
      <c r="N1299" s="21">
        <v>69999</v>
      </c>
      <c r="O1299" s="22">
        <v>8</v>
      </c>
      <c r="P1299" s="23">
        <v>321995.40000000002</v>
      </c>
      <c r="Q1299" s="22">
        <v>4.8</v>
      </c>
      <c r="R1299" s="22">
        <v>20</v>
      </c>
      <c r="S1299" s="23">
        <f>(Table13[[#This Row],[Unit Price]]*Table13[[#This Row],[No.of Units]])*18%</f>
        <v>62999.1</v>
      </c>
      <c r="T1299" s="22" t="s">
        <v>1508</v>
      </c>
    </row>
    <row r="1300" spans="2:20" x14ac:dyDescent="0.3">
      <c r="B1300" s="5" t="s">
        <v>1218</v>
      </c>
      <c r="C1300" s="1">
        <v>6920467</v>
      </c>
      <c r="D1300" s="1">
        <v>57</v>
      </c>
      <c r="E1300" s="1" t="s">
        <v>20</v>
      </c>
      <c r="F1300" s="16">
        <v>45966</v>
      </c>
      <c r="G1300" s="1" t="s">
        <v>1470</v>
      </c>
      <c r="H1300" s="1" t="s">
        <v>1483</v>
      </c>
      <c r="I1300" s="17" t="s">
        <v>1503</v>
      </c>
      <c r="J1300" s="18" t="s">
        <v>28</v>
      </c>
      <c r="K1300" s="19" t="s">
        <v>26</v>
      </c>
      <c r="L1300" s="19" t="s">
        <v>15</v>
      </c>
      <c r="M1300" s="20">
        <v>10</v>
      </c>
      <c r="N1300" s="21">
        <v>42999</v>
      </c>
      <c r="O1300" s="22">
        <v>15</v>
      </c>
      <c r="P1300" s="23">
        <v>365491.5</v>
      </c>
      <c r="Q1300" s="22">
        <v>4.5999999999999996</v>
      </c>
      <c r="R1300" s="22">
        <v>20</v>
      </c>
      <c r="S1300" s="23">
        <f>(Table13[[#This Row],[Unit Price]]*Table13[[#This Row],[No.of Units]])*18%</f>
        <v>77398.2</v>
      </c>
      <c r="T1300" s="22" t="s">
        <v>1508</v>
      </c>
    </row>
    <row r="1301" spans="2:20" x14ac:dyDescent="0.3">
      <c r="B1301" s="5" t="s">
        <v>1219</v>
      </c>
      <c r="C1301" s="1">
        <v>3698261</v>
      </c>
      <c r="D1301" s="1">
        <v>41</v>
      </c>
      <c r="E1301" s="1" t="s">
        <v>12</v>
      </c>
      <c r="F1301" s="16">
        <v>45966</v>
      </c>
      <c r="G1301" s="1" t="s">
        <v>1470</v>
      </c>
      <c r="H1301" s="1" t="s">
        <v>1471</v>
      </c>
      <c r="I1301" s="17" t="s">
        <v>1502</v>
      </c>
      <c r="J1301" s="18" t="s">
        <v>13</v>
      </c>
      <c r="K1301" s="19" t="s">
        <v>14</v>
      </c>
      <c r="L1301" s="19" t="s">
        <v>29</v>
      </c>
      <c r="M1301" s="20">
        <v>4</v>
      </c>
      <c r="N1301" s="21">
        <v>99999</v>
      </c>
      <c r="O1301" s="22">
        <v>10</v>
      </c>
      <c r="P1301" s="23">
        <v>359996.4</v>
      </c>
      <c r="Q1301" s="22">
        <v>4.7</v>
      </c>
      <c r="R1301" s="22">
        <v>20</v>
      </c>
      <c r="S1301" s="23">
        <f>(Table13[[#This Row],[Unit Price]]*Table13[[#This Row],[No.of Units]])*18%</f>
        <v>71999.28</v>
      </c>
      <c r="T1301" s="22" t="s">
        <v>1508</v>
      </c>
    </row>
    <row r="1302" spans="2:20" x14ac:dyDescent="0.3">
      <c r="B1302" s="5" t="s">
        <v>1220</v>
      </c>
      <c r="C1302" s="1">
        <v>4288404</v>
      </c>
      <c r="D1302" s="1">
        <v>18</v>
      </c>
      <c r="E1302" s="1" t="s">
        <v>34</v>
      </c>
      <c r="F1302" s="16">
        <v>45966</v>
      </c>
      <c r="G1302" s="1" t="s">
        <v>1470</v>
      </c>
      <c r="H1302" s="1" t="s">
        <v>1472</v>
      </c>
      <c r="I1302" s="17" t="s">
        <v>1503</v>
      </c>
      <c r="J1302" s="18" t="s">
        <v>17</v>
      </c>
      <c r="K1302" s="19" t="s">
        <v>18</v>
      </c>
      <c r="L1302" s="19" t="s">
        <v>29</v>
      </c>
      <c r="M1302" s="20">
        <v>54</v>
      </c>
      <c r="N1302" s="21">
        <v>4999</v>
      </c>
      <c r="O1302" s="22">
        <v>18</v>
      </c>
      <c r="P1302" s="23">
        <v>221355.72</v>
      </c>
      <c r="Q1302" s="22">
        <v>4.4000000000000004</v>
      </c>
      <c r="R1302" s="22">
        <v>20</v>
      </c>
      <c r="S1302" s="23">
        <f>(Table13[[#This Row],[Unit Price]]*Table13[[#This Row],[No.of Units]])*18%</f>
        <v>48590.28</v>
      </c>
      <c r="T1302" s="22" t="s">
        <v>1508</v>
      </c>
    </row>
    <row r="1303" spans="2:20" x14ac:dyDescent="0.3">
      <c r="B1303" s="5" t="s">
        <v>1221</v>
      </c>
      <c r="C1303" s="1">
        <v>9156153</v>
      </c>
      <c r="D1303" s="1">
        <v>72</v>
      </c>
      <c r="E1303" s="1" t="s">
        <v>20</v>
      </c>
      <c r="F1303" s="16">
        <v>45966</v>
      </c>
      <c r="G1303" s="1" t="s">
        <v>1470</v>
      </c>
      <c r="H1303" s="1" t="s">
        <v>1482</v>
      </c>
      <c r="I1303" s="17" t="s">
        <v>1504</v>
      </c>
      <c r="J1303" s="18" t="s">
        <v>21</v>
      </c>
      <c r="K1303" s="19" t="s">
        <v>18</v>
      </c>
      <c r="L1303" s="19" t="s">
        <v>29</v>
      </c>
      <c r="M1303" s="20">
        <v>13</v>
      </c>
      <c r="N1303" s="21">
        <v>24900</v>
      </c>
      <c r="O1303" s="22">
        <v>5</v>
      </c>
      <c r="P1303" s="23">
        <v>307515</v>
      </c>
      <c r="Q1303" s="22">
        <v>4.8</v>
      </c>
      <c r="R1303" s="22">
        <v>20</v>
      </c>
      <c r="S1303" s="23">
        <f>(Table13[[#This Row],[Unit Price]]*Table13[[#This Row],[No.of Units]])*18%</f>
        <v>58266</v>
      </c>
      <c r="T1303" s="22" t="s">
        <v>1508</v>
      </c>
    </row>
    <row r="1304" spans="2:20" x14ac:dyDescent="0.3">
      <c r="B1304" s="5" t="s">
        <v>1222</v>
      </c>
      <c r="C1304" s="1">
        <v>906395</v>
      </c>
      <c r="D1304" s="1">
        <v>36</v>
      </c>
      <c r="E1304" s="1" t="s">
        <v>12</v>
      </c>
      <c r="F1304" s="16">
        <v>45966</v>
      </c>
      <c r="G1304" s="1" t="s">
        <v>1470</v>
      </c>
      <c r="H1304" s="1" t="s">
        <v>1472</v>
      </c>
      <c r="I1304" s="17" t="s">
        <v>1505</v>
      </c>
      <c r="J1304" s="18" t="s">
        <v>23</v>
      </c>
      <c r="K1304" s="19" t="s">
        <v>14</v>
      </c>
      <c r="L1304" s="19" t="s">
        <v>29</v>
      </c>
      <c r="M1304" s="20">
        <v>4</v>
      </c>
      <c r="N1304" s="21">
        <v>84999</v>
      </c>
      <c r="O1304" s="22">
        <v>12</v>
      </c>
      <c r="P1304" s="23">
        <v>299196.48</v>
      </c>
      <c r="Q1304" s="22">
        <v>4.5</v>
      </c>
      <c r="R1304" s="22">
        <v>20</v>
      </c>
      <c r="S1304" s="23">
        <f>(Table13[[#This Row],[Unit Price]]*Table13[[#This Row],[No.of Units]])*18%</f>
        <v>61199.28</v>
      </c>
      <c r="T1304" s="22" t="s">
        <v>1508</v>
      </c>
    </row>
    <row r="1305" spans="2:20" x14ac:dyDescent="0.3">
      <c r="B1305" s="5" t="s">
        <v>1223</v>
      </c>
      <c r="C1305" s="1">
        <v>723620</v>
      </c>
      <c r="D1305" s="1">
        <v>66</v>
      </c>
      <c r="E1305" s="1" t="s">
        <v>20</v>
      </c>
      <c r="F1305" s="16">
        <v>45966</v>
      </c>
      <c r="G1305" s="1" t="s">
        <v>1470</v>
      </c>
      <c r="H1305" s="1" t="s">
        <v>1471</v>
      </c>
      <c r="I1305" s="17" t="s">
        <v>1504</v>
      </c>
      <c r="J1305" s="18" t="s">
        <v>25</v>
      </c>
      <c r="K1305" s="19" t="s">
        <v>26</v>
      </c>
      <c r="L1305" s="19" t="s">
        <v>29</v>
      </c>
      <c r="M1305" s="20">
        <v>6</v>
      </c>
      <c r="N1305" s="21">
        <v>69999</v>
      </c>
      <c r="O1305" s="22">
        <v>8</v>
      </c>
      <c r="P1305" s="23">
        <v>386394.48</v>
      </c>
      <c r="Q1305" s="22">
        <v>4.8</v>
      </c>
      <c r="R1305" s="22">
        <v>20</v>
      </c>
      <c r="S1305" s="23">
        <f>(Table13[[#This Row],[Unit Price]]*Table13[[#This Row],[No.of Units]])*18%</f>
        <v>75598.92</v>
      </c>
      <c r="T1305" s="22" t="s">
        <v>1508</v>
      </c>
    </row>
    <row r="1306" spans="2:20" x14ac:dyDescent="0.3">
      <c r="B1306" s="5" t="s">
        <v>1224</v>
      </c>
      <c r="C1306" s="1">
        <v>2273092</v>
      </c>
      <c r="D1306" s="1">
        <v>20</v>
      </c>
      <c r="E1306" s="1" t="s">
        <v>12</v>
      </c>
      <c r="F1306" s="16">
        <v>45966</v>
      </c>
      <c r="G1306" s="1" t="s">
        <v>1470</v>
      </c>
      <c r="H1306" s="1" t="s">
        <v>1471</v>
      </c>
      <c r="I1306" s="17" t="s">
        <v>1503</v>
      </c>
      <c r="J1306" s="18" t="s">
        <v>28</v>
      </c>
      <c r="K1306" s="19" t="s">
        <v>26</v>
      </c>
      <c r="L1306" s="19" t="s">
        <v>29</v>
      </c>
      <c r="M1306" s="20">
        <v>5</v>
      </c>
      <c r="N1306" s="21">
        <v>42999</v>
      </c>
      <c r="O1306" s="22">
        <v>15</v>
      </c>
      <c r="P1306" s="23">
        <v>182745.75</v>
      </c>
      <c r="Q1306" s="22">
        <v>4.5999999999999996</v>
      </c>
      <c r="R1306" s="22">
        <v>20</v>
      </c>
      <c r="S1306" s="23">
        <f>(Table13[[#This Row],[Unit Price]]*Table13[[#This Row],[No.of Units]])*18%</f>
        <v>38699.1</v>
      </c>
      <c r="T1306" s="22" t="s">
        <v>1508</v>
      </c>
    </row>
    <row r="1307" spans="2:20" x14ac:dyDescent="0.3">
      <c r="B1307" s="5" t="s">
        <v>1225</v>
      </c>
      <c r="C1307" s="1">
        <v>3012152</v>
      </c>
      <c r="D1307" s="1">
        <v>25</v>
      </c>
      <c r="E1307" s="1" t="s">
        <v>12</v>
      </c>
      <c r="F1307" s="16">
        <v>45966</v>
      </c>
      <c r="G1307" s="1" t="s">
        <v>1470</v>
      </c>
      <c r="H1307" s="1" t="s">
        <v>1471</v>
      </c>
      <c r="I1307" s="17" t="s">
        <v>1502</v>
      </c>
      <c r="J1307" s="18" t="s">
        <v>13</v>
      </c>
      <c r="K1307" s="19" t="s">
        <v>14</v>
      </c>
      <c r="L1307" s="19" t="s">
        <v>35</v>
      </c>
      <c r="M1307" s="20">
        <v>3</v>
      </c>
      <c r="N1307" s="21">
        <v>99999</v>
      </c>
      <c r="O1307" s="22">
        <v>10</v>
      </c>
      <c r="P1307" s="23">
        <v>269997.3</v>
      </c>
      <c r="Q1307" s="22">
        <v>4.7</v>
      </c>
      <c r="R1307" s="22">
        <v>20</v>
      </c>
      <c r="S1307" s="23">
        <f>(Table13[[#This Row],[Unit Price]]*Table13[[#This Row],[No.of Units]])*18%</f>
        <v>53999.46</v>
      </c>
      <c r="T1307" s="22" t="s">
        <v>1507</v>
      </c>
    </row>
    <row r="1308" spans="2:20" x14ac:dyDescent="0.3">
      <c r="B1308" s="5" t="s">
        <v>1226</v>
      </c>
      <c r="C1308" s="1">
        <v>9259471</v>
      </c>
      <c r="D1308" s="1">
        <v>40</v>
      </c>
      <c r="E1308" s="1" t="s">
        <v>12</v>
      </c>
      <c r="F1308" s="16">
        <v>45966</v>
      </c>
      <c r="G1308" s="1" t="s">
        <v>1470</v>
      </c>
      <c r="H1308" s="1" t="s">
        <v>1482</v>
      </c>
      <c r="I1308" s="17" t="s">
        <v>1503</v>
      </c>
      <c r="J1308" s="18" t="s">
        <v>17</v>
      </c>
      <c r="K1308" s="19" t="s">
        <v>18</v>
      </c>
      <c r="L1308" s="19" t="s">
        <v>35</v>
      </c>
      <c r="M1308" s="20">
        <v>31</v>
      </c>
      <c r="N1308" s="21">
        <v>4999</v>
      </c>
      <c r="O1308" s="22">
        <v>18</v>
      </c>
      <c r="P1308" s="23">
        <v>127074.58</v>
      </c>
      <c r="Q1308" s="22">
        <v>4.4000000000000004</v>
      </c>
      <c r="R1308" s="22">
        <v>20</v>
      </c>
      <c r="S1308" s="23">
        <f>(Table13[[#This Row],[Unit Price]]*Table13[[#This Row],[No.of Units]])*18%</f>
        <v>27894.42</v>
      </c>
      <c r="T1308" s="22" t="s">
        <v>1507</v>
      </c>
    </row>
    <row r="1309" spans="2:20" x14ac:dyDescent="0.3">
      <c r="B1309" s="5" t="s">
        <v>1227</v>
      </c>
      <c r="C1309" s="1">
        <v>1302840</v>
      </c>
      <c r="D1309" s="1">
        <v>45</v>
      </c>
      <c r="E1309" s="1" t="s">
        <v>12</v>
      </c>
      <c r="F1309" s="16">
        <v>45966</v>
      </c>
      <c r="G1309" s="1" t="s">
        <v>1470</v>
      </c>
      <c r="H1309" s="1" t="s">
        <v>1472</v>
      </c>
      <c r="I1309" s="17" t="s">
        <v>1504</v>
      </c>
      <c r="J1309" s="18" t="s">
        <v>21</v>
      </c>
      <c r="K1309" s="19" t="s">
        <v>18</v>
      </c>
      <c r="L1309" s="19" t="s">
        <v>35</v>
      </c>
      <c r="M1309" s="20">
        <v>12</v>
      </c>
      <c r="N1309" s="21">
        <v>24900</v>
      </c>
      <c r="O1309" s="22">
        <v>5</v>
      </c>
      <c r="P1309" s="23">
        <v>283860</v>
      </c>
      <c r="Q1309" s="22">
        <v>4.8</v>
      </c>
      <c r="R1309" s="22">
        <v>20</v>
      </c>
      <c r="S1309" s="23">
        <f>(Table13[[#This Row],[Unit Price]]*Table13[[#This Row],[No.of Units]])*18%</f>
        <v>53784</v>
      </c>
      <c r="T1309" s="22" t="s">
        <v>1508</v>
      </c>
    </row>
    <row r="1310" spans="2:20" x14ac:dyDescent="0.3">
      <c r="B1310" s="5" t="s">
        <v>1228</v>
      </c>
      <c r="C1310" s="1">
        <v>1876196</v>
      </c>
      <c r="D1310" s="1">
        <v>43</v>
      </c>
      <c r="E1310" s="1" t="s">
        <v>12</v>
      </c>
      <c r="F1310" s="16">
        <v>45966</v>
      </c>
      <c r="G1310" s="1" t="s">
        <v>1470</v>
      </c>
      <c r="H1310" s="1" t="s">
        <v>1472</v>
      </c>
      <c r="I1310" s="17" t="s">
        <v>1505</v>
      </c>
      <c r="J1310" s="18" t="s">
        <v>23</v>
      </c>
      <c r="K1310" s="19" t="s">
        <v>14</v>
      </c>
      <c r="L1310" s="19" t="s">
        <v>35</v>
      </c>
      <c r="M1310" s="20">
        <v>5</v>
      </c>
      <c r="N1310" s="21">
        <v>84999</v>
      </c>
      <c r="O1310" s="22">
        <v>12</v>
      </c>
      <c r="P1310" s="23">
        <v>373995.6</v>
      </c>
      <c r="Q1310" s="22">
        <v>4.5</v>
      </c>
      <c r="R1310" s="22">
        <v>20</v>
      </c>
      <c r="S1310" s="23">
        <f>(Table13[[#This Row],[Unit Price]]*Table13[[#This Row],[No.of Units]])*18%</f>
        <v>76499.099999999991</v>
      </c>
      <c r="T1310" s="22" t="s">
        <v>1507</v>
      </c>
    </row>
    <row r="1311" spans="2:20" x14ac:dyDescent="0.3">
      <c r="B1311" s="5" t="s">
        <v>1229</v>
      </c>
      <c r="C1311" s="1">
        <v>4476173</v>
      </c>
      <c r="D1311" s="1">
        <v>51</v>
      </c>
      <c r="E1311" s="1" t="s">
        <v>20</v>
      </c>
      <c r="F1311" s="16">
        <v>45966</v>
      </c>
      <c r="G1311" s="1" t="s">
        <v>1470</v>
      </c>
      <c r="H1311" s="1" t="s">
        <v>1471</v>
      </c>
      <c r="I1311" s="17" t="s">
        <v>1504</v>
      </c>
      <c r="J1311" s="18" t="s">
        <v>25</v>
      </c>
      <c r="K1311" s="19" t="s">
        <v>26</v>
      </c>
      <c r="L1311" s="19" t="s">
        <v>35</v>
      </c>
      <c r="M1311" s="20">
        <v>2</v>
      </c>
      <c r="N1311" s="21">
        <v>69999</v>
      </c>
      <c r="O1311" s="22">
        <v>8</v>
      </c>
      <c r="P1311" s="23">
        <v>128798.16</v>
      </c>
      <c r="Q1311" s="22">
        <v>4.8</v>
      </c>
      <c r="R1311" s="22">
        <v>20</v>
      </c>
      <c r="S1311" s="23">
        <f>(Table13[[#This Row],[Unit Price]]*Table13[[#This Row],[No.of Units]])*18%</f>
        <v>25199.64</v>
      </c>
      <c r="T1311" s="22" t="s">
        <v>1508</v>
      </c>
    </row>
    <row r="1312" spans="2:20" x14ac:dyDescent="0.3">
      <c r="B1312" s="5" t="s">
        <v>1230</v>
      </c>
      <c r="C1312" s="1">
        <v>4491955</v>
      </c>
      <c r="D1312" s="1">
        <v>23</v>
      </c>
      <c r="E1312" s="1" t="s">
        <v>12</v>
      </c>
      <c r="F1312" s="16">
        <v>45966</v>
      </c>
      <c r="G1312" s="1" t="s">
        <v>1470</v>
      </c>
      <c r="H1312" s="1" t="s">
        <v>1482</v>
      </c>
      <c r="I1312" s="17" t="s">
        <v>1503</v>
      </c>
      <c r="J1312" s="18" t="s">
        <v>28</v>
      </c>
      <c r="K1312" s="19" t="s">
        <v>26</v>
      </c>
      <c r="L1312" s="19" t="s">
        <v>35</v>
      </c>
      <c r="M1312" s="20">
        <v>11</v>
      </c>
      <c r="N1312" s="21">
        <v>42999</v>
      </c>
      <c r="O1312" s="22">
        <v>15</v>
      </c>
      <c r="P1312" s="23">
        <v>402040.65</v>
      </c>
      <c r="Q1312" s="22">
        <v>4.5999999999999996</v>
      </c>
      <c r="R1312" s="22">
        <v>20</v>
      </c>
      <c r="S1312" s="23">
        <f>(Table13[[#This Row],[Unit Price]]*Table13[[#This Row],[No.of Units]])*18%</f>
        <v>85138.02</v>
      </c>
      <c r="T1312" s="22" t="s">
        <v>1508</v>
      </c>
    </row>
    <row r="1313" spans="2:20" x14ac:dyDescent="0.3">
      <c r="B1313" s="5" t="s">
        <v>1231</v>
      </c>
      <c r="C1313" s="1">
        <v>1796463</v>
      </c>
      <c r="D1313" s="1">
        <v>33</v>
      </c>
      <c r="E1313" s="1" t="s">
        <v>12</v>
      </c>
      <c r="F1313" s="16">
        <v>45966</v>
      </c>
      <c r="G1313" s="1" t="s">
        <v>1470</v>
      </c>
      <c r="H1313" s="1" t="s">
        <v>1482</v>
      </c>
      <c r="I1313" s="17" t="s">
        <v>1502</v>
      </c>
      <c r="J1313" s="18" t="s">
        <v>13</v>
      </c>
      <c r="K1313" s="19" t="s">
        <v>14</v>
      </c>
      <c r="L1313" s="19" t="s">
        <v>42</v>
      </c>
      <c r="M1313" s="20">
        <v>5</v>
      </c>
      <c r="N1313" s="21">
        <v>99999</v>
      </c>
      <c r="O1313" s="22">
        <v>10</v>
      </c>
      <c r="P1313" s="23">
        <v>449995.5</v>
      </c>
      <c r="Q1313" s="22">
        <v>4.7</v>
      </c>
      <c r="R1313" s="22">
        <v>20</v>
      </c>
      <c r="S1313" s="23">
        <f>(Table13[[#This Row],[Unit Price]]*Table13[[#This Row],[No.of Units]])*18%</f>
        <v>89999.099999999991</v>
      </c>
      <c r="T1313" s="22" t="s">
        <v>1507</v>
      </c>
    </row>
    <row r="1314" spans="2:20" x14ac:dyDescent="0.3">
      <c r="B1314" s="5" t="s">
        <v>1232</v>
      </c>
      <c r="C1314" s="1">
        <v>7829542</v>
      </c>
      <c r="D1314" s="1">
        <v>26</v>
      </c>
      <c r="E1314" s="1" t="s">
        <v>12</v>
      </c>
      <c r="F1314" s="16">
        <v>45966</v>
      </c>
      <c r="G1314" s="1" t="s">
        <v>1470</v>
      </c>
      <c r="H1314" s="1" t="s">
        <v>1482</v>
      </c>
      <c r="I1314" s="17" t="s">
        <v>1503</v>
      </c>
      <c r="J1314" s="18" t="s">
        <v>17</v>
      </c>
      <c r="K1314" s="19" t="s">
        <v>18</v>
      </c>
      <c r="L1314" s="19" t="s">
        <v>42</v>
      </c>
      <c r="M1314" s="20">
        <v>60</v>
      </c>
      <c r="N1314" s="21">
        <v>4999</v>
      </c>
      <c r="O1314" s="22">
        <v>18</v>
      </c>
      <c r="P1314" s="23">
        <v>245950.8</v>
      </c>
      <c r="Q1314" s="22">
        <v>4.4000000000000004</v>
      </c>
      <c r="R1314" s="22">
        <v>20</v>
      </c>
      <c r="S1314" s="23">
        <f>(Table13[[#This Row],[Unit Price]]*Table13[[#This Row],[No.of Units]])*18%</f>
        <v>53989.2</v>
      </c>
      <c r="T1314" s="22" t="s">
        <v>1508</v>
      </c>
    </row>
    <row r="1315" spans="2:20" x14ac:dyDescent="0.3">
      <c r="B1315" s="5" t="s">
        <v>1233</v>
      </c>
      <c r="C1315" s="1">
        <v>186588</v>
      </c>
      <c r="D1315" s="1">
        <v>26</v>
      </c>
      <c r="E1315" s="1" t="s">
        <v>12</v>
      </c>
      <c r="F1315" s="16">
        <v>45966</v>
      </c>
      <c r="G1315" s="1" t="s">
        <v>1470</v>
      </c>
      <c r="H1315" s="1" t="s">
        <v>1471</v>
      </c>
      <c r="I1315" s="17" t="s">
        <v>1504</v>
      </c>
      <c r="J1315" s="18" t="s">
        <v>21</v>
      </c>
      <c r="K1315" s="19" t="s">
        <v>18</v>
      </c>
      <c r="L1315" s="19" t="s">
        <v>42</v>
      </c>
      <c r="M1315" s="20">
        <v>6</v>
      </c>
      <c r="N1315" s="21">
        <v>24900</v>
      </c>
      <c r="O1315" s="22">
        <v>5</v>
      </c>
      <c r="P1315" s="23">
        <v>141930</v>
      </c>
      <c r="Q1315" s="22">
        <v>4.8</v>
      </c>
      <c r="R1315" s="22">
        <v>20</v>
      </c>
      <c r="S1315" s="23">
        <f>(Table13[[#This Row],[Unit Price]]*Table13[[#This Row],[No.of Units]])*18%</f>
        <v>26892</v>
      </c>
      <c r="T1315" s="22" t="s">
        <v>1507</v>
      </c>
    </row>
    <row r="1316" spans="2:20" x14ac:dyDescent="0.3">
      <c r="B1316" s="5" t="s">
        <v>1234</v>
      </c>
      <c r="C1316" s="1">
        <v>5873849</v>
      </c>
      <c r="D1316" s="1">
        <v>37</v>
      </c>
      <c r="E1316" s="1" t="s">
        <v>12</v>
      </c>
      <c r="F1316" s="16">
        <v>45966</v>
      </c>
      <c r="G1316" s="1" t="s">
        <v>1470</v>
      </c>
      <c r="H1316" s="1" t="s">
        <v>1472</v>
      </c>
      <c r="I1316" s="17" t="s">
        <v>1505</v>
      </c>
      <c r="J1316" s="18" t="s">
        <v>23</v>
      </c>
      <c r="K1316" s="19" t="s">
        <v>14</v>
      </c>
      <c r="L1316" s="19" t="s">
        <v>42</v>
      </c>
      <c r="M1316" s="20">
        <v>4</v>
      </c>
      <c r="N1316" s="21">
        <v>84999</v>
      </c>
      <c r="O1316" s="22">
        <v>12</v>
      </c>
      <c r="P1316" s="23">
        <v>299196.48</v>
      </c>
      <c r="Q1316" s="22">
        <v>4.5</v>
      </c>
      <c r="R1316" s="22">
        <v>20</v>
      </c>
      <c r="S1316" s="23">
        <f>(Table13[[#This Row],[Unit Price]]*Table13[[#This Row],[No.of Units]])*18%</f>
        <v>61199.28</v>
      </c>
      <c r="T1316" s="22" t="s">
        <v>1507</v>
      </c>
    </row>
    <row r="1317" spans="2:20" x14ac:dyDescent="0.3">
      <c r="B1317" s="5" t="s">
        <v>1235</v>
      </c>
      <c r="C1317" s="1">
        <v>3993353</v>
      </c>
      <c r="D1317" s="1">
        <v>26</v>
      </c>
      <c r="E1317" s="1" t="s">
        <v>12</v>
      </c>
      <c r="F1317" s="16">
        <v>45966</v>
      </c>
      <c r="G1317" s="1" t="s">
        <v>1470</v>
      </c>
      <c r="H1317" s="1" t="s">
        <v>1471</v>
      </c>
      <c r="I1317" s="17" t="s">
        <v>1504</v>
      </c>
      <c r="J1317" s="18" t="s">
        <v>25</v>
      </c>
      <c r="K1317" s="19" t="s">
        <v>26</v>
      </c>
      <c r="L1317" s="19" t="s">
        <v>42</v>
      </c>
      <c r="M1317" s="20">
        <v>6</v>
      </c>
      <c r="N1317" s="21">
        <v>69999</v>
      </c>
      <c r="O1317" s="22">
        <v>8</v>
      </c>
      <c r="P1317" s="23">
        <v>386394.48</v>
      </c>
      <c r="Q1317" s="22">
        <v>4.8</v>
      </c>
      <c r="R1317" s="22">
        <v>20</v>
      </c>
      <c r="S1317" s="23">
        <f>(Table13[[#This Row],[Unit Price]]*Table13[[#This Row],[No.of Units]])*18%</f>
        <v>75598.92</v>
      </c>
      <c r="T1317" s="22" t="s">
        <v>1508</v>
      </c>
    </row>
    <row r="1318" spans="2:20" x14ac:dyDescent="0.3">
      <c r="B1318" s="5" t="s">
        <v>1236</v>
      </c>
      <c r="C1318" s="1">
        <v>1857124</v>
      </c>
      <c r="D1318" s="1">
        <v>41</v>
      </c>
      <c r="E1318" s="1" t="s">
        <v>12</v>
      </c>
      <c r="F1318" s="16">
        <v>45966</v>
      </c>
      <c r="G1318" s="1" t="s">
        <v>1470</v>
      </c>
      <c r="H1318" s="1" t="s">
        <v>1472</v>
      </c>
      <c r="I1318" s="17" t="s">
        <v>1503</v>
      </c>
      <c r="J1318" s="18" t="s">
        <v>28</v>
      </c>
      <c r="K1318" s="19" t="s">
        <v>26</v>
      </c>
      <c r="L1318" s="19" t="s">
        <v>42</v>
      </c>
      <c r="M1318" s="20">
        <v>10</v>
      </c>
      <c r="N1318" s="21">
        <v>42999</v>
      </c>
      <c r="O1318" s="22">
        <v>15</v>
      </c>
      <c r="P1318" s="23">
        <v>365491.5</v>
      </c>
      <c r="Q1318" s="22">
        <v>4.5999999999999996</v>
      </c>
      <c r="R1318" s="22">
        <v>20</v>
      </c>
      <c r="S1318" s="23">
        <f>(Table13[[#This Row],[Unit Price]]*Table13[[#This Row],[No.of Units]])*18%</f>
        <v>77398.2</v>
      </c>
      <c r="T1318" s="22" t="s">
        <v>1508</v>
      </c>
    </row>
    <row r="1319" spans="2:20" x14ac:dyDescent="0.3">
      <c r="B1319" s="5" t="s">
        <v>1237</v>
      </c>
      <c r="C1319" s="1">
        <v>9626926</v>
      </c>
      <c r="D1319" s="1">
        <v>40</v>
      </c>
      <c r="E1319" s="1" t="s">
        <v>12</v>
      </c>
      <c r="F1319" s="16">
        <v>45966</v>
      </c>
      <c r="G1319" s="1" t="s">
        <v>1470</v>
      </c>
      <c r="H1319" s="1" t="s">
        <v>1482</v>
      </c>
      <c r="I1319" s="17" t="s">
        <v>1502</v>
      </c>
      <c r="J1319" s="18" t="s">
        <v>13</v>
      </c>
      <c r="K1319" s="19" t="s">
        <v>14</v>
      </c>
      <c r="L1319" s="19" t="s">
        <v>49</v>
      </c>
      <c r="M1319" s="20">
        <v>3</v>
      </c>
      <c r="N1319" s="21">
        <v>99999</v>
      </c>
      <c r="O1319" s="22">
        <v>10</v>
      </c>
      <c r="P1319" s="23">
        <v>269997.3</v>
      </c>
      <c r="Q1319" s="22">
        <v>4.7</v>
      </c>
      <c r="R1319" s="22">
        <v>20</v>
      </c>
      <c r="S1319" s="23">
        <f>(Table13[[#This Row],[Unit Price]]*Table13[[#This Row],[No.of Units]])*18%</f>
        <v>53999.46</v>
      </c>
      <c r="T1319" s="22" t="s">
        <v>1507</v>
      </c>
    </row>
    <row r="1320" spans="2:20" x14ac:dyDescent="0.3">
      <c r="B1320" s="5" t="s">
        <v>1237</v>
      </c>
      <c r="C1320" s="1">
        <v>9626926</v>
      </c>
      <c r="D1320" s="1">
        <v>45</v>
      </c>
      <c r="E1320" s="1" t="s">
        <v>12</v>
      </c>
      <c r="F1320" s="16">
        <v>45966</v>
      </c>
      <c r="G1320" s="1" t="s">
        <v>1470</v>
      </c>
      <c r="H1320" s="1" t="s">
        <v>1471</v>
      </c>
      <c r="I1320" s="17" t="s">
        <v>1503</v>
      </c>
      <c r="J1320" s="18" t="s">
        <v>17</v>
      </c>
      <c r="K1320" s="19" t="s">
        <v>18</v>
      </c>
      <c r="L1320" s="19" t="s">
        <v>49</v>
      </c>
      <c r="M1320" s="20">
        <v>40</v>
      </c>
      <c r="N1320" s="21">
        <v>4999</v>
      </c>
      <c r="O1320" s="22">
        <v>18</v>
      </c>
      <c r="P1320" s="23">
        <v>163967.20000000001</v>
      </c>
      <c r="Q1320" s="22">
        <v>4.4000000000000004</v>
      </c>
      <c r="R1320" s="22">
        <v>20</v>
      </c>
      <c r="S1320" s="23">
        <f>(Table13[[#This Row],[Unit Price]]*Table13[[#This Row],[No.of Units]])*18%</f>
        <v>35992.799999999996</v>
      </c>
      <c r="T1320" s="22" t="s">
        <v>1507</v>
      </c>
    </row>
    <row r="1321" spans="2:20" x14ac:dyDescent="0.3">
      <c r="B1321" s="5" t="s">
        <v>1238</v>
      </c>
      <c r="C1321" s="1">
        <v>1415968</v>
      </c>
      <c r="D1321" s="1">
        <v>54</v>
      </c>
      <c r="E1321" s="1" t="s">
        <v>20</v>
      </c>
      <c r="F1321" s="16">
        <v>45966</v>
      </c>
      <c r="G1321" s="1" t="s">
        <v>1470</v>
      </c>
      <c r="H1321" s="1" t="s">
        <v>1471</v>
      </c>
      <c r="I1321" s="17" t="s">
        <v>1504</v>
      </c>
      <c r="J1321" s="18" t="s">
        <v>21</v>
      </c>
      <c r="K1321" s="19" t="s">
        <v>18</v>
      </c>
      <c r="L1321" s="19" t="s">
        <v>49</v>
      </c>
      <c r="M1321" s="20">
        <v>7</v>
      </c>
      <c r="N1321" s="21">
        <v>24900</v>
      </c>
      <c r="O1321" s="22">
        <v>5</v>
      </c>
      <c r="P1321" s="23">
        <v>165585</v>
      </c>
      <c r="Q1321" s="22">
        <v>4.8</v>
      </c>
      <c r="R1321" s="22">
        <v>20</v>
      </c>
      <c r="S1321" s="23">
        <f>(Table13[[#This Row],[Unit Price]]*Table13[[#This Row],[No.of Units]])*18%</f>
        <v>31374</v>
      </c>
      <c r="T1321" s="22" t="s">
        <v>1508</v>
      </c>
    </row>
    <row r="1322" spans="2:20" x14ac:dyDescent="0.3">
      <c r="B1322" s="5" t="s">
        <v>1239</v>
      </c>
      <c r="C1322" s="1">
        <v>6627745</v>
      </c>
      <c r="D1322" s="1">
        <v>27</v>
      </c>
      <c r="E1322" s="1" t="s">
        <v>12</v>
      </c>
      <c r="F1322" s="16">
        <v>45966</v>
      </c>
      <c r="G1322" s="1" t="s">
        <v>1470</v>
      </c>
      <c r="H1322" s="1" t="s">
        <v>1481</v>
      </c>
      <c r="I1322" s="17" t="s">
        <v>1505</v>
      </c>
      <c r="J1322" s="18" t="s">
        <v>23</v>
      </c>
      <c r="K1322" s="19" t="s">
        <v>14</v>
      </c>
      <c r="L1322" s="19" t="s">
        <v>49</v>
      </c>
      <c r="M1322" s="20">
        <v>6</v>
      </c>
      <c r="N1322" s="21">
        <v>84999</v>
      </c>
      <c r="O1322" s="22">
        <v>12</v>
      </c>
      <c r="P1322" s="23">
        <v>448794.72</v>
      </c>
      <c r="Q1322" s="22">
        <v>4.5</v>
      </c>
      <c r="R1322" s="22">
        <v>20</v>
      </c>
      <c r="S1322" s="23">
        <f>(Table13[[#This Row],[Unit Price]]*Table13[[#This Row],[No.of Units]])*18%</f>
        <v>91798.92</v>
      </c>
      <c r="T1322" s="22" t="s">
        <v>1508</v>
      </c>
    </row>
    <row r="1323" spans="2:20" x14ac:dyDescent="0.3">
      <c r="B1323" s="5" t="s">
        <v>1240</v>
      </c>
      <c r="C1323" s="1">
        <v>8703669</v>
      </c>
      <c r="D1323" s="1">
        <v>22</v>
      </c>
      <c r="E1323" s="1" t="s">
        <v>12</v>
      </c>
      <c r="F1323" s="16">
        <v>45966</v>
      </c>
      <c r="G1323" s="1" t="s">
        <v>1470</v>
      </c>
      <c r="H1323" s="1" t="s">
        <v>1471</v>
      </c>
      <c r="I1323" s="17" t="s">
        <v>1504</v>
      </c>
      <c r="J1323" s="18" t="s">
        <v>25</v>
      </c>
      <c r="K1323" s="19" t="s">
        <v>26</v>
      </c>
      <c r="L1323" s="19" t="s">
        <v>49</v>
      </c>
      <c r="M1323" s="20">
        <v>4</v>
      </c>
      <c r="N1323" s="21">
        <v>69999</v>
      </c>
      <c r="O1323" s="22">
        <v>8</v>
      </c>
      <c r="P1323" s="23">
        <v>257596.32</v>
      </c>
      <c r="Q1323" s="22">
        <v>4.8</v>
      </c>
      <c r="R1323" s="22">
        <v>20</v>
      </c>
      <c r="S1323" s="23">
        <f>(Table13[[#This Row],[Unit Price]]*Table13[[#This Row],[No.of Units]])*18%</f>
        <v>50399.28</v>
      </c>
      <c r="T1323" s="22" t="s">
        <v>1508</v>
      </c>
    </row>
    <row r="1324" spans="2:20" x14ac:dyDescent="0.3">
      <c r="B1324" s="5" t="s">
        <v>1241</v>
      </c>
      <c r="C1324" s="1">
        <v>4343369</v>
      </c>
      <c r="D1324" s="1">
        <v>39</v>
      </c>
      <c r="E1324" s="1" t="s">
        <v>12</v>
      </c>
      <c r="F1324" s="16">
        <v>45966</v>
      </c>
      <c r="G1324" s="1" t="s">
        <v>1470</v>
      </c>
      <c r="H1324" s="1" t="s">
        <v>1471</v>
      </c>
      <c r="I1324" s="17" t="s">
        <v>1503</v>
      </c>
      <c r="J1324" s="18" t="s">
        <v>28</v>
      </c>
      <c r="K1324" s="19" t="s">
        <v>26</v>
      </c>
      <c r="L1324" s="19" t="s">
        <v>49</v>
      </c>
      <c r="M1324" s="20">
        <v>9</v>
      </c>
      <c r="N1324" s="21">
        <v>42999</v>
      </c>
      <c r="O1324" s="22">
        <v>15</v>
      </c>
      <c r="P1324" s="23">
        <v>328942.34999999998</v>
      </c>
      <c r="Q1324" s="22">
        <v>4.5999999999999996</v>
      </c>
      <c r="R1324" s="22">
        <v>20</v>
      </c>
      <c r="S1324" s="23">
        <f>(Table13[[#This Row],[Unit Price]]*Table13[[#This Row],[No.of Units]])*18%</f>
        <v>69658.38</v>
      </c>
      <c r="T1324" s="22" t="s">
        <v>1508</v>
      </c>
    </row>
    <row r="1325" spans="2:20" x14ac:dyDescent="0.3">
      <c r="B1325" s="5" t="s">
        <v>1242</v>
      </c>
      <c r="C1325" s="1">
        <v>8061913</v>
      </c>
      <c r="D1325" s="1">
        <v>40</v>
      </c>
      <c r="E1325" s="1" t="s">
        <v>12</v>
      </c>
      <c r="F1325" s="16">
        <v>45973</v>
      </c>
      <c r="G1325" s="1" t="s">
        <v>1470</v>
      </c>
      <c r="H1325" s="1" t="s">
        <v>1471</v>
      </c>
      <c r="I1325" s="17" t="s">
        <v>1502</v>
      </c>
      <c r="J1325" s="18" t="s">
        <v>13</v>
      </c>
      <c r="K1325" s="19" t="s">
        <v>14</v>
      </c>
      <c r="L1325" s="19" t="s">
        <v>15</v>
      </c>
      <c r="M1325" s="20">
        <v>3</v>
      </c>
      <c r="N1325" s="21">
        <v>99999</v>
      </c>
      <c r="O1325" s="22">
        <v>10</v>
      </c>
      <c r="P1325" s="23">
        <v>269997.3</v>
      </c>
      <c r="Q1325" s="22">
        <v>4.7</v>
      </c>
      <c r="R1325" s="22">
        <v>20</v>
      </c>
      <c r="S1325" s="23">
        <f>(Table13[[#This Row],[Unit Price]]*Table13[[#This Row],[No.of Units]])*18%</f>
        <v>53999.46</v>
      </c>
      <c r="T1325" s="22" t="s">
        <v>1507</v>
      </c>
    </row>
    <row r="1326" spans="2:20" x14ac:dyDescent="0.3">
      <c r="B1326" s="5" t="s">
        <v>1243</v>
      </c>
      <c r="C1326" s="1">
        <v>1461013</v>
      </c>
      <c r="D1326" s="1">
        <v>45</v>
      </c>
      <c r="E1326" s="1" t="s">
        <v>12</v>
      </c>
      <c r="F1326" s="16">
        <v>45973</v>
      </c>
      <c r="G1326" s="1" t="s">
        <v>1470</v>
      </c>
      <c r="H1326" s="1" t="s">
        <v>1482</v>
      </c>
      <c r="I1326" s="17" t="s">
        <v>1503</v>
      </c>
      <c r="J1326" s="18" t="s">
        <v>17</v>
      </c>
      <c r="K1326" s="19" t="s">
        <v>18</v>
      </c>
      <c r="L1326" s="19" t="s">
        <v>15</v>
      </c>
      <c r="M1326" s="20">
        <v>55</v>
      </c>
      <c r="N1326" s="21">
        <v>4999</v>
      </c>
      <c r="O1326" s="22">
        <v>18</v>
      </c>
      <c r="P1326" s="23">
        <v>225454.9</v>
      </c>
      <c r="Q1326" s="22">
        <v>4.4000000000000004</v>
      </c>
      <c r="R1326" s="22">
        <v>20</v>
      </c>
      <c r="S1326" s="23">
        <f>(Table13[[#This Row],[Unit Price]]*Table13[[#This Row],[No.of Units]])*18%</f>
        <v>49490.1</v>
      </c>
      <c r="T1326" s="22" t="s">
        <v>1508</v>
      </c>
    </row>
    <row r="1327" spans="2:20" x14ac:dyDescent="0.3">
      <c r="B1327" s="5" t="s">
        <v>1244</v>
      </c>
      <c r="C1327" s="1">
        <v>7692743</v>
      </c>
      <c r="D1327" s="1">
        <v>27</v>
      </c>
      <c r="E1327" s="1" t="s">
        <v>12</v>
      </c>
      <c r="F1327" s="16">
        <v>45973</v>
      </c>
      <c r="G1327" s="1" t="s">
        <v>1470</v>
      </c>
      <c r="H1327" s="1" t="s">
        <v>1471</v>
      </c>
      <c r="I1327" s="17" t="s">
        <v>1504</v>
      </c>
      <c r="J1327" s="18" t="s">
        <v>21</v>
      </c>
      <c r="K1327" s="19" t="s">
        <v>18</v>
      </c>
      <c r="L1327" s="19" t="s">
        <v>15</v>
      </c>
      <c r="M1327" s="20">
        <v>10</v>
      </c>
      <c r="N1327" s="21">
        <v>24900</v>
      </c>
      <c r="O1327" s="22">
        <v>5</v>
      </c>
      <c r="P1327" s="23">
        <v>236550</v>
      </c>
      <c r="Q1327" s="22">
        <v>4.8</v>
      </c>
      <c r="R1327" s="22">
        <v>20</v>
      </c>
      <c r="S1327" s="23">
        <f>(Table13[[#This Row],[Unit Price]]*Table13[[#This Row],[No.of Units]])*18%</f>
        <v>44820</v>
      </c>
      <c r="T1327" s="22" t="s">
        <v>1507</v>
      </c>
    </row>
    <row r="1328" spans="2:20" x14ac:dyDescent="0.3">
      <c r="B1328" s="5" t="s">
        <v>1245</v>
      </c>
      <c r="C1328" s="1">
        <v>1974544</v>
      </c>
      <c r="D1328" s="1">
        <v>74</v>
      </c>
      <c r="E1328" s="1" t="s">
        <v>20</v>
      </c>
      <c r="F1328" s="16">
        <v>45973</v>
      </c>
      <c r="G1328" s="1" t="s">
        <v>1470</v>
      </c>
      <c r="H1328" s="1" t="s">
        <v>1471</v>
      </c>
      <c r="I1328" s="17" t="s">
        <v>1505</v>
      </c>
      <c r="J1328" s="18" t="s">
        <v>23</v>
      </c>
      <c r="K1328" s="19" t="s">
        <v>14</v>
      </c>
      <c r="L1328" s="19" t="s">
        <v>15</v>
      </c>
      <c r="M1328" s="20">
        <v>5</v>
      </c>
      <c r="N1328" s="21">
        <v>84999</v>
      </c>
      <c r="O1328" s="22">
        <v>12</v>
      </c>
      <c r="P1328" s="23">
        <v>373995.6</v>
      </c>
      <c r="Q1328" s="22">
        <v>4.5</v>
      </c>
      <c r="R1328" s="22">
        <v>20</v>
      </c>
      <c r="S1328" s="23">
        <f>(Table13[[#This Row],[Unit Price]]*Table13[[#This Row],[No.of Units]])*18%</f>
        <v>76499.099999999991</v>
      </c>
      <c r="T1328" s="22" t="s">
        <v>1507</v>
      </c>
    </row>
    <row r="1329" spans="2:20" x14ac:dyDescent="0.3">
      <c r="B1329" s="5" t="s">
        <v>1246</v>
      </c>
      <c r="C1329" s="1">
        <v>7274697</v>
      </c>
      <c r="D1329" s="1">
        <v>68</v>
      </c>
      <c r="E1329" s="1" t="s">
        <v>20</v>
      </c>
      <c r="F1329" s="16">
        <v>45973</v>
      </c>
      <c r="G1329" s="1" t="s">
        <v>1470</v>
      </c>
      <c r="H1329" s="1" t="s">
        <v>1482</v>
      </c>
      <c r="I1329" s="17" t="s">
        <v>1504</v>
      </c>
      <c r="J1329" s="18" t="s">
        <v>25</v>
      </c>
      <c r="K1329" s="19" t="s">
        <v>26</v>
      </c>
      <c r="L1329" s="19" t="s">
        <v>15</v>
      </c>
      <c r="M1329" s="20">
        <v>6</v>
      </c>
      <c r="N1329" s="21">
        <v>69999</v>
      </c>
      <c r="O1329" s="22">
        <v>8</v>
      </c>
      <c r="P1329" s="23">
        <v>386394.48</v>
      </c>
      <c r="Q1329" s="22">
        <v>4.8</v>
      </c>
      <c r="R1329" s="22">
        <v>20</v>
      </c>
      <c r="S1329" s="23">
        <f>(Table13[[#This Row],[Unit Price]]*Table13[[#This Row],[No.of Units]])*18%</f>
        <v>75598.92</v>
      </c>
      <c r="T1329" s="22" t="s">
        <v>1508</v>
      </c>
    </row>
    <row r="1330" spans="2:20" x14ac:dyDescent="0.3">
      <c r="B1330" s="5" t="s">
        <v>1247</v>
      </c>
      <c r="C1330" s="1">
        <v>2470566</v>
      </c>
      <c r="D1330" s="1">
        <v>41</v>
      </c>
      <c r="E1330" s="1" t="s">
        <v>12</v>
      </c>
      <c r="F1330" s="16">
        <v>45973</v>
      </c>
      <c r="G1330" s="1" t="s">
        <v>1474</v>
      </c>
      <c r="H1330" s="1" t="s">
        <v>1471</v>
      </c>
      <c r="I1330" s="17" t="s">
        <v>1503</v>
      </c>
      <c r="J1330" s="18" t="s">
        <v>28</v>
      </c>
      <c r="K1330" s="19" t="s">
        <v>26</v>
      </c>
      <c r="L1330" s="19" t="s">
        <v>15</v>
      </c>
      <c r="M1330" s="20">
        <v>11</v>
      </c>
      <c r="N1330" s="21">
        <v>42999</v>
      </c>
      <c r="O1330" s="22">
        <v>15</v>
      </c>
      <c r="P1330" s="23">
        <v>402040.65</v>
      </c>
      <c r="Q1330" s="22">
        <v>4.5999999999999996</v>
      </c>
      <c r="R1330" s="22">
        <v>20</v>
      </c>
      <c r="S1330" s="23">
        <f>(Table13[[#This Row],[Unit Price]]*Table13[[#This Row],[No.of Units]])*18%</f>
        <v>85138.02</v>
      </c>
      <c r="T1330" s="22" t="s">
        <v>1507</v>
      </c>
    </row>
    <row r="1331" spans="2:20" x14ac:dyDescent="0.3">
      <c r="B1331" s="5" t="s">
        <v>1248</v>
      </c>
      <c r="C1331" s="1">
        <v>6374128</v>
      </c>
      <c r="D1331" s="1">
        <v>29</v>
      </c>
      <c r="E1331" s="1" t="s">
        <v>12</v>
      </c>
      <c r="F1331" s="16">
        <v>45973</v>
      </c>
      <c r="G1331" s="1" t="s">
        <v>1470</v>
      </c>
      <c r="H1331" s="1" t="s">
        <v>1471</v>
      </c>
      <c r="I1331" s="17" t="s">
        <v>1502</v>
      </c>
      <c r="J1331" s="18" t="s">
        <v>13</v>
      </c>
      <c r="K1331" s="19" t="s">
        <v>14</v>
      </c>
      <c r="L1331" s="19" t="s">
        <v>29</v>
      </c>
      <c r="M1331" s="20">
        <v>6</v>
      </c>
      <c r="N1331" s="21">
        <v>99999</v>
      </c>
      <c r="O1331" s="22">
        <v>10</v>
      </c>
      <c r="P1331" s="23">
        <v>539994.6</v>
      </c>
      <c r="Q1331" s="22">
        <v>4.7</v>
      </c>
      <c r="R1331" s="22">
        <v>20</v>
      </c>
      <c r="S1331" s="23">
        <f>(Table13[[#This Row],[Unit Price]]*Table13[[#This Row],[No.of Units]])*18%</f>
        <v>107998.92</v>
      </c>
      <c r="T1331" s="22" t="s">
        <v>1508</v>
      </c>
    </row>
    <row r="1332" spans="2:20" x14ac:dyDescent="0.3">
      <c r="B1332" s="5" t="s">
        <v>1249</v>
      </c>
      <c r="C1332" s="1">
        <v>863695</v>
      </c>
      <c r="D1332" s="1">
        <v>31</v>
      </c>
      <c r="E1332" s="1" t="s">
        <v>12</v>
      </c>
      <c r="F1332" s="16">
        <v>45973</v>
      </c>
      <c r="G1332" s="1" t="s">
        <v>1470</v>
      </c>
      <c r="H1332" s="1" t="s">
        <v>1483</v>
      </c>
      <c r="I1332" s="17" t="s">
        <v>1503</v>
      </c>
      <c r="J1332" s="18" t="s">
        <v>17</v>
      </c>
      <c r="K1332" s="19" t="s">
        <v>18</v>
      </c>
      <c r="L1332" s="19" t="s">
        <v>29</v>
      </c>
      <c r="M1332" s="20">
        <v>32</v>
      </c>
      <c r="N1332" s="21">
        <v>4999</v>
      </c>
      <c r="O1332" s="22">
        <v>18</v>
      </c>
      <c r="P1332" s="23">
        <v>131173.76000000001</v>
      </c>
      <c r="Q1332" s="22">
        <v>4.4000000000000004</v>
      </c>
      <c r="R1332" s="22">
        <v>20</v>
      </c>
      <c r="S1332" s="23">
        <f>(Table13[[#This Row],[Unit Price]]*Table13[[#This Row],[No.of Units]])*18%</f>
        <v>28794.239999999998</v>
      </c>
      <c r="T1332" s="22" t="s">
        <v>1508</v>
      </c>
    </row>
    <row r="1333" spans="2:20" x14ac:dyDescent="0.3">
      <c r="B1333" s="5" t="s">
        <v>1250</v>
      </c>
      <c r="C1333" s="1">
        <v>4798045</v>
      </c>
      <c r="D1333" s="1">
        <v>42</v>
      </c>
      <c r="E1333" s="1" t="s">
        <v>12</v>
      </c>
      <c r="F1333" s="16">
        <v>45973</v>
      </c>
      <c r="G1333" s="1" t="s">
        <v>1475</v>
      </c>
      <c r="H1333" s="1" t="s">
        <v>1471</v>
      </c>
      <c r="I1333" s="17" t="s">
        <v>1504</v>
      </c>
      <c r="J1333" s="18" t="s">
        <v>21</v>
      </c>
      <c r="K1333" s="19" t="s">
        <v>18</v>
      </c>
      <c r="L1333" s="19" t="s">
        <v>29</v>
      </c>
      <c r="M1333" s="20">
        <v>8</v>
      </c>
      <c r="N1333" s="21">
        <v>24900</v>
      </c>
      <c r="O1333" s="22">
        <v>5</v>
      </c>
      <c r="P1333" s="23">
        <v>189240</v>
      </c>
      <c r="Q1333" s="22">
        <v>4.8</v>
      </c>
      <c r="R1333" s="22">
        <v>20</v>
      </c>
      <c r="S1333" s="23">
        <f>(Table13[[#This Row],[Unit Price]]*Table13[[#This Row],[No.of Units]])*18%</f>
        <v>35856</v>
      </c>
      <c r="T1333" s="22" t="s">
        <v>1508</v>
      </c>
    </row>
    <row r="1334" spans="2:20" x14ac:dyDescent="0.3">
      <c r="B1334" s="5" t="s">
        <v>1251</v>
      </c>
      <c r="C1334" s="1">
        <v>556797</v>
      </c>
      <c r="D1334" s="1">
        <v>47</v>
      </c>
      <c r="E1334" s="1" t="s">
        <v>12</v>
      </c>
      <c r="F1334" s="16">
        <v>45973</v>
      </c>
      <c r="G1334" s="1" t="s">
        <v>1470</v>
      </c>
      <c r="H1334" s="1" t="s">
        <v>1483</v>
      </c>
      <c r="I1334" s="17" t="s">
        <v>1505</v>
      </c>
      <c r="J1334" s="18" t="s">
        <v>23</v>
      </c>
      <c r="K1334" s="19" t="s">
        <v>14</v>
      </c>
      <c r="L1334" s="19" t="s">
        <v>29</v>
      </c>
      <c r="M1334" s="20">
        <v>2</v>
      </c>
      <c r="N1334" s="21">
        <v>84999</v>
      </c>
      <c r="O1334" s="22">
        <v>12</v>
      </c>
      <c r="P1334" s="23">
        <v>149598.24</v>
      </c>
      <c r="Q1334" s="22">
        <v>4.5</v>
      </c>
      <c r="R1334" s="22">
        <v>20</v>
      </c>
      <c r="S1334" s="23">
        <f>(Table13[[#This Row],[Unit Price]]*Table13[[#This Row],[No.of Units]])*18%</f>
        <v>30599.64</v>
      </c>
      <c r="T1334" s="22" t="s">
        <v>1508</v>
      </c>
    </row>
    <row r="1335" spans="2:20" x14ac:dyDescent="0.3">
      <c r="B1335" s="5" t="s">
        <v>1252</v>
      </c>
      <c r="C1335" s="1">
        <v>8490472</v>
      </c>
      <c r="D1335" s="1">
        <v>24</v>
      </c>
      <c r="E1335" s="1" t="s">
        <v>12</v>
      </c>
      <c r="F1335" s="16">
        <v>45973</v>
      </c>
      <c r="G1335" s="1" t="s">
        <v>1470</v>
      </c>
      <c r="H1335" s="1" t="s">
        <v>1480</v>
      </c>
      <c r="I1335" s="17" t="s">
        <v>1504</v>
      </c>
      <c r="J1335" s="18" t="s">
        <v>25</v>
      </c>
      <c r="K1335" s="19" t="s">
        <v>26</v>
      </c>
      <c r="L1335" s="19" t="s">
        <v>29</v>
      </c>
      <c r="M1335" s="20">
        <v>5</v>
      </c>
      <c r="N1335" s="21">
        <v>69999</v>
      </c>
      <c r="O1335" s="22">
        <v>8</v>
      </c>
      <c r="P1335" s="23">
        <v>321995.40000000002</v>
      </c>
      <c r="Q1335" s="22">
        <v>4.8</v>
      </c>
      <c r="R1335" s="22">
        <v>20</v>
      </c>
      <c r="S1335" s="23">
        <f>(Table13[[#This Row],[Unit Price]]*Table13[[#This Row],[No.of Units]])*18%</f>
        <v>62999.1</v>
      </c>
      <c r="T1335" s="22" t="s">
        <v>1508</v>
      </c>
    </row>
    <row r="1336" spans="2:20" x14ac:dyDescent="0.3">
      <c r="B1336" s="5" t="s">
        <v>1253</v>
      </c>
      <c r="C1336" s="1">
        <v>8775744</v>
      </c>
      <c r="D1336" s="1">
        <v>27</v>
      </c>
      <c r="E1336" s="1" t="s">
        <v>12</v>
      </c>
      <c r="F1336" s="16">
        <v>45973</v>
      </c>
      <c r="G1336" s="1" t="s">
        <v>1470</v>
      </c>
      <c r="H1336" s="1" t="s">
        <v>1483</v>
      </c>
      <c r="I1336" s="17" t="s">
        <v>1503</v>
      </c>
      <c r="J1336" s="18" t="s">
        <v>28</v>
      </c>
      <c r="K1336" s="19" t="s">
        <v>26</v>
      </c>
      <c r="L1336" s="19" t="s">
        <v>29</v>
      </c>
      <c r="M1336" s="20">
        <v>7</v>
      </c>
      <c r="N1336" s="21">
        <v>42999</v>
      </c>
      <c r="O1336" s="22">
        <v>15</v>
      </c>
      <c r="P1336" s="23">
        <v>255844.05</v>
      </c>
      <c r="Q1336" s="22">
        <v>4.5999999999999996</v>
      </c>
      <c r="R1336" s="22">
        <v>20</v>
      </c>
      <c r="S1336" s="23">
        <f>(Table13[[#This Row],[Unit Price]]*Table13[[#This Row],[No.of Units]])*18%</f>
        <v>54178.74</v>
      </c>
      <c r="T1336" s="22" t="s">
        <v>1508</v>
      </c>
    </row>
    <row r="1337" spans="2:20" x14ac:dyDescent="0.3">
      <c r="B1337" s="5" t="s">
        <v>1254</v>
      </c>
      <c r="C1337" s="1">
        <v>7924642</v>
      </c>
      <c r="D1337" s="1">
        <v>43</v>
      </c>
      <c r="E1337" s="1" t="s">
        <v>12</v>
      </c>
      <c r="F1337" s="16">
        <v>45973</v>
      </c>
      <c r="G1337" s="1" t="s">
        <v>1470</v>
      </c>
      <c r="H1337" s="1" t="s">
        <v>1482</v>
      </c>
      <c r="I1337" s="17" t="s">
        <v>1502</v>
      </c>
      <c r="J1337" s="18" t="s">
        <v>13</v>
      </c>
      <c r="K1337" s="19" t="s">
        <v>14</v>
      </c>
      <c r="L1337" s="19" t="s">
        <v>35</v>
      </c>
      <c r="M1337" s="20">
        <v>3</v>
      </c>
      <c r="N1337" s="21">
        <v>99999</v>
      </c>
      <c r="O1337" s="22">
        <v>10</v>
      </c>
      <c r="P1337" s="23">
        <v>269997.3</v>
      </c>
      <c r="Q1337" s="22">
        <v>4.7</v>
      </c>
      <c r="R1337" s="22">
        <v>20</v>
      </c>
      <c r="S1337" s="23">
        <f>(Table13[[#This Row],[Unit Price]]*Table13[[#This Row],[No.of Units]])*18%</f>
        <v>53999.46</v>
      </c>
      <c r="T1337" s="22" t="s">
        <v>1508</v>
      </c>
    </row>
    <row r="1338" spans="2:20" x14ac:dyDescent="0.3">
      <c r="B1338" s="5" t="s">
        <v>1255</v>
      </c>
      <c r="C1338" s="1">
        <v>3739037</v>
      </c>
      <c r="D1338" s="1">
        <v>54</v>
      </c>
      <c r="E1338" s="1" t="s">
        <v>20</v>
      </c>
      <c r="F1338" s="16">
        <v>45973</v>
      </c>
      <c r="G1338" s="1" t="s">
        <v>1470</v>
      </c>
      <c r="H1338" s="1" t="s">
        <v>1471</v>
      </c>
      <c r="I1338" s="17" t="s">
        <v>1503</v>
      </c>
      <c r="J1338" s="18" t="s">
        <v>17</v>
      </c>
      <c r="K1338" s="19" t="s">
        <v>18</v>
      </c>
      <c r="L1338" s="19" t="s">
        <v>35</v>
      </c>
      <c r="M1338" s="20">
        <v>26</v>
      </c>
      <c r="N1338" s="21">
        <v>4999</v>
      </c>
      <c r="O1338" s="22">
        <v>18</v>
      </c>
      <c r="P1338" s="23">
        <v>106578.68</v>
      </c>
      <c r="Q1338" s="22">
        <v>4.4000000000000004</v>
      </c>
      <c r="R1338" s="22">
        <v>20</v>
      </c>
      <c r="S1338" s="23">
        <f>(Table13[[#This Row],[Unit Price]]*Table13[[#This Row],[No.of Units]])*18%</f>
        <v>23395.32</v>
      </c>
      <c r="T1338" s="22" t="s">
        <v>1508</v>
      </c>
    </row>
    <row r="1339" spans="2:20" x14ac:dyDescent="0.3">
      <c r="B1339" s="5" t="s">
        <v>1256</v>
      </c>
      <c r="C1339" s="1">
        <v>3392351</v>
      </c>
      <c r="D1339" s="1">
        <v>32</v>
      </c>
      <c r="E1339" s="1" t="s">
        <v>12</v>
      </c>
      <c r="F1339" s="16">
        <v>45973</v>
      </c>
      <c r="G1339" s="1" t="s">
        <v>1470</v>
      </c>
      <c r="H1339" s="1" t="s">
        <v>1471</v>
      </c>
      <c r="I1339" s="17" t="s">
        <v>1504</v>
      </c>
      <c r="J1339" s="18" t="s">
        <v>21</v>
      </c>
      <c r="K1339" s="19" t="s">
        <v>18</v>
      </c>
      <c r="L1339" s="19" t="s">
        <v>35</v>
      </c>
      <c r="M1339" s="20">
        <v>11</v>
      </c>
      <c r="N1339" s="21">
        <v>24900</v>
      </c>
      <c r="O1339" s="22">
        <v>5</v>
      </c>
      <c r="P1339" s="23">
        <v>260205</v>
      </c>
      <c r="Q1339" s="22">
        <v>4.8</v>
      </c>
      <c r="R1339" s="22">
        <v>20</v>
      </c>
      <c r="S1339" s="23">
        <f>(Table13[[#This Row],[Unit Price]]*Table13[[#This Row],[No.of Units]])*18%</f>
        <v>49302</v>
      </c>
      <c r="T1339" s="22" t="s">
        <v>1508</v>
      </c>
    </row>
    <row r="1340" spans="2:20" x14ac:dyDescent="0.3">
      <c r="B1340" s="5" t="s">
        <v>1257</v>
      </c>
      <c r="C1340" s="1">
        <v>3583244</v>
      </c>
      <c r="D1340" s="1">
        <v>46</v>
      </c>
      <c r="E1340" s="1" t="s">
        <v>12</v>
      </c>
      <c r="F1340" s="16">
        <v>45973</v>
      </c>
      <c r="G1340" s="1" t="s">
        <v>1470</v>
      </c>
      <c r="H1340" s="1" t="s">
        <v>1471</v>
      </c>
      <c r="I1340" s="17" t="s">
        <v>1505</v>
      </c>
      <c r="J1340" s="18" t="s">
        <v>23</v>
      </c>
      <c r="K1340" s="19" t="s">
        <v>14</v>
      </c>
      <c r="L1340" s="19" t="s">
        <v>35</v>
      </c>
      <c r="M1340" s="20">
        <v>3</v>
      </c>
      <c r="N1340" s="21">
        <v>84999</v>
      </c>
      <c r="O1340" s="22">
        <v>12</v>
      </c>
      <c r="P1340" s="23">
        <v>224397.36</v>
      </c>
      <c r="Q1340" s="22">
        <v>4.5</v>
      </c>
      <c r="R1340" s="22">
        <v>20</v>
      </c>
      <c r="S1340" s="23">
        <f>(Table13[[#This Row],[Unit Price]]*Table13[[#This Row],[No.of Units]])*18%</f>
        <v>45899.46</v>
      </c>
      <c r="T1340" s="22" t="s">
        <v>1508</v>
      </c>
    </row>
    <row r="1341" spans="2:20" x14ac:dyDescent="0.3">
      <c r="B1341" s="5" t="s">
        <v>1258</v>
      </c>
      <c r="C1341" s="1">
        <v>1004509</v>
      </c>
      <c r="D1341" s="1">
        <v>18</v>
      </c>
      <c r="E1341" s="1" t="s">
        <v>34</v>
      </c>
      <c r="F1341" s="16">
        <v>45973</v>
      </c>
      <c r="G1341" s="1" t="s">
        <v>1470</v>
      </c>
      <c r="H1341" s="1" t="s">
        <v>1471</v>
      </c>
      <c r="I1341" s="17" t="s">
        <v>1504</v>
      </c>
      <c r="J1341" s="18" t="s">
        <v>25</v>
      </c>
      <c r="K1341" s="19" t="s">
        <v>26</v>
      </c>
      <c r="L1341" s="19" t="s">
        <v>35</v>
      </c>
      <c r="M1341" s="20">
        <v>4</v>
      </c>
      <c r="N1341" s="21">
        <v>69999</v>
      </c>
      <c r="O1341" s="22">
        <v>8</v>
      </c>
      <c r="P1341" s="23">
        <v>257596.32</v>
      </c>
      <c r="Q1341" s="22">
        <v>4.8</v>
      </c>
      <c r="R1341" s="22">
        <v>20</v>
      </c>
      <c r="S1341" s="23">
        <f>(Table13[[#This Row],[Unit Price]]*Table13[[#This Row],[No.of Units]])*18%</f>
        <v>50399.28</v>
      </c>
      <c r="T1341" s="22" t="s">
        <v>1508</v>
      </c>
    </row>
    <row r="1342" spans="2:20" x14ac:dyDescent="0.3">
      <c r="B1342" s="5" t="s">
        <v>1259</v>
      </c>
      <c r="C1342" s="1">
        <v>5149604</v>
      </c>
      <c r="D1342" s="1">
        <v>49</v>
      </c>
      <c r="E1342" s="1" t="s">
        <v>12</v>
      </c>
      <c r="F1342" s="16">
        <v>45973</v>
      </c>
      <c r="G1342" s="1" t="s">
        <v>1470</v>
      </c>
      <c r="H1342" s="1" t="s">
        <v>1471</v>
      </c>
      <c r="I1342" s="17" t="s">
        <v>1503</v>
      </c>
      <c r="J1342" s="18" t="s">
        <v>28</v>
      </c>
      <c r="K1342" s="19" t="s">
        <v>26</v>
      </c>
      <c r="L1342" s="19" t="s">
        <v>35</v>
      </c>
      <c r="M1342" s="20">
        <v>6</v>
      </c>
      <c r="N1342" s="21">
        <v>42999</v>
      </c>
      <c r="O1342" s="22">
        <v>15</v>
      </c>
      <c r="P1342" s="23">
        <v>219294.9</v>
      </c>
      <c r="Q1342" s="22">
        <v>4.5999999999999996</v>
      </c>
      <c r="R1342" s="22">
        <v>20</v>
      </c>
      <c r="S1342" s="23">
        <f>(Table13[[#This Row],[Unit Price]]*Table13[[#This Row],[No.of Units]])*18%</f>
        <v>46438.92</v>
      </c>
      <c r="T1342" s="22" t="s">
        <v>1507</v>
      </c>
    </row>
    <row r="1343" spans="2:20" x14ac:dyDescent="0.3">
      <c r="B1343" s="5" t="s">
        <v>1260</v>
      </c>
      <c r="C1343" s="1">
        <v>4945874</v>
      </c>
      <c r="D1343" s="1">
        <v>35</v>
      </c>
      <c r="E1343" s="1" t="s">
        <v>12</v>
      </c>
      <c r="F1343" s="16">
        <v>45973</v>
      </c>
      <c r="G1343" s="1" t="s">
        <v>1470</v>
      </c>
      <c r="H1343" s="1" t="s">
        <v>1472</v>
      </c>
      <c r="I1343" s="17" t="s">
        <v>1502</v>
      </c>
      <c r="J1343" s="18" t="s">
        <v>13</v>
      </c>
      <c r="K1343" s="19" t="s">
        <v>14</v>
      </c>
      <c r="L1343" s="19" t="s">
        <v>42</v>
      </c>
      <c r="M1343" s="20">
        <v>4</v>
      </c>
      <c r="N1343" s="21">
        <v>99999</v>
      </c>
      <c r="O1343" s="22">
        <v>10</v>
      </c>
      <c r="P1343" s="23">
        <v>359996.4</v>
      </c>
      <c r="Q1343" s="22">
        <v>4.7</v>
      </c>
      <c r="R1343" s="22">
        <v>20</v>
      </c>
      <c r="S1343" s="23">
        <f>(Table13[[#This Row],[Unit Price]]*Table13[[#This Row],[No.of Units]])*18%</f>
        <v>71999.28</v>
      </c>
      <c r="T1343" s="22" t="s">
        <v>1508</v>
      </c>
    </row>
    <row r="1344" spans="2:20" x14ac:dyDescent="0.3">
      <c r="B1344" s="5" t="s">
        <v>1261</v>
      </c>
      <c r="C1344" s="1">
        <v>8370679</v>
      </c>
      <c r="D1344" s="1">
        <v>45</v>
      </c>
      <c r="E1344" s="1" t="s">
        <v>12</v>
      </c>
      <c r="F1344" s="16">
        <v>45973</v>
      </c>
      <c r="G1344" s="1" t="s">
        <v>1470</v>
      </c>
      <c r="H1344" s="1" t="s">
        <v>1482</v>
      </c>
      <c r="I1344" s="17" t="s">
        <v>1503</v>
      </c>
      <c r="J1344" s="18" t="s">
        <v>17</v>
      </c>
      <c r="K1344" s="19" t="s">
        <v>18</v>
      </c>
      <c r="L1344" s="19" t="s">
        <v>42</v>
      </c>
      <c r="M1344" s="20">
        <v>52</v>
      </c>
      <c r="N1344" s="21">
        <v>4999</v>
      </c>
      <c r="O1344" s="22">
        <v>18</v>
      </c>
      <c r="P1344" s="23">
        <v>213157.36</v>
      </c>
      <c r="Q1344" s="22">
        <v>4.4000000000000004</v>
      </c>
      <c r="R1344" s="22">
        <v>20</v>
      </c>
      <c r="S1344" s="23">
        <f>(Table13[[#This Row],[Unit Price]]*Table13[[#This Row],[No.of Units]])*18%</f>
        <v>46790.64</v>
      </c>
      <c r="T1344" s="22" t="s">
        <v>1507</v>
      </c>
    </row>
    <row r="1345" spans="2:20" x14ac:dyDescent="0.3">
      <c r="B1345" s="5" t="s">
        <v>1262</v>
      </c>
      <c r="C1345" s="1">
        <v>9757288</v>
      </c>
      <c r="D1345" s="1">
        <v>26</v>
      </c>
      <c r="E1345" s="1" t="s">
        <v>12</v>
      </c>
      <c r="F1345" s="16">
        <v>45973</v>
      </c>
      <c r="G1345" s="1" t="s">
        <v>1470</v>
      </c>
      <c r="H1345" s="1" t="s">
        <v>1471</v>
      </c>
      <c r="I1345" s="17" t="s">
        <v>1504</v>
      </c>
      <c r="J1345" s="18" t="s">
        <v>21</v>
      </c>
      <c r="K1345" s="19" t="s">
        <v>18</v>
      </c>
      <c r="L1345" s="19" t="s">
        <v>42</v>
      </c>
      <c r="M1345" s="20">
        <v>6</v>
      </c>
      <c r="N1345" s="21">
        <v>24900</v>
      </c>
      <c r="O1345" s="22">
        <v>5</v>
      </c>
      <c r="P1345" s="23">
        <v>141930</v>
      </c>
      <c r="Q1345" s="22">
        <v>4.8</v>
      </c>
      <c r="R1345" s="22">
        <v>20</v>
      </c>
      <c r="S1345" s="23">
        <f>(Table13[[#This Row],[Unit Price]]*Table13[[#This Row],[No.of Units]])*18%</f>
        <v>26892</v>
      </c>
      <c r="T1345" s="22" t="s">
        <v>1508</v>
      </c>
    </row>
    <row r="1346" spans="2:20" x14ac:dyDescent="0.3">
      <c r="B1346" s="5" t="s">
        <v>1263</v>
      </c>
      <c r="C1346" s="1">
        <v>3422175</v>
      </c>
      <c r="D1346" s="1">
        <v>27</v>
      </c>
      <c r="E1346" s="1" t="s">
        <v>12</v>
      </c>
      <c r="F1346" s="16">
        <v>45973</v>
      </c>
      <c r="G1346" s="1" t="s">
        <v>1470</v>
      </c>
      <c r="H1346" s="1" t="s">
        <v>1472</v>
      </c>
      <c r="I1346" s="17" t="s">
        <v>1505</v>
      </c>
      <c r="J1346" s="18" t="s">
        <v>23</v>
      </c>
      <c r="K1346" s="19" t="s">
        <v>14</v>
      </c>
      <c r="L1346" s="19" t="s">
        <v>42</v>
      </c>
      <c r="M1346" s="20">
        <v>4</v>
      </c>
      <c r="N1346" s="21">
        <v>84999</v>
      </c>
      <c r="O1346" s="22">
        <v>12</v>
      </c>
      <c r="P1346" s="23">
        <v>299196.48</v>
      </c>
      <c r="Q1346" s="22">
        <v>4.5</v>
      </c>
      <c r="R1346" s="22">
        <v>20</v>
      </c>
      <c r="S1346" s="23">
        <f>(Table13[[#This Row],[Unit Price]]*Table13[[#This Row],[No.of Units]])*18%</f>
        <v>61199.28</v>
      </c>
      <c r="T1346" s="22" t="s">
        <v>1508</v>
      </c>
    </row>
    <row r="1347" spans="2:20" x14ac:dyDescent="0.3">
      <c r="B1347" s="5" t="s">
        <v>1264</v>
      </c>
      <c r="C1347" s="1">
        <v>975836</v>
      </c>
      <c r="D1347" s="1">
        <v>22</v>
      </c>
      <c r="E1347" s="1" t="s">
        <v>12</v>
      </c>
      <c r="F1347" s="16">
        <v>45973</v>
      </c>
      <c r="G1347" s="1" t="s">
        <v>1470</v>
      </c>
      <c r="H1347" s="1" t="s">
        <v>1471</v>
      </c>
      <c r="I1347" s="17" t="s">
        <v>1504</v>
      </c>
      <c r="J1347" s="18" t="s">
        <v>25</v>
      </c>
      <c r="K1347" s="19" t="s">
        <v>26</v>
      </c>
      <c r="L1347" s="19" t="s">
        <v>42</v>
      </c>
      <c r="M1347" s="20">
        <v>2</v>
      </c>
      <c r="N1347" s="21">
        <v>69999</v>
      </c>
      <c r="O1347" s="22">
        <v>8</v>
      </c>
      <c r="P1347" s="23">
        <v>128798.16</v>
      </c>
      <c r="Q1347" s="22">
        <v>4.8</v>
      </c>
      <c r="R1347" s="22">
        <v>20</v>
      </c>
      <c r="S1347" s="23">
        <f>(Table13[[#This Row],[Unit Price]]*Table13[[#This Row],[No.of Units]])*18%</f>
        <v>25199.64</v>
      </c>
      <c r="T1347" s="22" t="s">
        <v>1507</v>
      </c>
    </row>
    <row r="1348" spans="2:20" x14ac:dyDescent="0.3">
      <c r="B1348" s="5" t="s">
        <v>1265</v>
      </c>
      <c r="C1348" s="1">
        <v>5339654</v>
      </c>
      <c r="D1348" s="1">
        <v>45</v>
      </c>
      <c r="E1348" s="1" t="s">
        <v>12</v>
      </c>
      <c r="F1348" s="16">
        <v>45973</v>
      </c>
      <c r="G1348" s="1" t="s">
        <v>1470</v>
      </c>
      <c r="H1348" s="1" t="s">
        <v>1482</v>
      </c>
      <c r="I1348" s="17" t="s">
        <v>1503</v>
      </c>
      <c r="J1348" s="18" t="s">
        <v>28</v>
      </c>
      <c r="K1348" s="19" t="s">
        <v>26</v>
      </c>
      <c r="L1348" s="19" t="s">
        <v>42</v>
      </c>
      <c r="M1348" s="20">
        <v>7</v>
      </c>
      <c r="N1348" s="21">
        <v>42999</v>
      </c>
      <c r="O1348" s="22">
        <v>15</v>
      </c>
      <c r="P1348" s="23">
        <v>255844.05</v>
      </c>
      <c r="Q1348" s="22">
        <v>4.5999999999999996</v>
      </c>
      <c r="R1348" s="22">
        <v>20</v>
      </c>
      <c r="S1348" s="23">
        <f>(Table13[[#This Row],[Unit Price]]*Table13[[#This Row],[No.of Units]])*18%</f>
        <v>54178.74</v>
      </c>
      <c r="T1348" s="22" t="s">
        <v>1508</v>
      </c>
    </row>
    <row r="1349" spans="2:20" x14ac:dyDescent="0.3">
      <c r="B1349" s="5" t="s">
        <v>1266</v>
      </c>
      <c r="C1349" s="1">
        <v>8807415</v>
      </c>
      <c r="D1349" s="1">
        <v>46</v>
      </c>
      <c r="E1349" s="1" t="s">
        <v>12</v>
      </c>
      <c r="F1349" s="16">
        <v>45973</v>
      </c>
      <c r="G1349" s="1" t="s">
        <v>1470</v>
      </c>
      <c r="H1349" s="1" t="s">
        <v>1471</v>
      </c>
      <c r="I1349" s="17" t="s">
        <v>1502</v>
      </c>
      <c r="J1349" s="18" t="s">
        <v>13</v>
      </c>
      <c r="K1349" s="19" t="s">
        <v>14</v>
      </c>
      <c r="L1349" s="19" t="s">
        <v>49</v>
      </c>
      <c r="M1349" s="20">
        <v>6</v>
      </c>
      <c r="N1349" s="21">
        <v>99999</v>
      </c>
      <c r="O1349" s="22">
        <v>10</v>
      </c>
      <c r="P1349" s="23">
        <v>539994.6</v>
      </c>
      <c r="Q1349" s="22">
        <v>4.7</v>
      </c>
      <c r="R1349" s="22">
        <v>20</v>
      </c>
      <c r="S1349" s="23">
        <f>(Table13[[#This Row],[Unit Price]]*Table13[[#This Row],[No.of Units]])*18%</f>
        <v>107998.92</v>
      </c>
      <c r="T1349" s="22" t="s">
        <v>1508</v>
      </c>
    </row>
    <row r="1350" spans="2:20" x14ac:dyDescent="0.3">
      <c r="B1350" s="5" t="s">
        <v>1267</v>
      </c>
      <c r="C1350" s="1">
        <v>2584311</v>
      </c>
      <c r="D1350" s="1">
        <v>40</v>
      </c>
      <c r="E1350" s="1" t="s">
        <v>12</v>
      </c>
      <c r="F1350" s="16">
        <v>45973</v>
      </c>
      <c r="G1350" s="1" t="s">
        <v>1470</v>
      </c>
      <c r="H1350" s="1" t="s">
        <v>1471</v>
      </c>
      <c r="I1350" s="17" t="s">
        <v>1503</v>
      </c>
      <c r="J1350" s="18" t="s">
        <v>17</v>
      </c>
      <c r="K1350" s="19" t="s">
        <v>18</v>
      </c>
      <c r="L1350" s="19" t="s">
        <v>49</v>
      </c>
      <c r="M1350" s="20">
        <v>40</v>
      </c>
      <c r="N1350" s="21">
        <v>4999</v>
      </c>
      <c r="O1350" s="22">
        <v>18</v>
      </c>
      <c r="P1350" s="23">
        <v>163967.20000000001</v>
      </c>
      <c r="Q1350" s="22">
        <v>4.4000000000000004</v>
      </c>
      <c r="R1350" s="22">
        <v>20</v>
      </c>
      <c r="S1350" s="23">
        <f>(Table13[[#This Row],[Unit Price]]*Table13[[#This Row],[No.of Units]])*18%</f>
        <v>35992.799999999996</v>
      </c>
      <c r="T1350" s="22" t="s">
        <v>1507</v>
      </c>
    </row>
    <row r="1351" spans="2:20" x14ac:dyDescent="0.3">
      <c r="B1351" s="5" t="s">
        <v>1268</v>
      </c>
      <c r="C1351" s="1">
        <v>6248918</v>
      </c>
      <c r="D1351" s="1">
        <v>43</v>
      </c>
      <c r="E1351" s="1" t="s">
        <v>12</v>
      </c>
      <c r="F1351" s="16">
        <v>45973</v>
      </c>
      <c r="G1351" s="1" t="s">
        <v>1470</v>
      </c>
      <c r="H1351" s="1" t="s">
        <v>1471</v>
      </c>
      <c r="I1351" s="17" t="s">
        <v>1504</v>
      </c>
      <c r="J1351" s="18" t="s">
        <v>21</v>
      </c>
      <c r="K1351" s="19" t="s">
        <v>18</v>
      </c>
      <c r="L1351" s="19" t="s">
        <v>49</v>
      </c>
      <c r="M1351" s="20">
        <v>7</v>
      </c>
      <c r="N1351" s="21">
        <v>24900</v>
      </c>
      <c r="O1351" s="22">
        <v>5</v>
      </c>
      <c r="P1351" s="23">
        <v>165585</v>
      </c>
      <c r="Q1351" s="22">
        <v>4.8</v>
      </c>
      <c r="R1351" s="22">
        <v>20</v>
      </c>
      <c r="S1351" s="23">
        <f>(Table13[[#This Row],[Unit Price]]*Table13[[#This Row],[No.of Units]])*18%</f>
        <v>31374</v>
      </c>
      <c r="T1351" s="22" t="s">
        <v>1508</v>
      </c>
    </row>
    <row r="1352" spans="2:20" x14ac:dyDescent="0.3">
      <c r="B1352" s="5" t="s">
        <v>1269</v>
      </c>
      <c r="C1352" s="1">
        <v>8830580</v>
      </c>
      <c r="D1352" s="1">
        <v>50</v>
      </c>
      <c r="E1352" s="1" t="s">
        <v>20</v>
      </c>
      <c r="F1352" s="16">
        <v>45973</v>
      </c>
      <c r="G1352" s="1" t="s">
        <v>1475</v>
      </c>
      <c r="H1352" s="1" t="s">
        <v>1471</v>
      </c>
      <c r="I1352" s="17" t="s">
        <v>1505</v>
      </c>
      <c r="J1352" s="18" t="s">
        <v>23</v>
      </c>
      <c r="K1352" s="19" t="s">
        <v>14</v>
      </c>
      <c r="L1352" s="19" t="s">
        <v>49</v>
      </c>
      <c r="M1352" s="20">
        <v>5</v>
      </c>
      <c r="N1352" s="21">
        <v>84999</v>
      </c>
      <c r="O1352" s="22">
        <v>12</v>
      </c>
      <c r="P1352" s="23">
        <v>373995.6</v>
      </c>
      <c r="Q1352" s="22">
        <v>4.5</v>
      </c>
      <c r="R1352" s="22">
        <v>20</v>
      </c>
      <c r="S1352" s="23">
        <f>(Table13[[#This Row],[Unit Price]]*Table13[[#This Row],[No.of Units]])*18%</f>
        <v>76499.099999999991</v>
      </c>
      <c r="T1352" s="22" t="s">
        <v>1508</v>
      </c>
    </row>
    <row r="1353" spans="2:20" x14ac:dyDescent="0.3">
      <c r="B1353" s="5" t="s">
        <v>1270</v>
      </c>
      <c r="C1353" s="1">
        <v>7466394</v>
      </c>
      <c r="D1353" s="1">
        <v>47</v>
      </c>
      <c r="E1353" s="1" t="s">
        <v>12</v>
      </c>
      <c r="F1353" s="16">
        <v>45973</v>
      </c>
      <c r="G1353" s="1" t="s">
        <v>1470</v>
      </c>
      <c r="H1353" s="1" t="s">
        <v>1471</v>
      </c>
      <c r="I1353" s="17" t="s">
        <v>1504</v>
      </c>
      <c r="J1353" s="18" t="s">
        <v>25</v>
      </c>
      <c r="K1353" s="19" t="s">
        <v>26</v>
      </c>
      <c r="L1353" s="19" t="s">
        <v>49</v>
      </c>
      <c r="M1353" s="20">
        <v>5</v>
      </c>
      <c r="N1353" s="21">
        <v>69999</v>
      </c>
      <c r="O1353" s="22">
        <v>8</v>
      </c>
      <c r="P1353" s="23">
        <v>321995.40000000002</v>
      </c>
      <c r="Q1353" s="22">
        <v>4.8</v>
      </c>
      <c r="R1353" s="22">
        <v>20</v>
      </c>
      <c r="S1353" s="23">
        <f>(Table13[[#This Row],[Unit Price]]*Table13[[#This Row],[No.of Units]])*18%</f>
        <v>62999.1</v>
      </c>
      <c r="T1353" s="22" t="s">
        <v>1507</v>
      </c>
    </row>
    <row r="1354" spans="2:20" x14ac:dyDescent="0.3">
      <c r="B1354" s="5" t="s">
        <v>1271</v>
      </c>
      <c r="C1354" s="1">
        <v>8156341</v>
      </c>
      <c r="D1354" s="1">
        <v>46</v>
      </c>
      <c r="E1354" s="1" t="s">
        <v>12</v>
      </c>
      <c r="F1354" s="16">
        <v>45973</v>
      </c>
      <c r="G1354" s="1" t="s">
        <v>1470</v>
      </c>
      <c r="H1354" s="1" t="s">
        <v>1483</v>
      </c>
      <c r="I1354" s="17" t="s">
        <v>1503</v>
      </c>
      <c r="J1354" s="18" t="s">
        <v>28</v>
      </c>
      <c r="K1354" s="19" t="s">
        <v>26</v>
      </c>
      <c r="L1354" s="19" t="s">
        <v>49</v>
      </c>
      <c r="M1354" s="20">
        <v>5</v>
      </c>
      <c r="N1354" s="21">
        <v>42999</v>
      </c>
      <c r="O1354" s="22">
        <v>15</v>
      </c>
      <c r="P1354" s="23">
        <v>182745.75</v>
      </c>
      <c r="Q1354" s="22">
        <v>4.5999999999999996</v>
      </c>
      <c r="R1354" s="22">
        <v>20</v>
      </c>
      <c r="S1354" s="23">
        <f>(Table13[[#This Row],[Unit Price]]*Table13[[#This Row],[No.of Units]])*18%</f>
        <v>38699.1</v>
      </c>
      <c r="T1354" s="22" t="s">
        <v>1507</v>
      </c>
    </row>
    <row r="1355" spans="2:20" x14ac:dyDescent="0.3">
      <c r="B1355" s="5" t="s">
        <v>1272</v>
      </c>
      <c r="C1355" s="1">
        <v>5346372</v>
      </c>
      <c r="D1355" s="1">
        <v>72</v>
      </c>
      <c r="E1355" s="1" t="s">
        <v>20</v>
      </c>
      <c r="F1355" s="16">
        <v>45980</v>
      </c>
      <c r="G1355" s="1" t="s">
        <v>1474</v>
      </c>
      <c r="H1355" s="1" t="s">
        <v>1480</v>
      </c>
      <c r="I1355" s="17" t="s">
        <v>1502</v>
      </c>
      <c r="J1355" s="18" t="s">
        <v>13</v>
      </c>
      <c r="K1355" s="19" t="s">
        <v>14</v>
      </c>
      <c r="L1355" s="19" t="s">
        <v>15</v>
      </c>
      <c r="M1355" s="20">
        <v>5</v>
      </c>
      <c r="N1355" s="21">
        <v>99999</v>
      </c>
      <c r="O1355" s="22">
        <v>10</v>
      </c>
      <c r="P1355" s="23">
        <v>449995.5</v>
      </c>
      <c r="Q1355" s="22">
        <v>4.7</v>
      </c>
      <c r="R1355" s="22">
        <v>20</v>
      </c>
      <c r="S1355" s="23">
        <f>(Table13[[#This Row],[Unit Price]]*Table13[[#This Row],[No.of Units]])*18%</f>
        <v>89999.099999999991</v>
      </c>
      <c r="T1355" s="22" t="s">
        <v>1508</v>
      </c>
    </row>
    <row r="1356" spans="2:20" x14ac:dyDescent="0.3">
      <c r="B1356" s="5" t="s">
        <v>1272</v>
      </c>
      <c r="C1356" s="1">
        <v>5346372</v>
      </c>
      <c r="D1356" s="1">
        <v>35</v>
      </c>
      <c r="E1356" s="1" t="s">
        <v>12</v>
      </c>
      <c r="F1356" s="16">
        <v>45980</v>
      </c>
      <c r="G1356" s="1" t="s">
        <v>1470</v>
      </c>
      <c r="H1356" s="1" t="s">
        <v>1483</v>
      </c>
      <c r="I1356" s="17" t="s">
        <v>1503</v>
      </c>
      <c r="J1356" s="18" t="s">
        <v>17</v>
      </c>
      <c r="K1356" s="19" t="s">
        <v>18</v>
      </c>
      <c r="L1356" s="19" t="s">
        <v>15</v>
      </c>
      <c r="M1356" s="20">
        <v>55</v>
      </c>
      <c r="N1356" s="21">
        <v>4999</v>
      </c>
      <c r="O1356" s="22">
        <v>18</v>
      </c>
      <c r="P1356" s="23">
        <v>225454.9</v>
      </c>
      <c r="Q1356" s="22">
        <v>4.4000000000000004</v>
      </c>
      <c r="R1356" s="22">
        <v>20</v>
      </c>
      <c r="S1356" s="23">
        <f>(Table13[[#This Row],[Unit Price]]*Table13[[#This Row],[No.of Units]])*18%</f>
        <v>49490.1</v>
      </c>
      <c r="T1356" s="22" t="s">
        <v>1507</v>
      </c>
    </row>
    <row r="1357" spans="2:20" x14ac:dyDescent="0.3">
      <c r="B1357" s="5" t="s">
        <v>1273</v>
      </c>
      <c r="C1357" s="1">
        <v>2452708</v>
      </c>
      <c r="D1357" s="1">
        <v>31</v>
      </c>
      <c r="E1357" s="1" t="s">
        <v>12</v>
      </c>
      <c r="F1357" s="16">
        <v>45980</v>
      </c>
      <c r="G1357" s="1" t="s">
        <v>1470</v>
      </c>
      <c r="H1357" s="1" t="s">
        <v>1482</v>
      </c>
      <c r="I1357" s="17" t="s">
        <v>1504</v>
      </c>
      <c r="J1357" s="18" t="s">
        <v>21</v>
      </c>
      <c r="K1357" s="19" t="s">
        <v>18</v>
      </c>
      <c r="L1357" s="19" t="s">
        <v>15</v>
      </c>
      <c r="M1357" s="20">
        <v>6</v>
      </c>
      <c r="N1357" s="21">
        <v>24900</v>
      </c>
      <c r="O1357" s="22">
        <v>5</v>
      </c>
      <c r="P1357" s="23">
        <v>141930</v>
      </c>
      <c r="Q1357" s="22">
        <v>4.8</v>
      </c>
      <c r="R1357" s="22">
        <v>20</v>
      </c>
      <c r="S1357" s="23">
        <f>(Table13[[#This Row],[Unit Price]]*Table13[[#This Row],[No.of Units]])*18%</f>
        <v>26892</v>
      </c>
      <c r="T1357" s="22" t="s">
        <v>1508</v>
      </c>
    </row>
    <row r="1358" spans="2:20" x14ac:dyDescent="0.3">
      <c r="B1358" s="5" t="s">
        <v>1274</v>
      </c>
      <c r="C1358" s="1">
        <v>7338347</v>
      </c>
      <c r="D1358" s="1">
        <v>18</v>
      </c>
      <c r="E1358" s="1" t="s">
        <v>34</v>
      </c>
      <c r="F1358" s="16">
        <v>45980</v>
      </c>
      <c r="G1358" s="1" t="s">
        <v>1470</v>
      </c>
      <c r="H1358" s="1" t="s">
        <v>1482</v>
      </c>
      <c r="I1358" s="17" t="s">
        <v>1505</v>
      </c>
      <c r="J1358" s="18" t="s">
        <v>23</v>
      </c>
      <c r="K1358" s="19" t="s">
        <v>14</v>
      </c>
      <c r="L1358" s="19" t="s">
        <v>15</v>
      </c>
      <c r="M1358" s="20">
        <v>5</v>
      </c>
      <c r="N1358" s="21">
        <v>84999</v>
      </c>
      <c r="O1358" s="22">
        <v>12</v>
      </c>
      <c r="P1358" s="23">
        <v>373995.6</v>
      </c>
      <c r="Q1358" s="22">
        <v>4.5</v>
      </c>
      <c r="R1358" s="22">
        <v>20</v>
      </c>
      <c r="S1358" s="23">
        <f>(Table13[[#This Row],[Unit Price]]*Table13[[#This Row],[No.of Units]])*18%</f>
        <v>76499.099999999991</v>
      </c>
      <c r="T1358" s="22" t="s">
        <v>1507</v>
      </c>
    </row>
    <row r="1359" spans="2:20" x14ac:dyDescent="0.3">
      <c r="B1359" s="5" t="s">
        <v>1275</v>
      </c>
      <c r="C1359" s="1">
        <v>211892</v>
      </c>
      <c r="D1359" s="1">
        <v>22</v>
      </c>
      <c r="E1359" s="1" t="s">
        <v>12</v>
      </c>
      <c r="F1359" s="16">
        <v>45980</v>
      </c>
      <c r="G1359" s="1" t="s">
        <v>1470</v>
      </c>
      <c r="H1359" s="1" t="s">
        <v>1471</v>
      </c>
      <c r="I1359" s="17" t="s">
        <v>1504</v>
      </c>
      <c r="J1359" s="18" t="s">
        <v>25</v>
      </c>
      <c r="K1359" s="19" t="s">
        <v>26</v>
      </c>
      <c r="L1359" s="19" t="s">
        <v>15</v>
      </c>
      <c r="M1359" s="20">
        <v>6</v>
      </c>
      <c r="N1359" s="21">
        <v>69999</v>
      </c>
      <c r="O1359" s="22">
        <v>8</v>
      </c>
      <c r="P1359" s="23">
        <v>386394.48</v>
      </c>
      <c r="Q1359" s="22">
        <v>4.8</v>
      </c>
      <c r="R1359" s="22">
        <v>20</v>
      </c>
      <c r="S1359" s="23">
        <f>(Table13[[#This Row],[Unit Price]]*Table13[[#This Row],[No.of Units]])*18%</f>
        <v>75598.92</v>
      </c>
      <c r="T1359" s="22" t="s">
        <v>1508</v>
      </c>
    </row>
    <row r="1360" spans="2:20" x14ac:dyDescent="0.3">
      <c r="B1360" s="5" t="s">
        <v>1276</v>
      </c>
      <c r="C1360" s="1">
        <v>7532609</v>
      </c>
      <c r="D1360" s="1">
        <v>63</v>
      </c>
      <c r="E1360" s="1" t="s">
        <v>20</v>
      </c>
      <c r="F1360" s="16">
        <v>45980</v>
      </c>
      <c r="G1360" s="1" t="s">
        <v>1470</v>
      </c>
      <c r="H1360" s="1" t="s">
        <v>1472</v>
      </c>
      <c r="I1360" s="17" t="s">
        <v>1503</v>
      </c>
      <c r="J1360" s="18" t="s">
        <v>28</v>
      </c>
      <c r="K1360" s="19" t="s">
        <v>26</v>
      </c>
      <c r="L1360" s="19" t="s">
        <v>15</v>
      </c>
      <c r="M1360" s="20">
        <v>11</v>
      </c>
      <c r="N1360" s="21">
        <v>42999</v>
      </c>
      <c r="O1360" s="22">
        <v>15</v>
      </c>
      <c r="P1360" s="23">
        <v>402040.65</v>
      </c>
      <c r="Q1360" s="22">
        <v>4.5999999999999996</v>
      </c>
      <c r="R1360" s="22">
        <v>20</v>
      </c>
      <c r="S1360" s="23">
        <f>(Table13[[#This Row],[Unit Price]]*Table13[[#This Row],[No.of Units]])*18%</f>
        <v>85138.02</v>
      </c>
      <c r="T1360" s="22" t="s">
        <v>1508</v>
      </c>
    </row>
    <row r="1361" spans="2:20" x14ac:dyDescent="0.3">
      <c r="B1361" s="5" t="s">
        <v>1277</v>
      </c>
      <c r="C1361" s="1">
        <v>6043726</v>
      </c>
      <c r="D1361" s="1">
        <v>47</v>
      </c>
      <c r="E1361" s="1" t="s">
        <v>12</v>
      </c>
      <c r="F1361" s="16">
        <v>45980</v>
      </c>
      <c r="G1361" s="1" t="s">
        <v>1474</v>
      </c>
      <c r="H1361" s="1" t="s">
        <v>1471</v>
      </c>
      <c r="I1361" s="17" t="s">
        <v>1502</v>
      </c>
      <c r="J1361" s="18" t="s">
        <v>13</v>
      </c>
      <c r="K1361" s="19" t="s">
        <v>14</v>
      </c>
      <c r="L1361" s="19" t="s">
        <v>29</v>
      </c>
      <c r="M1361" s="20">
        <v>6</v>
      </c>
      <c r="N1361" s="21">
        <v>99999</v>
      </c>
      <c r="O1361" s="22">
        <v>10</v>
      </c>
      <c r="P1361" s="23">
        <v>539994.6</v>
      </c>
      <c r="Q1361" s="22">
        <v>4.7</v>
      </c>
      <c r="R1361" s="22">
        <v>20</v>
      </c>
      <c r="S1361" s="23">
        <f>(Table13[[#This Row],[Unit Price]]*Table13[[#This Row],[No.of Units]])*18%</f>
        <v>107998.92</v>
      </c>
      <c r="T1361" s="22" t="s">
        <v>1508</v>
      </c>
    </row>
    <row r="1362" spans="2:20" x14ac:dyDescent="0.3">
      <c r="B1362" s="5" t="s">
        <v>1278</v>
      </c>
      <c r="C1362" s="1">
        <v>1712596</v>
      </c>
      <c r="D1362" s="1">
        <v>35</v>
      </c>
      <c r="E1362" s="1" t="s">
        <v>12</v>
      </c>
      <c r="F1362" s="16">
        <v>45980</v>
      </c>
      <c r="G1362" s="1" t="s">
        <v>1474</v>
      </c>
      <c r="H1362" s="1" t="s">
        <v>1472</v>
      </c>
      <c r="I1362" s="17" t="s">
        <v>1503</v>
      </c>
      <c r="J1362" s="18" t="s">
        <v>17</v>
      </c>
      <c r="K1362" s="19" t="s">
        <v>18</v>
      </c>
      <c r="L1362" s="19" t="s">
        <v>29</v>
      </c>
      <c r="M1362" s="20">
        <v>55</v>
      </c>
      <c r="N1362" s="21">
        <v>4999</v>
      </c>
      <c r="O1362" s="22">
        <v>18</v>
      </c>
      <c r="P1362" s="23">
        <v>225454.9</v>
      </c>
      <c r="Q1362" s="22">
        <v>4.4000000000000004</v>
      </c>
      <c r="R1362" s="22">
        <v>20</v>
      </c>
      <c r="S1362" s="23">
        <f>(Table13[[#This Row],[Unit Price]]*Table13[[#This Row],[No.of Units]])*18%</f>
        <v>49490.1</v>
      </c>
      <c r="T1362" s="22" t="s">
        <v>1507</v>
      </c>
    </row>
    <row r="1363" spans="2:20" x14ac:dyDescent="0.3">
      <c r="B1363" s="5" t="s">
        <v>1279</v>
      </c>
      <c r="C1363" s="1">
        <v>8411773</v>
      </c>
      <c r="D1363" s="1">
        <v>41</v>
      </c>
      <c r="E1363" s="1" t="s">
        <v>12</v>
      </c>
      <c r="F1363" s="16">
        <v>45980</v>
      </c>
      <c r="G1363" s="1" t="s">
        <v>1470</v>
      </c>
      <c r="H1363" s="1" t="s">
        <v>1471</v>
      </c>
      <c r="I1363" s="17" t="s">
        <v>1504</v>
      </c>
      <c r="J1363" s="18" t="s">
        <v>21</v>
      </c>
      <c r="K1363" s="19" t="s">
        <v>18</v>
      </c>
      <c r="L1363" s="19" t="s">
        <v>29</v>
      </c>
      <c r="M1363" s="20">
        <v>12</v>
      </c>
      <c r="N1363" s="21">
        <v>24900</v>
      </c>
      <c r="O1363" s="22">
        <v>5</v>
      </c>
      <c r="P1363" s="23">
        <v>283860</v>
      </c>
      <c r="Q1363" s="22">
        <v>4.8</v>
      </c>
      <c r="R1363" s="22">
        <v>20</v>
      </c>
      <c r="S1363" s="23">
        <f>(Table13[[#This Row],[Unit Price]]*Table13[[#This Row],[No.of Units]])*18%</f>
        <v>53784</v>
      </c>
      <c r="T1363" s="22" t="s">
        <v>1508</v>
      </c>
    </row>
    <row r="1364" spans="2:20" x14ac:dyDescent="0.3">
      <c r="B1364" s="5" t="s">
        <v>1280</v>
      </c>
      <c r="C1364" s="1">
        <v>7844529</v>
      </c>
      <c r="D1364" s="1">
        <v>46</v>
      </c>
      <c r="E1364" s="1" t="s">
        <v>12</v>
      </c>
      <c r="F1364" s="16">
        <v>45980</v>
      </c>
      <c r="G1364" s="1" t="s">
        <v>1470</v>
      </c>
      <c r="H1364" s="1" t="s">
        <v>1482</v>
      </c>
      <c r="I1364" s="17" t="s">
        <v>1505</v>
      </c>
      <c r="J1364" s="18" t="s">
        <v>23</v>
      </c>
      <c r="K1364" s="19" t="s">
        <v>14</v>
      </c>
      <c r="L1364" s="19" t="s">
        <v>29</v>
      </c>
      <c r="M1364" s="20">
        <v>6</v>
      </c>
      <c r="N1364" s="21">
        <v>84999</v>
      </c>
      <c r="O1364" s="22">
        <v>12</v>
      </c>
      <c r="P1364" s="23">
        <v>448794.72</v>
      </c>
      <c r="Q1364" s="22">
        <v>4.5</v>
      </c>
      <c r="R1364" s="22">
        <v>20</v>
      </c>
      <c r="S1364" s="23">
        <f>(Table13[[#This Row],[Unit Price]]*Table13[[#This Row],[No.of Units]])*18%</f>
        <v>91798.92</v>
      </c>
      <c r="T1364" s="22" t="s">
        <v>1508</v>
      </c>
    </row>
    <row r="1365" spans="2:20" x14ac:dyDescent="0.3">
      <c r="B1365" s="5" t="s">
        <v>1281</v>
      </c>
      <c r="C1365" s="1">
        <v>3775810</v>
      </c>
      <c r="D1365" s="1">
        <v>44</v>
      </c>
      <c r="E1365" s="1" t="s">
        <v>12</v>
      </c>
      <c r="F1365" s="16">
        <v>45980</v>
      </c>
      <c r="G1365" s="1" t="s">
        <v>1475</v>
      </c>
      <c r="H1365" s="1" t="s">
        <v>1471</v>
      </c>
      <c r="I1365" s="17" t="s">
        <v>1504</v>
      </c>
      <c r="J1365" s="18" t="s">
        <v>25</v>
      </c>
      <c r="K1365" s="19" t="s">
        <v>26</v>
      </c>
      <c r="L1365" s="19" t="s">
        <v>29</v>
      </c>
      <c r="M1365" s="20">
        <v>2</v>
      </c>
      <c r="N1365" s="21">
        <v>69999</v>
      </c>
      <c r="O1365" s="22">
        <v>8</v>
      </c>
      <c r="P1365" s="23">
        <v>128798.16</v>
      </c>
      <c r="Q1365" s="22">
        <v>4.8</v>
      </c>
      <c r="R1365" s="22">
        <v>20</v>
      </c>
      <c r="S1365" s="23">
        <f>(Table13[[#This Row],[Unit Price]]*Table13[[#This Row],[No.of Units]])*18%</f>
        <v>25199.64</v>
      </c>
      <c r="T1365" s="22" t="s">
        <v>1508</v>
      </c>
    </row>
    <row r="1366" spans="2:20" x14ac:dyDescent="0.3">
      <c r="B1366" s="5" t="s">
        <v>1282</v>
      </c>
      <c r="C1366" s="1">
        <v>9012771</v>
      </c>
      <c r="D1366" s="1">
        <v>19</v>
      </c>
      <c r="E1366" s="1" t="s">
        <v>34</v>
      </c>
      <c r="F1366" s="16">
        <v>45980</v>
      </c>
      <c r="G1366" s="1" t="s">
        <v>1470</v>
      </c>
      <c r="H1366" s="1" t="s">
        <v>1471</v>
      </c>
      <c r="I1366" s="17" t="s">
        <v>1503</v>
      </c>
      <c r="J1366" s="18" t="s">
        <v>28</v>
      </c>
      <c r="K1366" s="19" t="s">
        <v>26</v>
      </c>
      <c r="L1366" s="19" t="s">
        <v>29</v>
      </c>
      <c r="M1366" s="20">
        <v>9</v>
      </c>
      <c r="N1366" s="21">
        <v>42999</v>
      </c>
      <c r="O1366" s="22">
        <v>15</v>
      </c>
      <c r="P1366" s="23">
        <v>328942.34999999998</v>
      </c>
      <c r="Q1366" s="22">
        <v>4.5999999999999996</v>
      </c>
      <c r="R1366" s="22">
        <v>20</v>
      </c>
      <c r="S1366" s="23">
        <f>(Table13[[#This Row],[Unit Price]]*Table13[[#This Row],[No.of Units]])*18%</f>
        <v>69658.38</v>
      </c>
      <c r="T1366" s="22" t="s">
        <v>1508</v>
      </c>
    </row>
    <row r="1367" spans="2:20" x14ac:dyDescent="0.3">
      <c r="B1367" s="5" t="s">
        <v>1283</v>
      </c>
      <c r="C1367" s="1">
        <v>9136525</v>
      </c>
      <c r="D1367" s="1">
        <v>29</v>
      </c>
      <c r="E1367" s="1" t="s">
        <v>12</v>
      </c>
      <c r="F1367" s="16">
        <v>45980</v>
      </c>
      <c r="G1367" s="1" t="s">
        <v>1470</v>
      </c>
      <c r="H1367" s="1" t="s">
        <v>1471</v>
      </c>
      <c r="I1367" s="17" t="s">
        <v>1502</v>
      </c>
      <c r="J1367" s="18" t="s">
        <v>13</v>
      </c>
      <c r="K1367" s="19" t="s">
        <v>14</v>
      </c>
      <c r="L1367" s="19" t="s">
        <v>35</v>
      </c>
      <c r="M1367" s="20">
        <v>6</v>
      </c>
      <c r="N1367" s="21">
        <v>99999</v>
      </c>
      <c r="O1367" s="22">
        <v>10</v>
      </c>
      <c r="P1367" s="23">
        <v>539994.6</v>
      </c>
      <c r="Q1367" s="22">
        <v>4.7</v>
      </c>
      <c r="R1367" s="22">
        <v>20</v>
      </c>
      <c r="S1367" s="23">
        <f>(Table13[[#This Row],[Unit Price]]*Table13[[#This Row],[No.of Units]])*18%</f>
        <v>107998.92</v>
      </c>
      <c r="T1367" s="22" t="s">
        <v>1507</v>
      </c>
    </row>
    <row r="1368" spans="2:20" x14ac:dyDescent="0.3">
      <c r="B1368" s="5" t="s">
        <v>1283</v>
      </c>
      <c r="C1368" s="1">
        <v>9136525</v>
      </c>
      <c r="D1368" s="1">
        <v>34</v>
      </c>
      <c r="E1368" s="1" t="s">
        <v>12</v>
      </c>
      <c r="F1368" s="16">
        <v>45980</v>
      </c>
      <c r="G1368" s="1" t="s">
        <v>1470</v>
      </c>
      <c r="H1368" s="1" t="s">
        <v>1480</v>
      </c>
      <c r="I1368" s="17" t="s">
        <v>1503</v>
      </c>
      <c r="J1368" s="18" t="s">
        <v>17</v>
      </c>
      <c r="K1368" s="19" t="s">
        <v>18</v>
      </c>
      <c r="L1368" s="19" t="s">
        <v>35</v>
      </c>
      <c r="M1368" s="20">
        <v>24</v>
      </c>
      <c r="N1368" s="21">
        <v>4999</v>
      </c>
      <c r="O1368" s="22">
        <v>18</v>
      </c>
      <c r="P1368" s="23">
        <v>98380.32</v>
      </c>
      <c r="Q1368" s="22">
        <v>4.4000000000000004</v>
      </c>
      <c r="R1368" s="22">
        <v>20</v>
      </c>
      <c r="S1368" s="23">
        <f>(Table13[[#This Row],[Unit Price]]*Table13[[#This Row],[No.of Units]])*18%</f>
        <v>21595.68</v>
      </c>
      <c r="T1368" s="22" t="s">
        <v>1508</v>
      </c>
    </row>
    <row r="1369" spans="2:20" x14ac:dyDescent="0.3">
      <c r="B1369" s="5" t="s">
        <v>1284</v>
      </c>
      <c r="C1369" s="1">
        <v>6279695</v>
      </c>
      <c r="D1369" s="1">
        <v>60</v>
      </c>
      <c r="E1369" s="1" t="s">
        <v>20</v>
      </c>
      <c r="F1369" s="16">
        <v>45980</v>
      </c>
      <c r="G1369" s="1" t="s">
        <v>1475</v>
      </c>
      <c r="H1369" s="1" t="s">
        <v>1482</v>
      </c>
      <c r="I1369" s="17" t="s">
        <v>1504</v>
      </c>
      <c r="J1369" s="18" t="s">
        <v>21</v>
      </c>
      <c r="K1369" s="19" t="s">
        <v>18</v>
      </c>
      <c r="L1369" s="19" t="s">
        <v>35</v>
      </c>
      <c r="M1369" s="20">
        <v>14</v>
      </c>
      <c r="N1369" s="21">
        <v>24900</v>
      </c>
      <c r="O1369" s="22">
        <v>5</v>
      </c>
      <c r="P1369" s="23">
        <v>331170</v>
      </c>
      <c r="Q1369" s="22">
        <v>4.8</v>
      </c>
      <c r="R1369" s="22">
        <v>20</v>
      </c>
      <c r="S1369" s="23">
        <f>(Table13[[#This Row],[Unit Price]]*Table13[[#This Row],[No.of Units]])*18%</f>
        <v>62748</v>
      </c>
      <c r="T1369" s="22" t="s">
        <v>1508</v>
      </c>
    </row>
    <row r="1370" spans="2:20" x14ac:dyDescent="0.3">
      <c r="B1370" s="5" t="s">
        <v>1285</v>
      </c>
      <c r="C1370" s="1">
        <v>6817306</v>
      </c>
      <c r="D1370" s="1">
        <v>30</v>
      </c>
      <c r="E1370" s="1" t="s">
        <v>12</v>
      </c>
      <c r="F1370" s="16">
        <v>45980</v>
      </c>
      <c r="G1370" s="1" t="s">
        <v>1470</v>
      </c>
      <c r="H1370" s="1" t="s">
        <v>1472</v>
      </c>
      <c r="I1370" s="17" t="s">
        <v>1505</v>
      </c>
      <c r="J1370" s="18" t="s">
        <v>23</v>
      </c>
      <c r="K1370" s="19" t="s">
        <v>14</v>
      </c>
      <c r="L1370" s="19" t="s">
        <v>35</v>
      </c>
      <c r="M1370" s="20">
        <v>3</v>
      </c>
      <c r="N1370" s="21">
        <v>84999</v>
      </c>
      <c r="O1370" s="22">
        <v>12</v>
      </c>
      <c r="P1370" s="23">
        <v>224397.36</v>
      </c>
      <c r="Q1370" s="22">
        <v>4.5</v>
      </c>
      <c r="R1370" s="22">
        <v>20</v>
      </c>
      <c r="S1370" s="23">
        <f>(Table13[[#This Row],[Unit Price]]*Table13[[#This Row],[No.of Units]])*18%</f>
        <v>45899.46</v>
      </c>
      <c r="T1370" s="22" t="s">
        <v>1508</v>
      </c>
    </row>
    <row r="1371" spans="2:20" x14ac:dyDescent="0.3">
      <c r="B1371" s="5" t="s">
        <v>1286</v>
      </c>
      <c r="C1371" s="1">
        <v>7298234</v>
      </c>
      <c r="D1371" s="1">
        <v>49</v>
      </c>
      <c r="E1371" s="1" t="s">
        <v>12</v>
      </c>
      <c r="F1371" s="16">
        <v>45980</v>
      </c>
      <c r="G1371" s="1" t="s">
        <v>1470</v>
      </c>
      <c r="H1371" s="1" t="s">
        <v>1472</v>
      </c>
      <c r="I1371" s="17" t="s">
        <v>1504</v>
      </c>
      <c r="J1371" s="18" t="s">
        <v>25</v>
      </c>
      <c r="K1371" s="19" t="s">
        <v>26</v>
      </c>
      <c r="L1371" s="19" t="s">
        <v>35</v>
      </c>
      <c r="M1371" s="20">
        <v>6</v>
      </c>
      <c r="N1371" s="21">
        <v>69999</v>
      </c>
      <c r="O1371" s="22">
        <v>8</v>
      </c>
      <c r="P1371" s="23">
        <v>386394.48</v>
      </c>
      <c r="Q1371" s="22">
        <v>4.8</v>
      </c>
      <c r="R1371" s="22">
        <v>20</v>
      </c>
      <c r="S1371" s="23">
        <f>(Table13[[#This Row],[Unit Price]]*Table13[[#This Row],[No.of Units]])*18%</f>
        <v>75598.92</v>
      </c>
      <c r="T1371" s="22" t="s">
        <v>1508</v>
      </c>
    </row>
    <row r="1372" spans="2:20" x14ac:dyDescent="0.3">
      <c r="B1372" s="5" t="s">
        <v>1287</v>
      </c>
      <c r="C1372" s="1">
        <v>4771236</v>
      </c>
      <c r="D1372" s="1">
        <v>28</v>
      </c>
      <c r="E1372" s="1" t="s">
        <v>12</v>
      </c>
      <c r="F1372" s="16">
        <v>45980</v>
      </c>
      <c r="G1372" s="1" t="s">
        <v>1470</v>
      </c>
      <c r="H1372" s="1" t="s">
        <v>1482</v>
      </c>
      <c r="I1372" s="17" t="s">
        <v>1503</v>
      </c>
      <c r="J1372" s="18" t="s">
        <v>28</v>
      </c>
      <c r="K1372" s="19" t="s">
        <v>26</v>
      </c>
      <c r="L1372" s="19" t="s">
        <v>35</v>
      </c>
      <c r="M1372" s="20">
        <v>8</v>
      </c>
      <c r="N1372" s="21">
        <v>42999</v>
      </c>
      <c r="O1372" s="22">
        <v>15</v>
      </c>
      <c r="P1372" s="23">
        <v>292393.2</v>
      </c>
      <c r="Q1372" s="22">
        <v>4.5999999999999996</v>
      </c>
      <c r="R1372" s="22">
        <v>20</v>
      </c>
      <c r="S1372" s="23">
        <f>(Table13[[#This Row],[Unit Price]]*Table13[[#This Row],[No.of Units]])*18%</f>
        <v>61918.559999999998</v>
      </c>
      <c r="T1372" s="22" t="s">
        <v>1507</v>
      </c>
    </row>
    <row r="1373" spans="2:20" x14ac:dyDescent="0.3">
      <c r="B1373" s="5" t="s">
        <v>1288</v>
      </c>
      <c r="C1373" s="1">
        <v>2906637</v>
      </c>
      <c r="D1373" s="1">
        <v>23</v>
      </c>
      <c r="E1373" s="1" t="s">
        <v>12</v>
      </c>
      <c r="F1373" s="16">
        <v>45980</v>
      </c>
      <c r="G1373" s="1" t="s">
        <v>1470</v>
      </c>
      <c r="H1373" s="1" t="s">
        <v>1471</v>
      </c>
      <c r="I1373" s="17" t="s">
        <v>1502</v>
      </c>
      <c r="J1373" s="18" t="s">
        <v>13</v>
      </c>
      <c r="K1373" s="19" t="s">
        <v>14</v>
      </c>
      <c r="L1373" s="19" t="s">
        <v>42</v>
      </c>
      <c r="M1373" s="20">
        <v>5</v>
      </c>
      <c r="N1373" s="21">
        <v>99999</v>
      </c>
      <c r="O1373" s="22">
        <v>10</v>
      </c>
      <c r="P1373" s="23">
        <v>449995.5</v>
      </c>
      <c r="Q1373" s="22">
        <v>4.7</v>
      </c>
      <c r="R1373" s="22">
        <v>20</v>
      </c>
      <c r="S1373" s="23">
        <f>(Table13[[#This Row],[Unit Price]]*Table13[[#This Row],[No.of Units]])*18%</f>
        <v>89999.099999999991</v>
      </c>
      <c r="T1373" s="22" t="s">
        <v>1507</v>
      </c>
    </row>
    <row r="1374" spans="2:20" x14ac:dyDescent="0.3">
      <c r="B1374" s="5" t="s">
        <v>1289</v>
      </c>
      <c r="C1374" s="1">
        <v>6316473</v>
      </c>
      <c r="D1374" s="1">
        <v>39</v>
      </c>
      <c r="E1374" s="1" t="s">
        <v>12</v>
      </c>
      <c r="F1374" s="16">
        <v>45980</v>
      </c>
      <c r="G1374" s="1" t="s">
        <v>1470</v>
      </c>
      <c r="H1374" s="1" t="s">
        <v>1480</v>
      </c>
      <c r="I1374" s="17" t="s">
        <v>1503</v>
      </c>
      <c r="J1374" s="18" t="s">
        <v>17</v>
      </c>
      <c r="K1374" s="19" t="s">
        <v>18</v>
      </c>
      <c r="L1374" s="19" t="s">
        <v>42</v>
      </c>
      <c r="M1374" s="20">
        <v>36</v>
      </c>
      <c r="N1374" s="21">
        <v>4999</v>
      </c>
      <c r="O1374" s="22">
        <v>18</v>
      </c>
      <c r="P1374" s="23">
        <v>147570.48000000001</v>
      </c>
      <c r="Q1374" s="22">
        <v>4.4000000000000004</v>
      </c>
      <c r="R1374" s="22">
        <v>20</v>
      </c>
      <c r="S1374" s="23">
        <f>(Table13[[#This Row],[Unit Price]]*Table13[[#This Row],[No.of Units]])*18%</f>
        <v>32393.52</v>
      </c>
      <c r="T1374" s="22" t="s">
        <v>1508</v>
      </c>
    </row>
    <row r="1375" spans="2:20" x14ac:dyDescent="0.3">
      <c r="B1375" s="5" t="s">
        <v>1290</v>
      </c>
      <c r="C1375" s="1">
        <v>1860368</v>
      </c>
      <c r="D1375" s="1">
        <v>62</v>
      </c>
      <c r="E1375" s="1" t="s">
        <v>20</v>
      </c>
      <c r="F1375" s="16">
        <v>45980</v>
      </c>
      <c r="G1375" s="1" t="s">
        <v>1470</v>
      </c>
      <c r="H1375" s="1" t="s">
        <v>1483</v>
      </c>
      <c r="I1375" s="17" t="s">
        <v>1504</v>
      </c>
      <c r="J1375" s="18" t="s">
        <v>21</v>
      </c>
      <c r="K1375" s="19" t="s">
        <v>18</v>
      </c>
      <c r="L1375" s="19" t="s">
        <v>42</v>
      </c>
      <c r="M1375" s="20">
        <v>12</v>
      </c>
      <c r="N1375" s="21">
        <v>24900</v>
      </c>
      <c r="O1375" s="22">
        <v>5</v>
      </c>
      <c r="P1375" s="23">
        <v>283860</v>
      </c>
      <c r="Q1375" s="22">
        <v>4.8</v>
      </c>
      <c r="R1375" s="22">
        <v>20</v>
      </c>
      <c r="S1375" s="23">
        <f>(Table13[[#This Row],[Unit Price]]*Table13[[#This Row],[No.of Units]])*18%</f>
        <v>53784</v>
      </c>
      <c r="T1375" s="22" t="s">
        <v>1508</v>
      </c>
    </row>
    <row r="1376" spans="2:20" x14ac:dyDescent="0.3">
      <c r="B1376" s="5" t="s">
        <v>1291</v>
      </c>
      <c r="C1376" s="1">
        <v>7120808</v>
      </c>
      <c r="D1376" s="1">
        <v>36</v>
      </c>
      <c r="E1376" s="1" t="s">
        <v>12</v>
      </c>
      <c r="F1376" s="16">
        <v>45980</v>
      </c>
      <c r="G1376" s="1" t="s">
        <v>1470</v>
      </c>
      <c r="H1376" s="1" t="s">
        <v>1480</v>
      </c>
      <c r="I1376" s="17" t="s">
        <v>1505</v>
      </c>
      <c r="J1376" s="18" t="s">
        <v>23</v>
      </c>
      <c r="K1376" s="19" t="s">
        <v>14</v>
      </c>
      <c r="L1376" s="19" t="s">
        <v>42</v>
      </c>
      <c r="M1376" s="20">
        <v>6</v>
      </c>
      <c r="N1376" s="21">
        <v>84999</v>
      </c>
      <c r="O1376" s="22">
        <v>12</v>
      </c>
      <c r="P1376" s="23">
        <v>448794.72</v>
      </c>
      <c r="Q1376" s="22">
        <v>4.5</v>
      </c>
      <c r="R1376" s="22">
        <v>20</v>
      </c>
      <c r="S1376" s="23">
        <f>(Table13[[#This Row],[Unit Price]]*Table13[[#This Row],[No.of Units]])*18%</f>
        <v>91798.92</v>
      </c>
      <c r="T1376" s="22" t="s">
        <v>1508</v>
      </c>
    </row>
    <row r="1377" spans="2:20" x14ac:dyDescent="0.3">
      <c r="B1377" s="5" t="s">
        <v>1292</v>
      </c>
      <c r="C1377" s="1">
        <v>8385584</v>
      </c>
      <c r="D1377" s="1">
        <v>22</v>
      </c>
      <c r="E1377" s="1" t="s">
        <v>12</v>
      </c>
      <c r="F1377" s="16">
        <v>45980</v>
      </c>
      <c r="G1377" s="1" t="s">
        <v>1470</v>
      </c>
      <c r="H1377" s="1" t="s">
        <v>1471</v>
      </c>
      <c r="I1377" s="17" t="s">
        <v>1504</v>
      </c>
      <c r="J1377" s="18" t="s">
        <v>25</v>
      </c>
      <c r="K1377" s="19" t="s">
        <v>26</v>
      </c>
      <c r="L1377" s="19" t="s">
        <v>42</v>
      </c>
      <c r="M1377" s="20">
        <v>3</v>
      </c>
      <c r="N1377" s="21">
        <v>69999</v>
      </c>
      <c r="O1377" s="22">
        <v>8</v>
      </c>
      <c r="P1377" s="23">
        <v>193197.24</v>
      </c>
      <c r="Q1377" s="22">
        <v>4.8</v>
      </c>
      <c r="R1377" s="22">
        <v>20</v>
      </c>
      <c r="S1377" s="23">
        <f>(Table13[[#This Row],[Unit Price]]*Table13[[#This Row],[No.of Units]])*18%</f>
        <v>37799.46</v>
      </c>
      <c r="T1377" s="22" t="s">
        <v>1508</v>
      </c>
    </row>
    <row r="1378" spans="2:20" x14ac:dyDescent="0.3">
      <c r="B1378" s="5" t="s">
        <v>1292</v>
      </c>
      <c r="C1378" s="1">
        <v>8385584</v>
      </c>
      <c r="D1378" s="1">
        <v>41</v>
      </c>
      <c r="E1378" s="1" t="s">
        <v>12</v>
      </c>
      <c r="F1378" s="16">
        <v>45980</v>
      </c>
      <c r="G1378" s="1" t="s">
        <v>1470</v>
      </c>
      <c r="H1378" s="1" t="s">
        <v>1481</v>
      </c>
      <c r="I1378" s="17" t="s">
        <v>1503</v>
      </c>
      <c r="J1378" s="18" t="s">
        <v>28</v>
      </c>
      <c r="K1378" s="19" t="s">
        <v>26</v>
      </c>
      <c r="L1378" s="19" t="s">
        <v>42</v>
      </c>
      <c r="M1378" s="20">
        <v>6</v>
      </c>
      <c r="N1378" s="21">
        <v>42999</v>
      </c>
      <c r="O1378" s="22">
        <v>15</v>
      </c>
      <c r="P1378" s="23">
        <v>219294.9</v>
      </c>
      <c r="Q1378" s="22">
        <v>4.5999999999999996</v>
      </c>
      <c r="R1378" s="22">
        <v>20</v>
      </c>
      <c r="S1378" s="23">
        <f>(Table13[[#This Row],[Unit Price]]*Table13[[#This Row],[No.of Units]])*18%</f>
        <v>46438.92</v>
      </c>
      <c r="T1378" s="22" t="s">
        <v>1508</v>
      </c>
    </row>
    <row r="1379" spans="2:20" x14ac:dyDescent="0.3">
      <c r="B1379" s="5" t="s">
        <v>1293</v>
      </c>
      <c r="C1379" s="1">
        <v>8409362</v>
      </c>
      <c r="D1379" s="1">
        <v>42</v>
      </c>
      <c r="E1379" s="1" t="s">
        <v>12</v>
      </c>
      <c r="F1379" s="16">
        <v>45980</v>
      </c>
      <c r="G1379" s="1" t="s">
        <v>1473</v>
      </c>
      <c r="H1379" s="1" t="s">
        <v>1471</v>
      </c>
      <c r="I1379" s="17" t="s">
        <v>1502</v>
      </c>
      <c r="J1379" s="18" t="s">
        <v>13</v>
      </c>
      <c r="K1379" s="19" t="s">
        <v>14</v>
      </c>
      <c r="L1379" s="19" t="s">
        <v>49</v>
      </c>
      <c r="M1379" s="20">
        <v>6</v>
      </c>
      <c r="N1379" s="21">
        <v>99999</v>
      </c>
      <c r="O1379" s="22">
        <v>10</v>
      </c>
      <c r="P1379" s="23">
        <v>539994.6</v>
      </c>
      <c r="Q1379" s="22">
        <v>4.7</v>
      </c>
      <c r="R1379" s="22">
        <v>20</v>
      </c>
      <c r="S1379" s="23">
        <f>(Table13[[#This Row],[Unit Price]]*Table13[[#This Row],[No.of Units]])*18%</f>
        <v>107998.92</v>
      </c>
      <c r="T1379" s="22" t="s">
        <v>1508</v>
      </c>
    </row>
    <row r="1380" spans="2:20" x14ac:dyDescent="0.3">
      <c r="B1380" s="5" t="s">
        <v>1294</v>
      </c>
      <c r="C1380" s="1">
        <v>3508652</v>
      </c>
      <c r="D1380" s="1">
        <v>24</v>
      </c>
      <c r="E1380" s="1" t="s">
        <v>12</v>
      </c>
      <c r="F1380" s="16">
        <v>45980</v>
      </c>
      <c r="G1380" s="1" t="s">
        <v>1470</v>
      </c>
      <c r="H1380" s="1" t="s">
        <v>1483</v>
      </c>
      <c r="I1380" s="17" t="s">
        <v>1503</v>
      </c>
      <c r="J1380" s="18" t="s">
        <v>17</v>
      </c>
      <c r="K1380" s="19" t="s">
        <v>18</v>
      </c>
      <c r="L1380" s="19" t="s">
        <v>49</v>
      </c>
      <c r="M1380" s="20">
        <v>48</v>
      </c>
      <c r="N1380" s="21">
        <v>4999</v>
      </c>
      <c r="O1380" s="22">
        <v>18</v>
      </c>
      <c r="P1380" s="23">
        <v>196760.64</v>
      </c>
      <c r="Q1380" s="22">
        <v>4.4000000000000004</v>
      </c>
      <c r="R1380" s="22">
        <v>20</v>
      </c>
      <c r="S1380" s="23">
        <f>(Table13[[#This Row],[Unit Price]]*Table13[[#This Row],[No.of Units]])*18%</f>
        <v>43191.360000000001</v>
      </c>
      <c r="T1380" s="22" t="s">
        <v>1507</v>
      </c>
    </row>
    <row r="1381" spans="2:20" x14ac:dyDescent="0.3">
      <c r="B1381" s="5" t="s">
        <v>1295</v>
      </c>
      <c r="C1381" s="1">
        <v>7981359</v>
      </c>
      <c r="D1381" s="1">
        <v>21</v>
      </c>
      <c r="E1381" s="1" t="s">
        <v>12</v>
      </c>
      <c r="F1381" s="16">
        <v>45980</v>
      </c>
      <c r="G1381" s="1" t="s">
        <v>1470</v>
      </c>
      <c r="H1381" s="1" t="s">
        <v>1471</v>
      </c>
      <c r="I1381" s="17" t="s">
        <v>1504</v>
      </c>
      <c r="J1381" s="18" t="s">
        <v>21</v>
      </c>
      <c r="K1381" s="19" t="s">
        <v>18</v>
      </c>
      <c r="L1381" s="19" t="s">
        <v>49</v>
      </c>
      <c r="M1381" s="20">
        <v>5</v>
      </c>
      <c r="N1381" s="21">
        <v>24900</v>
      </c>
      <c r="O1381" s="22">
        <v>5</v>
      </c>
      <c r="P1381" s="23">
        <v>118275</v>
      </c>
      <c r="Q1381" s="22">
        <v>4.8</v>
      </c>
      <c r="R1381" s="22">
        <v>20</v>
      </c>
      <c r="S1381" s="23">
        <f>(Table13[[#This Row],[Unit Price]]*Table13[[#This Row],[No.of Units]])*18%</f>
        <v>22410</v>
      </c>
      <c r="T1381" s="22" t="s">
        <v>1508</v>
      </c>
    </row>
    <row r="1382" spans="2:20" x14ac:dyDescent="0.3">
      <c r="B1382" s="5" t="s">
        <v>1296</v>
      </c>
      <c r="C1382" s="1">
        <v>7938814</v>
      </c>
      <c r="D1382" s="1">
        <v>32</v>
      </c>
      <c r="E1382" s="1" t="s">
        <v>12</v>
      </c>
      <c r="F1382" s="16">
        <v>45980</v>
      </c>
      <c r="G1382" s="1" t="s">
        <v>1470</v>
      </c>
      <c r="H1382" s="1" t="s">
        <v>1471</v>
      </c>
      <c r="I1382" s="17" t="s">
        <v>1505</v>
      </c>
      <c r="J1382" s="18" t="s">
        <v>23</v>
      </c>
      <c r="K1382" s="19" t="s">
        <v>14</v>
      </c>
      <c r="L1382" s="19" t="s">
        <v>49</v>
      </c>
      <c r="M1382" s="20">
        <v>3</v>
      </c>
      <c r="N1382" s="21">
        <v>84999</v>
      </c>
      <c r="O1382" s="22">
        <v>12</v>
      </c>
      <c r="P1382" s="23">
        <v>224397.36</v>
      </c>
      <c r="Q1382" s="22">
        <v>4.5</v>
      </c>
      <c r="R1382" s="22">
        <v>20</v>
      </c>
      <c r="S1382" s="23">
        <f>(Table13[[#This Row],[Unit Price]]*Table13[[#This Row],[No.of Units]])*18%</f>
        <v>45899.46</v>
      </c>
      <c r="T1382" s="22" t="s">
        <v>1508</v>
      </c>
    </row>
    <row r="1383" spans="2:20" x14ac:dyDescent="0.3">
      <c r="B1383" s="5" t="s">
        <v>1297</v>
      </c>
      <c r="C1383" s="1">
        <v>5730087</v>
      </c>
      <c r="D1383" s="1">
        <v>54</v>
      </c>
      <c r="E1383" s="1" t="s">
        <v>20</v>
      </c>
      <c r="F1383" s="16">
        <v>45980</v>
      </c>
      <c r="G1383" s="1" t="s">
        <v>1470</v>
      </c>
      <c r="H1383" s="1" t="s">
        <v>1482</v>
      </c>
      <c r="I1383" s="17" t="s">
        <v>1504</v>
      </c>
      <c r="J1383" s="18" t="s">
        <v>25</v>
      </c>
      <c r="K1383" s="19" t="s">
        <v>26</v>
      </c>
      <c r="L1383" s="19" t="s">
        <v>49</v>
      </c>
      <c r="M1383" s="20">
        <v>6</v>
      </c>
      <c r="N1383" s="21">
        <v>69999</v>
      </c>
      <c r="O1383" s="22">
        <v>8</v>
      </c>
      <c r="P1383" s="23">
        <v>386394.48</v>
      </c>
      <c r="Q1383" s="22">
        <v>4.8</v>
      </c>
      <c r="R1383" s="22">
        <v>20</v>
      </c>
      <c r="S1383" s="23">
        <f>(Table13[[#This Row],[Unit Price]]*Table13[[#This Row],[No.of Units]])*18%</f>
        <v>75598.92</v>
      </c>
      <c r="T1383" s="22" t="s">
        <v>1507</v>
      </c>
    </row>
    <row r="1384" spans="2:20" x14ac:dyDescent="0.3">
      <c r="B1384" s="5" t="s">
        <v>1298</v>
      </c>
      <c r="C1384" s="1">
        <v>1008629</v>
      </c>
      <c r="D1384" s="1">
        <v>19</v>
      </c>
      <c r="E1384" s="1" t="s">
        <v>34</v>
      </c>
      <c r="F1384" s="16">
        <v>45980</v>
      </c>
      <c r="G1384" s="1" t="s">
        <v>1470</v>
      </c>
      <c r="H1384" s="1" t="s">
        <v>1482</v>
      </c>
      <c r="I1384" s="17" t="s">
        <v>1503</v>
      </c>
      <c r="J1384" s="18" t="s">
        <v>28</v>
      </c>
      <c r="K1384" s="19" t="s">
        <v>26</v>
      </c>
      <c r="L1384" s="19" t="s">
        <v>49</v>
      </c>
      <c r="M1384" s="20">
        <v>10</v>
      </c>
      <c r="N1384" s="21">
        <v>42999</v>
      </c>
      <c r="O1384" s="22">
        <v>15</v>
      </c>
      <c r="P1384" s="23">
        <v>365491.5</v>
      </c>
      <c r="Q1384" s="22">
        <v>4.5999999999999996</v>
      </c>
      <c r="R1384" s="22">
        <v>20</v>
      </c>
      <c r="S1384" s="23">
        <f>(Table13[[#This Row],[Unit Price]]*Table13[[#This Row],[No.of Units]])*18%</f>
        <v>77398.2</v>
      </c>
      <c r="T1384" s="22" t="s">
        <v>1508</v>
      </c>
    </row>
    <row r="1385" spans="2:20" x14ac:dyDescent="0.3">
      <c r="B1385" s="5" t="s">
        <v>1299</v>
      </c>
      <c r="C1385" s="1">
        <v>1528185</v>
      </c>
      <c r="D1385" s="1">
        <v>36</v>
      </c>
      <c r="E1385" s="1" t="s">
        <v>12</v>
      </c>
      <c r="F1385" s="16">
        <v>45987</v>
      </c>
      <c r="G1385" s="1" t="s">
        <v>1470</v>
      </c>
      <c r="H1385" s="1" t="s">
        <v>1481</v>
      </c>
      <c r="I1385" s="17" t="s">
        <v>1502</v>
      </c>
      <c r="J1385" s="18" t="s">
        <v>13</v>
      </c>
      <c r="K1385" s="19" t="s">
        <v>14</v>
      </c>
      <c r="L1385" s="19" t="s">
        <v>15</v>
      </c>
      <c r="M1385" s="20">
        <v>3</v>
      </c>
      <c r="N1385" s="21">
        <v>99999</v>
      </c>
      <c r="O1385" s="22">
        <v>10</v>
      </c>
      <c r="P1385" s="23">
        <v>269997.3</v>
      </c>
      <c r="Q1385" s="22">
        <v>4.7</v>
      </c>
      <c r="R1385" s="22">
        <v>20</v>
      </c>
      <c r="S1385" s="23">
        <f>(Table13[[#This Row],[Unit Price]]*Table13[[#This Row],[No.of Units]])*18%</f>
        <v>53999.46</v>
      </c>
      <c r="T1385" s="22" t="s">
        <v>1507</v>
      </c>
    </row>
    <row r="1386" spans="2:20" x14ac:dyDescent="0.3">
      <c r="B1386" s="5" t="s">
        <v>1300</v>
      </c>
      <c r="C1386" s="1">
        <v>1908576</v>
      </c>
      <c r="D1386" s="1">
        <v>46</v>
      </c>
      <c r="E1386" s="1" t="s">
        <v>12</v>
      </c>
      <c r="F1386" s="16">
        <v>45987</v>
      </c>
      <c r="G1386" s="1" t="s">
        <v>1470</v>
      </c>
      <c r="H1386" s="1" t="s">
        <v>1471</v>
      </c>
      <c r="I1386" s="17" t="s">
        <v>1503</v>
      </c>
      <c r="J1386" s="18" t="s">
        <v>17</v>
      </c>
      <c r="K1386" s="19" t="s">
        <v>18</v>
      </c>
      <c r="L1386" s="19" t="s">
        <v>15</v>
      </c>
      <c r="M1386" s="20">
        <v>46</v>
      </c>
      <c r="N1386" s="21">
        <v>4999</v>
      </c>
      <c r="O1386" s="22">
        <v>18</v>
      </c>
      <c r="P1386" s="23">
        <v>188562.28</v>
      </c>
      <c r="Q1386" s="22">
        <v>4.4000000000000004</v>
      </c>
      <c r="R1386" s="22">
        <v>20</v>
      </c>
      <c r="S1386" s="23">
        <f>(Table13[[#This Row],[Unit Price]]*Table13[[#This Row],[No.of Units]])*18%</f>
        <v>41391.72</v>
      </c>
      <c r="T1386" s="22" t="s">
        <v>1508</v>
      </c>
    </row>
    <row r="1387" spans="2:20" x14ac:dyDescent="0.3">
      <c r="B1387" s="5" t="s">
        <v>1301</v>
      </c>
      <c r="C1387" s="1">
        <v>8035303</v>
      </c>
      <c r="D1387" s="1">
        <v>26</v>
      </c>
      <c r="E1387" s="1" t="s">
        <v>12</v>
      </c>
      <c r="F1387" s="16">
        <v>45987</v>
      </c>
      <c r="G1387" s="1" t="s">
        <v>1470</v>
      </c>
      <c r="H1387" s="1" t="s">
        <v>1471</v>
      </c>
      <c r="I1387" s="17" t="s">
        <v>1504</v>
      </c>
      <c r="J1387" s="18" t="s">
        <v>21</v>
      </c>
      <c r="K1387" s="19" t="s">
        <v>18</v>
      </c>
      <c r="L1387" s="19" t="s">
        <v>15</v>
      </c>
      <c r="M1387" s="20">
        <v>10</v>
      </c>
      <c r="N1387" s="21">
        <v>24900</v>
      </c>
      <c r="O1387" s="22">
        <v>5</v>
      </c>
      <c r="P1387" s="23">
        <v>236550</v>
      </c>
      <c r="Q1387" s="22">
        <v>4.8</v>
      </c>
      <c r="R1387" s="22">
        <v>20</v>
      </c>
      <c r="S1387" s="23">
        <f>(Table13[[#This Row],[Unit Price]]*Table13[[#This Row],[No.of Units]])*18%</f>
        <v>44820</v>
      </c>
      <c r="T1387" s="22" t="s">
        <v>1508</v>
      </c>
    </row>
    <row r="1388" spans="2:20" x14ac:dyDescent="0.3">
      <c r="B1388" s="5" t="s">
        <v>1302</v>
      </c>
      <c r="C1388" s="1">
        <v>9696755</v>
      </c>
      <c r="D1388" s="1">
        <v>31</v>
      </c>
      <c r="E1388" s="1" t="s">
        <v>12</v>
      </c>
      <c r="F1388" s="16">
        <v>45987</v>
      </c>
      <c r="G1388" s="1" t="s">
        <v>1470</v>
      </c>
      <c r="H1388" s="1" t="s">
        <v>1471</v>
      </c>
      <c r="I1388" s="17" t="s">
        <v>1505</v>
      </c>
      <c r="J1388" s="18" t="s">
        <v>23</v>
      </c>
      <c r="K1388" s="19" t="s">
        <v>14</v>
      </c>
      <c r="L1388" s="19" t="s">
        <v>15</v>
      </c>
      <c r="M1388" s="20">
        <v>3</v>
      </c>
      <c r="N1388" s="21">
        <v>84999</v>
      </c>
      <c r="O1388" s="22">
        <v>12</v>
      </c>
      <c r="P1388" s="23">
        <v>224397.36</v>
      </c>
      <c r="Q1388" s="22">
        <v>4.5</v>
      </c>
      <c r="R1388" s="22">
        <v>20</v>
      </c>
      <c r="S1388" s="23">
        <f>(Table13[[#This Row],[Unit Price]]*Table13[[#This Row],[No.of Units]])*18%</f>
        <v>45899.46</v>
      </c>
      <c r="T1388" s="22" t="s">
        <v>1508</v>
      </c>
    </row>
    <row r="1389" spans="2:20" x14ac:dyDescent="0.3">
      <c r="B1389" s="5" t="s">
        <v>1303</v>
      </c>
      <c r="C1389" s="1">
        <v>1679192</v>
      </c>
      <c r="D1389" s="1">
        <v>64</v>
      </c>
      <c r="E1389" s="1" t="s">
        <v>20</v>
      </c>
      <c r="F1389" s="16">
        <v>45987</v>
      </c>
      <c r="G1389" s="1" t="s">
        <v>1470</v>
      </c>
      <c r="H1389" s="1" t="s">
        <v>1482</v>
      </c>
      <c r="I1389" s="17" t="s">
        <v>1504</v>
      </c>
      <c r="J1389" s="18" t="s">
        <v>25</v>
      </c>
      <c r="K1389" s="19" t="s">
        <v>26</v>
      </c>
      <c r="L1389" s="19" t="s">
        <v>15</v>
      </c>
      <c r="M1389" s="20">
        <v>4</v>
      </c>
      <c r="N1389" s="21">
        <v>69999</v>
      </c>
      <c r="O1389" s="22">
        <v>8</v>
      </c>
      <c r="P1389" s="23">
        <v>257596.32</v>
      </c>
      <c r="Q1389" s="22">
        <v>4.8</v>
      </c>
      <c r="R1389" s="22">
        <v>20</v>
      </c>
      <c r="S1389" s="23">
        <f>(Table13[[#This Row],[Unit Price]]*Table13[[#This Row],[No.of Units]])*18%</f>
        <v>50399.28</v>
      </c>
      <c r="T1389" s="22" t="s">
        <v>1508</v>
      </c>
    </row>
    <row r="1390" spans="2:20" x14ac:dyDescent="0.3">
      <c r="B1390" s="5" t="s">
        <v>1304</v>
      </c>
      <c r="C1390" s="1">
        <v>1564787</v>
      </c>
      <c r="D1390" s="1">
        <v>43</v>
      </c>
      <c r="E1390" s="1" t="s">
        <v>12</v>
      </c>
      <c r="F1390" s="16">
        <v>45987</v>
      </c>
      <c r="G1390" s="1" t="s">
        <v>1470</v>
      </c>
      <c r="H1390" s="1" t="s">
        <v>1471</v>
      </c>
      <c r="I1390" s="17" t="s">
        <v>1503</v>
      </c>
      <c r="J1390" s="18" t="s">
        <v>28</v>
      </c>
      <c r="K1390" s="19" t="s">
        <v>26</v>
      </c>
      <c r="L1390" s="19" t="s">
        <v>15</v>
      </c>
      <c r="M1390" s="20">
        <v>9</v>
      </c>
      <c r="N1390" s="21">
        <v>42999</v>
      </c>
      <c r="O1390" s="22">
        <v>15</v>
      </c>
      <c r="P1390" s="23">
        <v>328942.34999999998</v>
      </c>
      <c r="Q1390" s="22">
        <v>4.5999999999999996</v>
      </c>
      <c r="R1390" s="22">
        <v>20</v>
      </c>
      <c r="S1390" s="23">
        <f>(Table13[[#This Row],[Unit Price]]*Table13[[#This Row],[No.of Units]])*18%</f>
        <v>69658.38</v>
      </c>
      <c r="T1390" s="22" t="s">
        <v>1508</v>
      </c>
    </row>
    <row r="1391" spans="2:20" x14ac:dyDescent="0.3">
      <c r="B1391" s="5" t="s">
        <v>1305</v>
      </c>
      <c r="C1391" s="1">
        <v>3896824</v>
      </c>
      <c r="D1391" s="1">
        <v>75</v>
      </c>
      <c r="E1391" s="1" t="s">
        <v>20</v>
      </c>
      <c r="F1391" s="16">
        <v>45987</v>
      </c>
      <c r="G1391" s="1" t="s">
        <v>1470</v>
      </c>
      <c r="H1391" s="1" t="s">
        <v>1471</v>
      </c>
      <c r="I1391" s="17" t="s">
        <v>1502</v>
      </c>
      <c r="J1391" s="18" t="s">
        <v>13</v>
      </c>
      <c r="K1391" s="19" t="s">
        <v>14</v>
      </c>
      <c r="L1391" s="19" t="s">
        <v>29</v>
      </c>
      <c r="M1391" s="20">
        <v>3</v>
      </c>
      <c r="N1391" s="21">
        <v>99999</v>
      </c>
      <c r="O1391" s="22">
        <v>10</v>
      </c>
      <c r="P1391" s="23">
        <v>269997.3</v>
      </c>
      <c r="Q1391" s="22">
        <v>4.7</v>
      </c>
      <c r="R1391" s="22">
        <v>20</v>
      </c>
      <c r="S1391" s="23">
        <f>(Table13[[#This Row],[Unit Price]]*Table13[[#This Row],[No.of Units]])*18%</f>
        <v>53999.46</v>
      </c>
      <c r="T1391" s="22" t="s">
        <v>1508</v>
      </c>
    </row>
    <row r="1392" spans="2:20" x14ac:dyDescent="0.3">
      <c r="B1392" s="5" t="s">
        <v>1306</v>
      </c>
      <c r="C1392" s="1">
        <v>6528768</v>
      </c>
      <c r="D1392" s="1">
        <v>44</v>
      </c>
      <c r="E1392" s="1" t="s">
        <v>12</v>
      </c>
      <c r="F1392" s="16">
        <v>45987</v>
      </c>
      <c r="G1392" s="1" t="s">
        <v>1474</v>
      </c>
      <c r="H1392" s="1" t="s">
        <v>1471</v>
      </c>
      <c r="I1392" s="17" t="s">
        <v>1503</v>
      </c>
      <c r="J1392" s="18" t="s">
        <v>17</v>
      </c>
      <c r="K1392" s="19" t="s">
        <v>18</v>
      </c>
      <c r="L1392" s="19" t="s">
        <v>29</v>
      </c>
      <c r="M1392" s="20">
        <v>65</v>
      </c>
      <c r="N1392" s="21">
        <v>4999</v>
      </c>
      <c r="O1392" s="22">
        <v>18</v>
      </c>
      <c r="P1392" s="23">
        <v>266446.7</v>
      </c>
      <c r="Q1392" s="22">
        <v>4.4000000000000004</v>
      </c>
      <c r="R1392" s="22">
        <v>20</v>
      </c>
      <c r="S1392" s="23">
        <f>(Table13[[#This Row],[Unit Price]]*Table13[[#This Row],[No.of Units]])*18%</f>
        <v>58488.299999999996</v>
      </c>
      <c r="T1392" s="22" t="s">
        <v>1507</v>
      </c>
    </row>
    <row r="1393" spans="2:20" x14ac:dyDescent="0.3">
      <c r="B1393" s="5" t="s">
        <v>1307</v>
      </c>
      <c r="C1393" s="1">
        <v>5099210</v>
      </c>
      <c r="D1393" s="1">
        <v>22</v>
      </c>
      <c r="E1393" s="1" t="s">
        <v>12</v>
      </c>
      <c r="F1393" s="16">
        <v>45987</v>
      </c>
      <c r="G1393" s="1" t="s">
        <v>1474</v>
      </c>
      <c r="H1393" s="1" t="s">
        <v>1471</v>
      </c>
      <c r="I1393" s="17" t="s">
        <v>1504</v>
      </c>
      <c r="J1393" s="18" t="s">
        <v>21</v>
      </c>
      <c r="K1393" s="19" t="s">
        <v>18</v>
      </c>
      <c r="L1393" s="19" t="s">
        <v>29</v>
      </c>
      <c r="M1393" s="20">
        <v>12</v>
      </c>
      <c r="N1393" s="21">
        <v>24900</v>
      </c>
      <c r="O1393" s="22">
        <v>5</v>
      </c>
      <c r="P1393" s="23">
        <v>283860</v>
      </c>
      <c r="Q1393" s="22">
        <v>4.8</v>
      </c>
      <c r="R1393" s="22">
        <v>20</v>
      </c>
      <c r="S1393" s="23">
        <f>(Table13[[#This Row],[Unit Price]]*Table13[[#This Row],[No.of Units]])*18%</f>
        <v>53784</v>
      </c>
      <c r="T1393" s="22" t="s">
        <v>1508</v>
      </c>
    </row>
    <row r="1394" spans="2:20" x14ac:dyDescent="0.3">
      <c r="B1394" s="5" t="s">
        <v>1308</v>
      </c>
      <c r="C1394" s="1">
        <v>6350746</v>
      </c>
      <c r="D1394" s="1">
        <v>28</v>
      </c>
      <c r="E1394" s="1" t="s">
        <v>12</v>
      </c>
      <c r="F1394" s="16">
        <v>45987</v>
      </c>
      <c r="G1394" s="1" t="s">
        <v>1474</v>
      </c>
      <c r="H1394" s="1" t="s">
        <v>1481</v>
      </c>
      <c r="I1394" s="17" t="s">
        <v>1505</v>
      </c>
      <c r="J1394" s="18" t="s">
        <v>23</v>
      </c>
      <c r="K1394" s="19" t="s">
        <v>14</v>
      </c>
      <c r="L1394" s="19" t="s">
        <v>29</v>
      </c>
      <c r="M1394" s="20">
        <v>3</v>
      </c>
      <c r="N1394" s="21">
        <v>84999</v>
      </c>
      <c r="O1394" s="22">
        <v>12</v>
      </c>
      <c r="P1394" s="23">
        <v>224397.36</v>
      </c>
      <c r="Q1394" s="22">
        <v>4.5</v>
      </c>
      <c r="R1394" s="22">
        <v>20</v>
      </c>
      <c r="S1394" s="23">
        <f>(Table13[[#This Row],[Unit Price]]*Table13[[#This Row],[No.of Units]])*18%</f>
        <v>45899.46</v>
      </c>
      <c r="T1394" s="22" t="s">
        <v>1508</v>
      </c>
    </row>
    <row r="1395" spans="2:20" x14ac:dyDescent="0.3">
      <c r="B1395" s="5" t="s">
        <v>1309</v>
      </c>
      <c r="C1395" s="1">
        <v>6139036</v>
      </c>
      <c r="D1395" s="1">
        <v>66</v>
      </c>
      <c r="E1395" s="1" t="s">
        <v>20</v>
      </c>
      <c r="F1395" s="16">
        <v>45987</v>
      </c>
      <c r="G1395" s="1" t="s">
        <v>1470</v>
      </c>
      <c r="H1395" s="1" t="s">
        <v>1471</v>
      </c>
      <c r="I1395" s="17" t="s">
        <v>1504</v>
      </c>
      <c r="J1395" s="18" t="s">
        <v>25</v>
      </c>
      <c r="K1395" s="19" t="s">
        <v>26</v>
      </c>
      <c r="L1395" s="19" t="s">
        <v>29</v>
      </c>
      <c r="M1395" s="20">
        <v>2</v>
      </c>
      <c r="N1395" s="21">
        <v>69999</v>
      </c>
      <c r="O1395" s="22">
        <v>8</v>
      </c>
      <c r="P1395" s="23">
        <v>128798.16</v>
      </c>
      <c r="Q1395" s="22">
        <v>4.8</v>
      </c>
      <c r="R1395" s="22">
        <v>20</v>
      </c>
      <c r="S1395" s="23">
        <f>(Table13[[#This Row],[Unit Price]]*Table13[[#This Row],[No.of Units]])*18%</f>
        <v>25199.64</v>
      </c>
      <c r="T1395" s="22" t="s">
        <v>1508</v>
      </c>
    </row>
    <row r="1396" spans="2:20" x14ac:dyDescent="0.3">
      <c r="B1396" s="5" t="s">
        <v>1310</v>
      </c>
      <c r="C1396" s="1">
        <v>6549790</v>
      </c>
      <c r="D1396" s="1">
        <v>41</v>
      </c>
      <c r="E1396" s="1" t="s">
        <v>12</v>
      </c>
      <c r="F1396" s="16">
        <v>45987</v>
      </c>
      <c r="G1396" s="1" t="s">
        <v>1470</v>
      </c>
      <c r="H1396" s="1" t="s">
        <v>1483</v>
      </c>
      <c r="I1396" s="17" t="s">
        <v>1503</v>
      </c>
      <c r="J1396" s="18" t="s">
        <v>28</v>
      </c>
      <c r="K1396" s="19" t="s">
        <v>26</v>
      </c>
      <c r="L1396" s="19" t="s">
        <v>29</v>
      </c>
      <c r="M1396" s="20">
        <v>9</v>
      </c>
      <c r="N1396" s="21">
        <v>42999</v>
      </c>
      <c r="O1396" s="22">
        <v>15</v>
      </c>
      <c r="P1396" s="23">
        <v>328942.34999999998</v>
      </c>
      <c r="Q1396" s="22">
        <v>4.5999999999999996</v>
      </c>
      <c r="R1396" s="22">
        <v>20</v>
      </c>
      <c r="S1396" s="23">
        <f>(Table13[[#This Row],[Unit Price]]*Table13[[#This Row],[No.of Units]])*18%</f>
        <v>69658.38</v>
      </c>
      <c r="T1396" s="22" t="s">
        <v>1508</v>
      </c>
    </row>
    <row r="1397" spans="2:20" x14ac:dyDescent="0.3">
      <c r="B1397" s="5" t="s">
        <v>1311</v>
      </c>
      <c r="C1397" s="1">
        <v>1912718</v>
      </c>
      <c r="D1397" s="1">
        <v>30</v>
      </c>
      <c r="E1397" s="1" t="s">
        <v>12</v>
      </c>
      <c r="F1397" s="16">
        <v>45987</v>
      </c>
      <c r="G1397" s="1" t="s">
        <v>1470</v>
      </c>
      <c r="H1397" s="1" t="s">
        <v>1471</v>
      </c>
      <c r="I1397" s="17" t="s">
        <v>1502</v>
      </c>
      <c r="J1397" s="18" t="s">
        <v>13</v>
      </c>
      <c r="K1397" s="19" t="s">
        <v>14</v>
      </c>
      <c r="L1397" s="19" t="s">
        <v>35</v>
      </c>
      <c r="M1397" s="20">
        <v>4</v>
      </c>
      <c r="N1397" s="21">
        <v>99999</v>
      </c>
      <c r="O1397" s="22">
        <v>10</v>
      </c>
      <c r="P1397" s="23">
        <v>359996.4</v>
      </c>
      <c r="Q1397" s="22">
        <v>4.7</v>
      </c>
      <c r="R1397" s="22">
        <v>20</v>
      </c>
      <c r="S1397" s="23">
        <f>(Table13[[#This Row],[Unit Price]]*Table13[[#This Row],[No.of Units]])*18%</f>
        <v>71999.28</v>
      </c>
      <c r="T1397" s="22" t="s">
        <v>1507</v>
      </c>
    </row>
    <row r="1398" spans="2:20" x14ac:dyDescent="0.3">
      <c r="B1398" s="5" t="s">
        <v>1312</v>
      </c>
      <c r="C1398" s="1">
        <v>2345765</v>
      </c>
      <c r="D1398" s="1">
        <v>30</v>
      </c>
      <c r="E1398" s="1" t="s">
        <v>12</v>
      </c>
      <c r="F1398" s="16">
        <v>45987</v>
      </c>
      <c r="G1398" s="1" t="s">
        <v>1470</v>
      </c>
      <c r="H1398" s="1" t="s">
        <v>1482</v>
      </c>
      <c r="I1398" s="17" t="s">
        <v>1503</v>
      </c>
      <c r="J1398" s="18" t="s">
        <v>17</v>
      </c>
      <c r="K1398" s="19" t="s">
        <v>18</v>
      </c>
      <c r="L1398" s="19" t="s">
        <v>35</v>
      </c>
      <c r="M1398" s="20">
        <v>45</v>
      </c>
      <c r="N1398" s="21">
        <v>4999</v>
      </c>
      <c r="O1398" s="22">
        <v>18</v>
      </c>
      <c r="P1398" s="23">
        <v>184463.1</v>
      </c>
      <c r="Q1398" s="22">
        <v>4.4000000000000004</v>
      </c>
      <c r="R1398" s="22">
        <v>20</v>
      </c>
      <c r="S1398" s="23">
        <f>(Table13[[#This Row],[Unit Price]]*Table13[[#This Row],[No.of Units]])*18%</f>
        <v>40491.9</v>
      </c>
      <c r="T1398" s="22" t="s">
        <v>1508</v>
      </c>
    </row>
    <row r="1399" spans="2:20" x14ac:dyDescent="0.3">
      <c r="B1399" s="5" t="s">
        <v>1313</v>
      </c>
      <c r="C1399" s="1">
        <v>9054821</v>
      </c>
      <c r="D1399" s="1">
        <v>34</v>
      </c>
      <c r="E1399" s="1" t="s">
        <v>12</v>
      </c>
      <c r="F1399" s="16">
        <v>45987</v>
      </c>
      <c r="G1399" s="1" t="s">
        <v>1470</v>
      </c>
      <c r="H1399" s="1" t="s">
        <v>1483</v>
      </c>
      <c r="I1399" s="17" t="s">
        <v>1504</v>
      </c>
      <c r="J1399" s="18" t="s">
        <v>21</v>
      </c>
      <c r="K1399" s="19" t="s">
        <v>18</v>
      </c>
      <c r="L1399" s="19" t="s">
        <v>35</v>
      </c>
      <c r="M1399" s="20">
        <v>11</v>
      </c>
      <c r="N1399" s="21">
        <v>24900</v>
      </c>
      <c r="O1399" s="22">
        <v>5</v>
      </c>
      <c r="P1399" s="23">
        <v>260205</v>
      </c>
      <c r="Q1399" s="22">
        <v>4.8</v>
      </c>
      <c r="R1399" s="22">
        <v>20</v>
      </c>
      <c r="S1399" s="23">
        <f>(Table13[[#This Row],[Unit Price]]*Table13[[#This Row],[No.of Units]])*18%</f>
        <v>49302</v>
      </c>
      <c r="T1399" s="22" t="s">
        <v>1508</v>
      </c>
    </row>
    <row r="1400" spans="2:20" x14ac:dyDescent="0.3">
      <c r="B1400" s="5" t="s">
        <v>1314</v>
      </c>
      <c r="C1400" s="1">
        <v>8065116</v>
      </c>
      <c r="D1400" s="1">
        <v>51</v>
      </c>
      <c r="E1400" s="1" t="s">
        <v>20</v>
      </c>
      <c r="F1400" s="16">
        <v>45987</v>
      </c>
      <c r="G1400" s="1" t="s">
        <v>1470</v>
      </c>
      <c r="H1400" s="1" t="s">
        <v>1483</v>
      </c>
      <c r="I1400" s="17" t="s">
        <v>1505</v>
      </c>
      <c r="J1400" s="18" t="s">
        <v>23</v>
      </c>
      <c r="K1400" s="19" t="s">
        <v>14</v>
      </c>
      <c r="L1400" s="19" t="s">
        <v>35</v>
      </c>
      <c r="M1400" s="20">
        <v>6</v>
      </c>
      <c r="N1400" s="21">
        <v>84999</v>
      </c>
      <c r="O1400" s="22">
        <v>12</v>
      </c>
      <c r="P1400" s="23">
        <v>448794.72</v>
      </c>
      <c r="Q1400" s="22">
        <v>4.5</v>
      </c>
      <c r="R1400" s="22">
        <v>20</v>
      </c>
      <c r="S1400" s="23">
        <f>(Table13[[#This Row],[Unit Price]]*Table13[[#This Row],[No.of Units]])*18%</f>
        <v>91798.92</v>
      </c>
      <c r="T1400" s="22" t="s">
        <v>1508</v>
      </c>
    </row>
    <row r="1401" spans="2:20" x14ac:dyDescent="0.3">
      <c r="B1401" s="5" t="s">
        <v>1315</v>
      </c>
      <c r="C1401" s="1">
        <v>2516921</v>
      </c>
      <c r="D1401" s="1">
        <v>34</v>
      </c>
      <c r="E1401" s="1" t="s">
        <v>12</v>
      </c>
      <c r="F1401" s="16">
        <v>45987</v>
      </c>
      <c r="G1401" s="1" t="s">
        <v>1470</v>
      </c>
      <c r="H1401" s="1" t="s">
        <v>1471</v>
      </c>
      <c r="I1401" s="17" t="s">
        <v>1504</v>
      </c>
      <c r="J1401" s="18" t="s">
        <v>25</v>
      </c>
      <c r="K1401" s="19" t="s">
        <v>26</v>
      </c>
      <c r="L1401" s="19" t="s">
        <v>35</v>
      </c>
      <c r="M1401" s="20">
        <v>6</v>
      </c>
      <c r="N1401" s="21">
        <v>69999</v>
      </c>
      <c r="O1401" s="22">
        <v>8</v>
      </c>
      <c r="P1401" s="23">
        <v>386394.48</v>
      </c>
      <c r="Q1401" s="22">
        <v>4.8</v>
      </c>
      <c r="R1401" s="22">
        <v>20</v>
      </c>
      <c r="S1401" s="23">
        <f>(Table13[[#This Row],[Unit Price]]*Table13[[#This Row],[No.of Units]])*18%</f>
        <v>75598.92</v>
      </c>
      <c r="T1401" s="22" t="s">
        <v>1507</v>
      </c>
    </row>
    <row r="1402" spans="2:20" x14ac:dyDescent="0.3">
      <c r="B1402" s="5" t="s">
        <v>1316</v>
      </c>
      <c r="C1402" s="1">
        <v>3759418</v>
      </c>
      <c r="D1402" s="1">
        <v>40</v>
      </c>
      <c r="E1402" s="1" t="s">
        <v>12</v>
      </c>
      <c r="F1402" s="16">
        <v>45987</v>
      </c>
      <c r="G1402" s="1" t="s">
        <v>1470</v>
      </c>
      <c r="H1402" s="1" t="s">
        <v>1481</v>
      </c>
      <c r="I1402" s="17" t="s">
        <v>1503</v>
      </c>
      <c r="J1402" s="18" t="s">
        <v>28</v>
      </c>
      <c r="K1402" s="19" t="s">
        <v>26</v>
      </c>
      <c r="L1402" s="19" t="s">
        <v>35</v>
      </c>
      <c r="M1402" s="20">
        <v>5</v>
      </c>
      <c r="N1402" s="21">
        <v>42999</v>
      </c>
      <c r="O1402" s="22">
        <v>15</v>
      </c>
      <c r="P1402" s="23">
        <v>182745.75</v>
      </c>
      <c r="Q1402" s="22">
        <v>4.5999999999999996</v>
      </c>
      <c r="R1402" s="22">
        <v>20</v>
      </c>
      <c r="S1402" s="23">
        <f>(Table13[[#This Row],[Unit Price]]*Table13[[#This Row],[No.of Units]])*18%</f>
        <v>38699.1</v>
      </c>
      <c r="T1402" s="22" t="s">
        <v>1508</v>
      </c>
    </row>
    <row r="1403" spans="2:20" x14ac:dyDescent="0.3">
      <c r="B1403" s="5" t="s">
        <v>1317</v>
      </c>
      <c r="C1403" s="1">
        <v>4141277</v>
      </c>
      <c r="D1403" s="1">
        <v>34</v>
      </c>
      <c r="E1403" s="1" t="s">
        <v>12</v>
      </c>
      <c r="F1403" s="16">
        <v>45987</v>
      </c>
      <c r="G1403" s="1" t="s">
        <v>1470</v>
      </c>
      <c r="H1403" s="1" t="s">
        <v>1471</v>
      </c>
      <c r="I1403" s="17" t="s">
        <v>1502</v>
      </c>
      <c r="J1403" s="18" t="s">
        <v>13</v>
      </c>
      <c r="K1403" s="19" t="s">
        <v>14</v>
      </c>
      <c r="L1403" s="19" t="s">
        <v>42</v>
      </c>
      <c r="M1403" s="20">
        <v>5</v>
      </c>
      <c r="N1403" s="21">
        <v>99999</v>
      </c>
      <c r="O1403" s="22">
        <v>10</v>
      </c>
      <c r="P1403" s="23">
        <v>449995.5</v>
      </c>
      <c r="Q1403" s="22">
        <v>4.7</v>
      </c>
      <c r="R1403" s="22">
        <v>20</v>
      </c>
      <c r="S1403" s="23">
        <f>(Table13[[#This Row],[Unit Price]]*Table13[[#This Row],[No.of Units]])*18%</f>
        <v>89999.099999999991</v>
      </c>
      <c r="T1403" s="22" t="s">
        <v>1507</v>
      </c>
    </row>
    <row r="1404" spans="2:20" x14ac:dyDescent="0.3">
      <c r="B1404" s="5" t="s">
        <v>1318</v>
      </c>
      <c r="C1404" s="1">
        <v>9333662</v>
      </c>
      <c r="D1404" s="1">
        <v>49</v>
      </c>
      <c r="E1404" s="1" t="s">
        <v>12</v>
      </c>
      <c r="F1404" s="16">
        <v>45987</v>
      </c>
      <c r="G1404" s="1" t="s">
        <v>1470</v>
      </c>
      <c r="H1404" s="1" t="s">
        <v>1471</v>
      </c>
      <c r="I1404" s="17" t="s">
        <v>1503</v>
      </c>
      <c r="J1404" s="18" t="s">
        <v>17</v>
      </c>
      <c r="K1404" s="19" t="s">
        <v>18</v>
      </c>
      <c r="L1404" s="19" t="s">
        <v>42</v>
      </c>
      <c r="M1404" s="20">
        <v>31</v>
      </c>
      <c r="N1404" s="21">
        <v>4999</v>
      </c>
      <c r="O1404" s="22">
        <v>18</v>
      </c>
      <c r="P1404" s="23">
        <v>127074.58</v>
      </c>
      <c r="Q1404" s="22">
        <v>4.4000000000000004</v>
      </c>
      <c r="R1404" s="22">
        <v>20</v>
      </c>
      <c r="S1404" s="23">
        <f>(Table13[[#This Row],[Unit Price]]*Table13[[#This Row],[No.of Units]])*18%</f>
        <v>27894.42</v>
      </c>
      <c r="T1404" s="22" t="s">
        <v>1507</v>
      </c>
    </row>
    <row r="1405" spans="2:20" x14ac:dyDescent="0.3">
      <c r="B1405" s="5" t="s">
        <v>1319</v>
      </c>
      <c r="C1405" s="1">
        <v>771338</v>
      </c>
      <c r="D1405" s="1">
        <v>72</v>
      </c>
      <c r="E1405" s="1" t="s">
        <v>20</v>
      </c>
      <c r="F1405" s="16">
        <v>45987</v>
      </c>
      <c r="G1405" s="1" t="s">
        <v>1470</v>
      </c>
      <c r="H1405" s="1" t="s">
        <v>1471</v>
      </c>
      <c r="I1405" s="17" t="s">
        <v>1504</v>
      </c>
      <c r="J1405" s="18" t="s">
        <v>21</v>
      </c>
      <c r="K1405" s="19" t="s">
        <v>18</v>
      </c>
      <c r="L1405" s="19" t="s">
        <v>42</v>
      </c>
      <c r="M1405" s="20">
        <v>8</v>
      </c>
      <c r="N1405" s="21">
        <v>24900</v>
      </c>
      <c r="O1405" s="22">
        <v>5</v>
      </c>
      <c r="P1405" s="23">
        <v>189240</v>
      </c>
      <c r="Q1405" s="22">
        <v>4.8</v>
      </c>
      <c r="R1405" s="22">
        <v>20</v>
      </c>
      <c r="S1405" s="23">
        <f>(Table13[[#This Row],[Unit Price]]*Table13[[#This Row],[No.of Units]])*18%</f>
        <v>35856</v>
      </c>
      <c r="T1405" s="22" t="s">
        <v>1507</v>
      </c>
    </row>
    <row r="1406" spans="2:20" x14ac:dyDescent="0.3">
      <c r="B1406" s="5" t="s">
        <v>1320</v>
      </c>
      <c r="C1406" s="1">
        <v>6544214</v>
      </c>
      <c r="D1406" s="1">
        <v>33</v>
      </c>
      <c r="E1406" s="1" t="s">
        <v>12</v>
      </c>
      <c r="F1406" s="16">
        <v>45987</v>
      </c>
      <c r="G1406" s="1" t="s">
        <v>1475</v>
      </c>
      <c r="H1406" s="1" t="s">
        <v>1480</v>
      </c>
      <c r="I1406" s="17" t="s">
        <v>1505</v>
      </c>
      <c r="J1406" s="18" t="s">
        <v>23</v>
      </c>
      <c r="K1406" s="19" t="s">
        <v>14</v>
      </c>
      <c r="L1406" s="19" t="s">
        <v>42</v>
      </c>
      <c r="M1406" s="20">
        <v>4</v>
      </c>
      <c r="N1406" s="21">
        <v>84999</v>
      </c>
      <c r="O1406" s="22">
        <v>12</v>
      </c>
      <c r="P1406" s="23">
        <v>299196.48</v>
      </c>
      <c r="Q1406" s="22">
        <v>4.5</v>
      </c>
      <c r="R1406" s="22">
        <v>20</v>
      </c>
      <c r="S1406" s="23">
        <f>(Table13[[#This Row],[Unit Price]]*Table13[[#This Row],[No.of Units]])*18%</f>
        <v>61199.28</v>
      </c>
      <c r="T1406" s="22" t="s">
        <v>1508</v>
      </c>
    </row>
    <row r="1407" spans="2:20" x14ac:dyDescent="0.3">
      <c r="B1407" s="5" t="s">
        <v>1321</v>
      </c>
      <c r="C1407" s="1">
        <v>9213513</v>
      </c>
      <c r="D1407" s="1">
        <v>21</v>
      </c>
      <c r="E1407" s="1" t="s">
        <v>12</v>
      </c>
      <c r="F1407" s="16">
        <v>45987</v>
      </c>
      <c r="G1407" s="1" t="s">
        <v>1470</v>
      </c>
      <c r="H1407" s="1" t="s">
        <v>1472</v>
      </c>
      <c r="I1407" s="17" t="s">
        <v>1504</v>
      </c>
      <c r="J1407" s="18" t="s">
        <v>25</v>
      </c>
      <c r="K1407" s="19" t="s">
        <v>26</v>
      </c>
      <c r="L1407" s="19" t="s">
        <v>42</v>
      </c>
      <c r="M1407" s="20">
        <v>4</v>
      </c>
      <c r="N1407" s="21">
        <v>69999</v>
      </c>
      <c r="O1407" s="22">
        <v>8</v>
      </c>
      <c r="P1407" s="23">
        <v>257596.32</v>
      </c>
      <c r="Q1407" s="22">
        <v>4.8</v>
      </c>
      <c r="R1407" s="22">
        <v>20</v>
      </c>
      <c r="S1407" s="23">
        <f>(Table13[[#This Row],[Unit Price]]*Table13[[#This Row],[No.of Units]])*18%</f>
        <v>50399.28</v>
      </c>
      <c r="T1407" s="22" t="s">
        <v>1507</v>
      </c>
    </row>
    <row r="1408" spans="2:20" x14ac:dyDescent="0.3">
      <c r="B1408" s="5" t="s">
        <v>1322</v>
      </c>
      <c r="C1408" s="1">
        <v>433643</v>
      </c>
      <c r="D1408" s="1">
        <v>71</v>
      </c>
      <c r="E1408" s="1" t="s">
        <v>20</v>
      </c>
      <c r="F1408" s="16">
        <v>45987</v>
      </c>
      <c r="G1408" s="1" t="s">
        <v>1470</v>
      </c>
      <c r="H1408" s="1" t="s">
        <v>1471</v>
      </c>
      <c r="I1408" s="17" t="s">
        <v>1503</v>
      </c>
      <c r="J1408" s="18" t="s">
        <v>28</v>
      </c>
      <c r="K1408" s="19" t="s">
        <v>26</v>
      </c>
      <c r="L1408" s="19" t="s">
        <v>42</v>
      </c>
      <c r="M1408" s="20">
        <v>11</v>
      </c>
      <c r="N1408" s="21">
        <v>42999</v>
      </c>
      <c r="O1408" s="22">
        <v>15</v>
      </c>
      <c r="P1408" s="23">
        <v>402040.65</v>
      </c>
      <c r="Q1408" s="22">
        <v>4.5999999999999996</v>
      </c>
      <c r="R1408" s="22">
        <v>20</v>
      </c>
      <c r="S1408" s="23">
        <f>(Table13[[#This Row],[Unit Price]]*Table13[[#This Row],[No.of Units]])*18%</f>
        <v>85138.02</v>
      </c>
      <c r="T1408" s="22" t="s">
        <v>1508</v>
      </c>
    </row>
    <row r="1409" spans="2:20" x14ac:dyDescent="0.3">
      <c r="B1409" s="5" t="s">
        <v>1323</v>
      </c>
      <c r="C1409" s="1">
        <v>7430723</v>
      </c>
      <c r="D1409" s="1">
        <v>67</v>
      </c>
      <c r="E1409" s="1" t="s">
        <v>20</v>
      </c>
      <c r="F1409" s="16">
        <v>45987</v>
      </c>
      <c r="G1409" s="1" t="s">
        <v>1470</v>
      </c>
      <c r="H1409" s="1" t="s">
        <v>1482</v>
      </c>
      <c r="I1409" s="17" t="s">
        <v>1502</v>
      </c>
      <c r="J1409" s="18" t="s">
        <v>13</v>
      </c>
      <c r="K1409" s="19" t="s">
        <v>14</v>
      </c>
      <c r="L1409" s="19" t="s">
        <v>49</v>
      </c>
      <c r="M1409" s="20">
        <v>4</v>
      </c>
      <c r="N1409" s="21">
        <v>99999</v>
      </c>
      <c r="O1409" s="22">
        <v>10</v>
      </c>
      <c r="P1409" s="23">
        <v>359996.4</v>
      </c>
      <c r="Q1409" s="22">
        <v>4.7</v>
      </c>
      <c r="R1409" s="22">
        <v>20</v>
      </c>
      <c r="S1409" s="23">
        <f>(Table13[[#This Row],[Unit Price]]*Table13[[#This Row],[No.of Units]])*18%</f>
        <v>71999.28</v>
      </c>
      <c r="T1409" s="22" t="s">
        <v>1508</v>
      </c>
    </row>
    <row r="1410" spans="2:20" x14ac:dyDescent="0.3">
      <c r="B1410" s="5" t="s">
        <v>1324</v>
      </c>
      <c r="C1410" s="1">
        <v>2912274</v>
      </c>
      <c r="D1410" s="1">
        <v>53</v>
      </c>
      <c r="E1410" s="1" t="s">
        <v>20</v>
      </c>
      <c r="F1410" s="16">
        <v>45987</v>
      </c>
      <c r="G1410" s="1" t="s">
        <v>1470</v>
      </c>
      <c r="H1410" s="1" t="s">
        <v>1472</v>
      </c>
      <c r="I1410" s="17" t="s">
        <v>1503</v>
      </c>
      <c r="J1410" s="18" t="s">
        <v>17</v>
      </c>
      <c r="K1410" s="19" t="s">
        <v>18</v>
      </c>
      <c r="L1410" s="19" t="s">
        <v>49</v>
      </c>
      <c r="M1410" s="20">
        <v>48</v>
      </c>
      <c r="N1410" s="21">
        <v>4999</v>
      </c>
      <c r="O1410" s="22">
        <v>18</v>
      </c>
      <c r="P1410" s="23">
        <v>196760.64</v>
      </c>
      <c r="Q1410" s="22">
        <v>4.4000000000000004</v>
      </c>
      <c r="R1410" s="22">
        <v>20</v>
      </c>
      <c r="S1410" s="23">
        <f>(Table13[[#This Row],[Unit Price]]*Table13[[#This Row],[No.of Units]])*18%</f>
        <v>43191.360000000001</v>
      </c>
      <c r="T1410" s="22" t="s">
        <v>1508</v>
      </c>
    </row>
    <row r="1411" spans="2:20" x14ac:dyDescent="0.3">
      <c r="B1411" s="5" t="s">
        <v>1325</v>
      </c>
      <c r="C1411" s="1">
        <v>23422</v>
      </c>
      <c r="D1411" s="1">
        <v>23</v>
      </c>
      <c r="E1411" s="1" t="s">
        <v>12</v>
      </c>
      <c r="F1411" s="16">
        <v>45987</v>
      </c>
      <c r="G1411" s="1" t="s">
        <v>1470</v>
      </c>
      <c r="H1411" s="1" t="s">
        <v>1472</v>
      </c>
      <c r="I1411" s="17" t="s">
        <v>1504</v>
      </c>
      <c r="J1411" s="18" t="s">
        <v>21</v>
      </c>
      <c r="K1411" s="19" t="s">
        <v>18</v>
      </c>
      <c r="L1411" s="19" t="s">
        <v>49</v>
      </c>
      <c r="M1411" s="20">
        <v>11</v>
      </c>
      <c r="N1411" s="21">
        <v>24900</v>
      </c>
      <c r="O1411" s="22">
        <v>5</v>
      </c>
      <c r="P1411" s="23">
        <v>260205</v>
      </c>
      <c r="Q1411" s="22">
        <v>4.8</v>
      </c>
      <c r="R1411" s="22">
        <v>20</v>
      </c>
      <c r="S1411" s="23">
        <f>(Table13[[#This Row],[Unit Price]]*Table13[[#This Row],[No.of Units]])*18%</f>
        <v>49302</v>
      </c>
      <c r="T1411" s="22" t="s">
        <v>1508</v>
      </c>
    </row>
    <row r="1412" spans="2:20" x14ac:dyDescent="0.3">
      <c r="B1412" s="5" t="s">
        <v>1326</v>
      </c>
      <c r="C1412" s="1">
        <v>7234922</v>
      </c>
      <c r="D1412" s="1">
        <v>50</v>
      </c>
      <c r="E1412" s="1" t="s">
        <v>20</v>
      </c>
      <c r="F1412" s="16">
        <v>45987</v>
      </c>
      <c r="G1412" s="1" t="s">
        <v>1470</v>
      </c>
      <c r="H1412" s="1" t="s">
        <v>1471</v>
      </c>
      <c r="I1412" s="17" t="s">
        <v>1505</v>
      </c>
      <c r="J1412" s="18" t="s">
        <v>23</v>
      </c>
      <c r="K1412" s="19" t="s">
        <v>14</v>
      </c>
      <c r="L1412" s="19" t="s">
        <v>49</v>
      </c>
      <c r="M1412" s="20">
        <v>2</v>
      </c>
      <c r="N1412" s="21">
        <v>84999</v>
      </c>
      <c r="O1412" s="22">
        <v>12</v>
      </c>
      <c r="P1412" s="23">
        <v>149598.24</v>
      </c>
      <c r="Q1412" s="22">
        <v>4.5</v>
      </c>
      <c r="R1412" s="22">
        <v>20</v>
      </c>
      <c r="S1412" s="23">
        <f>(Table13[[#This Row],[Unit Price]]*Table13[[#This Row],[No.of Units]])*18%</f>
        <v>30599.64</v>
      </c>
      <c r="T1412" s="22" t="s">
        <v>1507</v>
      </c>
    </row>
    <row r="1413" spans="2:20" x14ac:dyDescent="0.3">
      <c r="B1413" s="5" t="s">
        <v>1327</v>
      </c>
      <c r="C1413" s="1">
        <v>490840</v>
      </c>
      <c r="D1413" s="1">
        <v>35</v>
      </c>
      <c r="E1413" s="1" t="s">
        <v>12</v>
      </c>
      <c r="F1413" s="16">
        <v>45987</v>
      </c>
      <c r="G1413" s="1" t="s">
        <v>1470</v>
      </c>
      <c r="H1413" s="1" t="s">
        <v>1482</v>
      </c>
      <c r="I1413" s="17" t="s">
        <v>1504</v>
      </c>
      <c r="J1413" s="18" t="s">
        <v>25</v>
      </c>
      <c r="K1413" s="19" t="s">
        <v>26</v>
      </c>
      <c r="L1413" s="19" t="s">
        <v>49</v>
      </c>
      <c r="M1413" s="20">
        <v>4</v>
      </c>
      <c r="N1413" s="21">
        <v>69999</v>
      </c>
      <c r="O1413" s="22">
        <v>8</v>
      </c>
      <c r="P1413" s="23">
        <v>257596.32</v>
      </c>
      <c r="Q1413" s="22">
        <v>4.8</v>
      </c>
      <c r="R1413" s="22">
        <v>20</v>
      </c>
      <c r="S1413" s="23">
        <f>(Table13[[#This Row],[Unit Price]]*Table13[[#This Row],[No.of Units]])*18%</f>
        <v>50399.28</v>
      </c>
      <c r="T1413" s="22" t="s">
        <v>1508</v>
      </c>
    </row>
    <row r="1414" spans="2:20" x14ac:dyDescent="0.3">
      <c r="B1414" s="5" t="s">
        <v>1328</v>
      </c>
      <c r="C1414" s="1">
        <v>6516243</v>
      </c>
      <c r="D1414" s="1">
        <v>35</v>
      </c>
      <c r="E1414" s="1" t="s">
        <v>12</v>
      </c>
      <c r="F1414" s="16">
        <v>45987</v>
      </c>
      <c r="G1414" s="1" t="s">
        <v>1470</v>
      </c>
      <c r="H1414" s="1" t="s">
        <v>1471</v>
      </c>
      <c r="I1414" s="17" t="s">
        <v>1503</v>
      </c>
      <c r="J1414" s="18" t="s">
        <v>28</v>
      </c>
      <c r="K1414" s="19" t="s">
        <v>26</v>
      </c>
      <c r="L1414" s="19" t="s">
        <v>49</v>
      </c>
      <c r="M1414" s="20">
        <v>10</v>
      </c>
      <c r="N1414" s="21">
        <v>42999</v>
      </c>
      <c r="O1414" s="22">
        <v>15</v>
      </c>
      <c r="P1414" s="23">
        <v>365491.5</v>
      </c>
      <c r="Q1414" s="22">
        <v>4.5999999999999996</v>
      </c>
      <c r="R1414" s="22">
        <v>20</v>
      </c>
      <c r="S1414" s="23">
        <f>(Table13[[#This Row],[Unit Price]]*Table13[[#This Row],[No.of Units]])*18%</f>
        <v>77398.2</v>
      </c>
      <c r="T1414" s="22" t="s">
        <v>1507</v>
      </c>
    </row>
    <row r="1415" spans="2:20" x14ac:dyDescent="0.3">
      <c r="B1415" s="5" t="s">
        <v>1329</v>
      </c>
      <c r="C1415" s="1">
        <v>7222033</v>
      </c>
      <c r="D1415" s="1">
        <v>25</v>
      </c>
      <c r="E1415" s="1" t="s">
        <v>12</v>
      </c>
      <c r="F1415" s="16">
        <v>45994</v>
      </c>
      <c r="G1415" s="1" t="s">
        <v>1470</v>
      </c>
      <c r="H1415" s="1" t="s">
        <v>1471</v>
      </c>
      <c r="I1415" s="17" t="s">
        <v>1502</v>
      </c>
      <c r="J1415" s="18" t="s">
        <v>13</v>
      </c>
      <c r="K1415" s="19" t="s">
        <v>14</v>
      </c>
      <c r="L1415" s="19" t="s">
        <v>15</v>
      </c>
      <c r="M1415" s="20">
        <v>3</v>
      </c>
      <c r="N1415" s="21">
        <v>99999</v>
      </c>
      <c r="O1415" s="22">
        <v>10</v>
      </c>
      <c r="P1415" s="23">
        <v>269997.3</v>
      </c>
      <c r="Q1415" s="22">
        <v>4.7</v>
      </c>
      <c r="R1415" s="22">
        <v>20</v>
      </c>
      <c r="S1415" s="23">
        <f>(Table13[[#This Row],[Unit Price]]*Table13[[#This Row],[No.of Units]])*18%</f>
        <v>53999.46</v>
      </c>
      <c r="T1415" s="22" t="s">
        <v>1508</v>
      </c>
    </row>
    <row r="1416" spans="2:20" x14ac:dyDescent="0.3">
      <c r="B1416" s="5" t="s">
        <v>1330</v>
      </c>
      <c r="C1416" s="1">
        <v>4347680</v>
      </c>
      <c r="D1416" s="1">
        <v>62</v>
      </c>
      <c r="E1416" s="1" t="s">
        <v>20</v>
      </c>
      <c r="F1416" s="16">
        <v>45994</v>
      </c>
      <c r="G1416" s="1" t="s">
        <v>1470</v>
      </c>
      <c r="H1416" s="1" t="s">
        <v>1482</v>
      </c>
      <c r="I1416" s="17" t="s">
        <v>1503</v>
      </c>
      <c r="J1416" s="18" t="s">
        <v>17</v>
      </c>
      <c r="K1416" s="19" t="s">
        <v>18</v>
      </c>
      <c r="L1416" s="19" t="s">
        <v>15</v>
      </c>
      <c r="M1416" s="20">
        <v>38</v>
      </c>
      <c r="N1416" s="21">
        <v>4999</v>
      </c>
      <c r="O1416" s="22">
        <v>18</v>
      </c>
      <c r="P1416" s="23">
        <v>155768.84</v>
      </c>
      <c r="Q1416" s="22">
        <v>4.4000000000000004</v>
      </c>
      <c r="R1416" s="22">
        <v>20</v>
      </c>
      <c r="S1416" s="23">
        <f>(Table13[[#This Row],[Unit Price]]*Table13[[#This Row],[No.of Units]])*18%</f>
        <v>34193.159999999996</v>
      </c>
      <c r="T1416" s="22" t="s">
        <v>1507</v>
      </c>
    </row>
    <row r="1417" spans="2:20" x14ac:dyDescent="0.3">
      <c r="B1417" s="5" t="s">
        <v>1331</v>
      </c>
      <c r="C1417" s="1">
        <v>6525563</v>
      </c>
      <c r="D1417" s="1">
        <v>40</v>
      </c>
      <c r="E1417" s="1" t="s">
        <v>12</v>
      </c>
      <c r="F1417" s="16">
        <v>45994</v>
      </c>
      <c r="G1417" s="1" t="s">
        <v>1470</v>
      </c>
      <c r="H1417" s="1" t="s">
        <v>1483</v>
      </c>
      <c r="I1417" s="17" t="s">
        <v>1504</v>
      </c>
      <c r="J1417" s="18" t="s">
        <v>21</v>
      </c>
      <c r="K1417" s="19" t="s">
        <v>18</v>
      </c>
      <c r="L1417" s="19" t="s">
        <v>15</v>
      </c>
      <c r="M1417" s="20">
        <v>13</v>
      </c>
      <c r="N1417" s="21">
        <v>24900</v>
      </c>
      <c r="O1417" s="22">
        <v>5</v>
      </c>
      <c r="P1417" s="23">
        <v>307515</v>
      </c>
      <c r="Q1417" s="22">
        <v>4.8</v>
      </c>
      <c r="R1417" s="22">
        <v>20</v>
      </c>
      <c r="S1417" s="23">
        <f>(Table13[[#This Row],[Unit Price]]*Table13[[#This Row],[No.of Units]])*18%</f>
        <v>58266</v>
      </c>
      <c r="T1417" s="22" t="s">
        <v>1508</v>
      </c>
    </row>
    <row r="1418" spans="2:20" x14ac:dyDescent="0.3">
      <c r="B1418" s="5" t="s">
        <v>1332</v>
      </c>
      <c r="C1418" s="1">
        <v>3186738</v>
      </c>
      <c r="D1418" s="1">
        <v>60</v>
      </c>
      <c r="E1418" s="1" t="s">
        <v>20</v>
      </c>
      <c r="F1418" s="16">
        <v>45994</v>
      </c>
      <c r="G1418" s="1" t="s">
        <v>1470</v>
      </c>
      <c r="H1418" s="1" t="s">
        <v>1483</v>
      </c>
      <c r="I1418" s="17" t="s">
        <v>1505</v>
      </c>
      <c r="J1418" s="18" t="s">
        <v>23</v>
      </c>
      <c r="K1418" s="19" t="s">
        <v>14</v>
      </c>
      <c r="L1418" s="19" t="s">
        <v>15</v>
      </c>
      <c r="M1418" s="20">
        <v>5</v>
      </c>
      <c r="N1418" s="21">
        <v>84999</v>
      </c>
      <c r="O1418" s="22">
        <v>12</v>
      </c>
      <c r="P1418" s="23">
        <v>373995.6</v>
      </c>
      <c r="Q1418" s="22">
        <v>4.5</v>
      </c>
      <c r="R1418" s="22">
        <v>20</v>
      </c>
      <c r="S1418" s="23">
        <f>(Table13[[#This Row],[Unit Price]]*Table13[[#This Row],[No.of Units]])*18%</f>
        <v>76499.099999999991</v>
      </c>
      <c r="T1418" s="22" t="s">
        <v>1508</v>
      </c>
    </row>
    <row r="1419" spans="2:20" x14ac:dyDescent="0.3">
      <c r="B1419" s="5" t="s">
        <v>1333</v>
      </c>
      <c r="C1419" s="1">
        <v>1826402</v>
      </c>
      <c r="D1419" s="1">
        <v>35</v>
      </c>
      <c r="E1419" s="1" t="s">
        <v>12</v>
      </c>
      <c r="F1419" s="16">
        <v>45994</v>
      </c>
      <c r="G1419" s="1" t="s">
        <v>1470</v>
      </c>
      <c r="H1419" s="1" t="s">
        <v>1482</v>
      </c>
      <c r="I1419" s="17" t="s">
        <v>1504</v>
      </c>
      <c r="J1419" s="18" t="s">
        <v>25</v>
      </c>
      <c r="K1419" s="19" t="s">
        <v>26</v>
      </c>
      <c r="L1419" s="19" t="s">
        <v>15</v>
      </c>
      <c r="M1419" s="20">
        <v>4</v>
      </c>
      <c r="N1419" s="21">
        <v>69999</v>
      </c>
      <c r="O1419" s="22">
        <v>8</v>
      </c>
      <c r="P1419" s="23">
        <v>257596.32</v>
      </c>
      <c r="Q1419" s="22">
        <v>4.8</v>
      </c>
      <c r="R1419" s="22">
        <v>20</v>
      </c>
      <c r="S1419" s="23">
        <f>(Table13[[#This Row],[Unit Price]]*Table13[[#This Row],[No.of Units]])*18%</f>
        <v>50399.28</v>
      </c>
      <c r="T1419" s="22" t="s">
        <v>1508</v>
      </c>
    </row>
    <row r="1420" spans="2:20" x14ac:dyDescent="0.3">
      <c r="B1420" s="5" t="s">
        <v>1334</v>
      </c>
      <c r="C1420" s="1">
        <v>6667637</v>
      </c>
      <c r="D1420" s="1">
        <v>31</v>
      </c>
      <c r="E1420" s="1" t="s">
        <v>12</v>
      </c>
      <c r="F1420" s="16">
        <v>45994</v>
      </c>
      <c r="G1420" s="1" t="s">
        <v>1470</v>
      </c>
      <c r="H1420" s="1" t="s">
        <v>1480</v>
      </c>
      <c r="I1420" s="17" t="s">
        <v>1503</v>
      </c>
      <c r="J1420" s="18" t="s">
        <v>28</v>
      </c>
      <c r="K1420" s="19" t="s">
        <v>26</v>
      </c>
      <c r="L1420" s="19" t="s">
        <v>15</v>
      </c>
      <c r="M1420" s="20">
        <v>10</v>
      </c>
      <c r="N1420" s="21">
        <v>42999</v>
      </c>
      <c r="O1420" s="22">
        <v>15</v>
      </c>
      <c r="P1420" s="23">
        <v>365491.5</v>
      </c>
      <c r="Q1420" s="22">
        <v>4.5999999999999996</v>
      </c>
      <c r="R1420" s="22">
        <v>20</v>
      </c>
      <c r="S1420" s="23">
        <f>(Table13[[#This Row],[Unit Price]]*Table13[[#This Row],[No.of Units]])*18%</f>
        <v>77398.2</v>
      </c>
      <c r="T1420" s="22" t="s">
        <v>1508</v>
      </c>
    </row>
    <row r="1421" spans="2:20" x14ac:dyDescent="0.3">
      <c r="B1421" s="5" t="s">
        <v>1335</v>
      </c>
      <c r="C1421" s="1">
        <v>8156230</v>
      </c>
      <c r="D1421" s="1">
        <v>46</v>
      </c>
      <c r="E1421" s="1" t="s">
        <v>12</v>
      </c>
      <c r="F1421" s="16">
        <v>45994</v>
      </c>
      <c r="G1421" s="1" t="s">
        <v>1470</v>
      </c>
      <c r="H1421" s="1" t="s">
        <v>1471</v>
      </c>
      <c r="I1421" s="17" t="s">
        <v>1502</v>
      </c>
      <c r="J1421" s="18" t="s">
        <v>13</v>
      </c>
      <c r="K1421" s="19" t="s">
        <v>14</v>
      </c>
      <c r="L1421" s="19" t="s">
        <v>29</v>
      </c>
      <c r="M1421" s="20">
        <v>6</v>
      </c>
      <c r="N1421" s="21">
        <v>99999</v>
      </c>
      <c r="O1421" s="22">
        <v>10</v>
      </c>
      <c r="P1421" s="23">
        <v>539994.6</v>
      </c>
      <c r="Q1421" s="22">
        <v>4.7</v>
      </c>
      <c r="R1421" s="22">
        <v>20</v>
      </c>
      <c r="S1421" s="23">
        <f>(Table13[[#This Row],[Unit Price]]*Table13[[#This Row],[No.of Units]])*18%</f>
        <v>107998.92</v>
      </c>
      <c r="T1421" s="22" t="s">
        <v>1508</v>
      </c>
    </row>
    <row r="1422" spans="2:20" x14ac:dyDescent="0.3">
      <c r="B1422" s="5" t="s">
        <v>1336</v>
      </c>
      <c r="C1422" s="1">
        <v>1728497</v>
      </c>
      <c r="D1422" s="1">
        <v>30</v>
      </c>
      <c r="E1422" s="1" t="s">
        <v>12</v>
      </c>
      <c r="F1422" s="16">
        <v>45994</v>
      </c>
      <c r="G1422" s="1" t="s">
        <v>1470</v>
      </c>
      <c r="H1422" s="1" t="s">
        <v>1483</v>
      </c>
      <c r="I1422" s="17" t="s">
        <v>1503</v>
      </c>
      <c r="J1422" s="18" t="s">
        <v>17</v>
      </c>
      <c r="K1422" s="19" t="s">
        <v>18</v>
      </c>
      <c r="L1422" s="19" t="s">
        <v>29</v>
      </c>
      <c r="M1422" s="20">
        <v>66</v>
      </c>
      <c r="N1422" s="21">
        <v>4999</v>
      </c>
      <c r="O1422" s="22">
        <v>18</v>
      </c>
      <c r="P1422" s="23">
        <v>270545.88</v>
      </c>
      <c r="Q1422" s="22">
        <v>4.4000000000000004</v>
      </c>
      <c r="R1422" s="22">
        <v>20</v>
      </c>
      <c r="S1422" s="23">
        <f>(Table13[[#This Row],[Unit Price]]*Table13[[#This Row],[No.of Units]])*18%</f>
        <v>59388.119999999995</v>
      </c>
      <c r="T1422" s="22" t="s">
        <v>1507</v>
      </c>
    </row>
    <row r="1423" spans="2:20" x14ac:dyDescent="0.3">
      <c r="B1423" s="5" t="s">
        <v>1337</v>
      </c>
      <c r="C1423" s="1">
        <v>1435458</v>
      </c>
      <c r="D1423" s="1">
        <v>43</v>
      </c>
      <c r="E1423" s="1" t="s">
        <v>12</v>
      </c>
      <c r="F1423" s="16">
        <v>45994</v>
      </c>
      <c r="G1423" s="1" t="s">
        <v>1470</v>
      </c>
      <c r="H1423" s="1" t="s">
        <v>1483</v>
      </c>
      <c r="I1423" s="17" t="s">
        <v>1504</v>
      </c>
      <c r="J1423" s="18" t="s">
        <v>21</v>
      </c>
      <c r="K1423" s="19" t="s">
        <v>18</v>
      </c>
      <c r="L1423" s="19" t="s">
        <v>29</v>
      </c>
      <c r="M1423" s="20">
        <v>11</v>
      </c>
      <c r="N1423" s="21">
        <v>24900</v>
      </c>
      <c r="O1423" s="22">
        <v>5</v>
      </c>
      <c r="P1423" s="23">
        <v>260205</v>
      </c>
      <c r="Q1423" s="22">
        <v>4.8</v>
      </c>
      <c r="R1423" s="22">
        <v>20</v>
      </c>
      <c r="S1423" s="23">
        <f>(Table13[[#This Row],[Unit Price]]*Table13[[#This Row],[No.of Units]])*18%</f>
        <v>49302</v>
      </c>
      <c r="T1423" s="22" t="s">
        <v>1507</v>
      </c>
    </row>
    <row r="1424" spans="2:20" x14ac:dyDescent="0.3">
      <c r="B1424" s="5" t="s">
        <v>1338</v>
      </c>
      <c r="C1424" s="1">
        <v>6913365</v>
      </c>
      <c r="D1424" s="1">
        <v>70</v>
      </c>
      <c r="E1424" s="1" t="s">
        <v>20</v>
      </c>
      <c r="F1424" s="16">
        <v>45994</v>
      </c>
      <c r="G1424" s="1" t="s">
        <v>1470</v>
      </c>
      <c r="H1424" s="1" t="s">
        <v>1483</v>
      </c>
      <c r="I1424" s="17" t="s">
        <v>1505</v>
      </c>
      <c r="J1424" s="18" t="s">
        <v>23</v>
      </c>
      <c r="K1424" s="19" t="s">
        <v>14</v>
      </c>
      <c r="L1424" s="19" t="s">
        <v>29</v>
      </c>
      <c r="M1424" s="20">
        <v>5</v>
      </c>
      <c r="N1424" s="21">
        <v>84999</v>
      </c>
      <c r="O1424" s="22">
        <v>12</v>
      </c>
      <c r="P1424" s="23">
        <v>373995.6</v>
      </c>
      <c r="Q1424" s="22">
        <v>4.5</v>
      </c>
      <c r="R1424" s="22">
        <v>20</v>
      </c>
      <c r="S1424" s="23">
        <f>(Table13[[#This Row],[Unit Price]]*Table13[[#This Row],[No.of Units]])*18%</f>
        <v>76499.099999999991</v>
      </c>
      <c r="T1424" s="22" t="s">
        <v>1508</v>
      </c>
    </row>
    <row r="1425" spans="2:20" x14ac:dyDescent="0.3">
      <c r="B1425" s="5" t="s">
        <v>1339</v>
      </c>
      <c r="C1425" s="1">
        <v>2993620</v>
      </c>
      <c r="D1425" s="1">
        <v>29</v>
      </c>
      <c r="E1425" s="1" t="s">
        <v>12</v>
      </c>
      <c r="F1425" s="16">
        <v>45994</v>
      </c>
      <c r="G1425" s="1" t="s">
        <v>1470</v>
      </c>
      <c r="H1425" s="1" t="s">
        <v>1483</v>
      </c>
      <c r="I1425" s="17" t="s">
        <v>1504</v>
      </c>
      <c r="J1425" s="18" t="s">
        <v>25</v>
      </c>
      <c r="K1425" s="19" t="s">
        <v>26</v>
      </c>
      <c r="L1425" s="19" t="s">
        <v>29</v>
      </c>
      <c r="M1425" s="20">
        <v>4</v>
      </c>
      <c r="N1425" s="21">
        <v>69999</v>
      </c>
      <c r="O1425" s="22">
        <v>8</v>
      </c>
      <c r="P1425" s="23">
        <v>257596.32</v>
      </c>
      <c r="Q1425" s="22">
        <v>4.8</v>
      </c>
      <c r="R1425" s="22">
        <v>20</v>
      </c>
      <c r="S1425" s="23">
        <f>(Table13[[#This Row],[Unit Price]]*Table13[[#This Row],[No.of Units]])*18%</f>
        <v>50399.28</v>
      </c>
      <c r="T1425" s="22" t="s">
        <v>1508</v>
      </c>
    </row>
    <row r="1426" spans="2:20" x14ac:dyDescent="0.3">
      <c r="B1426" s="5" t="s">
        <v>1340</v>
      </c>
      <c r="C1426" s="1">
        <v>2359400</v>
      </c>
      <c r="D1426" s="1">
        <v>39</v>
      </c>
      <c r="E1426" s="1" t="s">
        <v>12</v>
      </c>
      <c r="F1426" s="16">
        <v>45994</v>
      </c>
      <c r="G1426" s="1" t="s">
        <v>1470</v>
      </c>
      <c r="H1426" s="1" t="s">
        <v>1482</v>
      </c>
      <c r="I1426" s="17" t="s">
        <v>1503</v>
      </c>
      <c r="J1426" s="18" t="s">
        <v>28</v>
      </c>
      <c r="K1426" s="19" t="s">
        <v>26</v>
      </c>
      <c r="L1426" s="19" t="s">
        <v>29</v>
      </c>
      <c r="M1426" s="20">
        <v>5</v>
      </c>
      <c r="N1426" s="21">
        <v>42999</v>
      </c>
      <c r="O1426" s="22">
        <v>15</v>
      </c>
      <c r="P1426" s="23">
        <v>182745.75</v>
      </c>
      <c r="Q1426" s="22">
        <v>4.5999999999999996</v>
      </c>
      <c r="R1426" s="22">
        <v>20</v>
      </c>
      <c r="S1426" s="23">
        <f>(Table13[[#This Row],[Unit Price]]*Table13[[#This Row],[No.of Units]])*18%</f>
        <v>38699.1</v>
      </c>
      <c r="T1426" s="22" t="s">
        <v>1508</v>
      </c>
    </row>
    <row r="1427" spans="2:20" x14ac:dyDescent="0.3">
      <c r="B1427" s="5" t="s">
        <v>1341</v>
      </c>
      <c r="C1427" s="1">
        <v>1518551</v>
      </c>
      <c r="D1427" s="1">
        <v>42</v>
      </c>
      <c r="E1427" s="1" t="s">
        <v>12</v>
      </c>
      <c r="F1427" s="16">
        <v>45994</v>
      </c>
      <c r="G1427" s="1" t="s">
        <v>1470</v>
      </c>
      <c r="H1427" s="1" t="s">
        <v>1482</v>
      </c>
      <c r="I1427" s="17" t="s">
        <v>1502</v>
      </c>
      <c r="J1427" s="18" t="s">
        <v>13</v>
      </c>
      <c r="K1427" s="19" t="s">
        <v>14</v>
      </c>
      <c r="L1427" s="19" t="s">
        <v>35</v>
      </c>
      <c r="M1427" s="20">
        <v>4</v>
      </c>
      <c r="N1427" s="21">
        <v>99999</v>
      </c>
      <c r="O1427" s="22">
        <v>10</v>
      </c>
      <c r="P1427" s="23">
        <v>359996.4</v>
      </c>
      <c r="Q1427" s="22">
        <v>4.7</v>
      </c>
      <c r="R1427" s="22">
        <v>20</v>
      </c>
      <c r="S1427" s="23">
        <f>(Table13[[#This Row],[Unit Price]]*Table13[[#This Row],[No.of Units]])*18%</f>
        <v>71999.28</v>
      </c>
      <c r="T1427" s="22" t="s">
        <v>1507</v>
      </c>
    </row>
    <row r="1428" spans="2:20" x14ac:dyDescent="0.3">
      <c r="B1428" s="5" t="s">
        <v>1342</v>
      </c>
      <c r="C1428" s="1">
        <v>6485769</v>
      </c>
      <c r="D1428" s="1">
        <v>44</v>
      </c>
      <c r="E1428" s="1" t="s">
        <v>12</v>
      </c>
      <c r="F1428" s="16">
        <v>45994</v>
      </c>
      <c r="G1428" s="1" t="s">
        <v>1470</v>
      </c>
      <c r="H1428" s="1" t="s">
        <v>1471</v>
      </c>
      <c r="I1428" s="17" t="s">
        <v>1503</v>
      </c>
      <c r="J1428" s="18" t="s">
        <v>17</v>
      </c>
      <c r="K1428" s="19" t="s">
        <v>18</v>
      </c>
      <c r="L1428" s="19" t="s">
        <v>35</v>
      </c>
      <c r="M1428" s="20">
        <v>25</v>
      </c>
      <c r="N1428" s="21">
        <v>4999</v>
      </c>
      <c r="O1428" s="22">
        <v>18</v>
      </c>
      <c r="P1428" s="23">
        <v>102479.5</v>
      </c>
      <c r="Q1428" s="22">
        <v>4.4000000000000004</v>
      </c>
      <c r="R1428" s="22">
        <v>20</v>
      </c>
      <c r="S1428" s="23">
        <f>(Table13[[#This Row],[Unit Price]]*Table13[[#This Row],[No.of Units]])*18%</f>
        <v>22495.5</v>
      </c>
      <c r="T1428" s="22" t="s">
        <v>1508</v>
      </c>
    </row>
    <row r="1429" spans="2:20" x14ac:dyDescent="0.3">
      <c r="B1429" s="5" t="s">
        <v>1343</v>
      </c>
      <c r="C1429" s="1">
        <v>2640683</v>
      </c>
      <c r="D1429" s="1">
        <v>47</v>
      </c>
      <c r="E1429" s="1" t="s">
        <v>12</v>
      </c>
      <c r="F1429" s="16">
        <v>45994</v>
      </c>
      <c r="G1429" s="1" t="s">
        <v>1470</v>
      </c>
      <c r="H1429" s="1" t="s">
        <v>1471</v>
      </c>
      <c r="I1429" s="17" t="s">
        <v>1504</v>
      </c>
      <c r="J1429" s="18" t="s">
        <v>21</v>
      </c>
      <c r="K1429" s="19" t="s">
        <v>18</v>
      </c>
      <c r="L1429" s="19" t="s">
        <v>35</v>
      </c>
      <c r="M1429" s="20">
        <v>11</v>
      </c>
      <c r="N1429" s="21">
        <v>24900</v>
      </c>
      <c r="O1429" s="22">
        <v>5</v>
      </c>
      <c r="P1429" s="23">
        <v>260205</v>
      </c>
      <c r="Q1429" s="22">
        <v>4.8</v>
      </c>
      <c r="R1429" s="22">
        <v>20</v>
      </c>
      <c r="S1429" s="23">
        <f>(Table13[[#This Row],[Unit Price]]*Table13[[#This Row],[No.of Units]])*18%</f>
        <v>49302</v>
      </c>
      <c r="T1429" s="22" t="s">
        <v>1508</v>
      </c>
    </row>
    <row r="1430" spans="2:20" x14ac:dyDescent="0.3">
      <c r="B1430" s="5" t="s">
        <v>1344</v>
      </c>
      <c r="C1430" s="1">
        <v>5332578</v>
      </c>
      <c r="D1430" s="1">
        <v>51</v>
      </c>
      <c r="E1430" s="1" t="s">
        <v>20</v>
      </c>
      <c r="F1430" s="16">
        <v>45994</v>
      </c>
      <c r="G1430" s="1" t="s">
        <v>1470</v>
      </c>
      <c r="H1430" s="1" t="s">
        <v>1471</v>
      </c>
      <c r="I1430" s="17" t="s">
        <v>1505</v>
      </c>
      <c r="J1430" s="18" t="s">
        <v>23</v>
      </c>
      <c r="K1430" s="19" t="s">
        <v>14</v>
      </c>
      <c r="L1430" s="19" t="s">
        <v>35</v>
      </c>
      <c r="M1430" s="20">
        <v>4</v>
      </c>
      <c r="N1430" s="21">
        <v>84999</v>
      </c>
      <c r="O1430" s="22">
        <v>12</v>
      </c>
      <c r="P1430" s="23">
        <v>299196.48</v>
      </c>
      <c r="Q1430" s="22">
        <v>4.5</v>
      </c>
      <c r="R1430" s="22">
        <v>20</v>
      </c>
      <c r="S1430" s="23">
        <f>(Table13[[#This Row],[Unit Price]]*Table13[[#This Row],[No.of Units]])*18%</f>
        <v>61199.28</v>
      </c>
      <c r="T1430" s="22" t="s">
        <v>1508</v>
      </c>
    </row>
    <row r="1431" spans="2:20" x14ac:dyDescent="0.3">
      <c r="B1431" s="5" t="s">
        <v>1345</v>
      </c>
      <c r="C1431" s="1">
        <v>7565589</v>
      </c>
      <c r="D1431" s="1">
        <v>49</v>
      </c>
      <c r="E1431" s="1" t="s">
        <v>12</v>
      </c>
      <c r="F1431" s="16">
        <v>45994</v>
      </c>
      <c r="G1431" s="1" t="s">
        <v>1470</v>
      </c>
      <c r="H1431" s="1" t="s">
        <v>1471</v>
      </c>
      <c r="I1431" s="17" t="s">
        <v>1504</v>
      </c>
      <c r="J1431" s="18" t="s">
        <v>25</v>
      </c>
      <c r="K1431" s="19" t="s">
        <v>26</v>
      </c>
      <c r="L1431" s="19" t="s">
        <v>35</v>
      </c>
      <c r="M1431" s="20">
        <v>3</v>
      </c>
      <c r="N1431" s="21">
        <v>69999</v>
      </c>
      <c r="O1431" s="22">
        <v>8</v>
      </c>
      <c r="P1431" s="23">
        <v>193197.24</v>
      </c>
      <c r="Q1431" s="22">
        <v>4.8</v>
      </c>
      <c r="R1431" s="22">
        <v>20</v>
      </c>
      <c r="S1431" s="23">
        <f>(Table13[[#This Row],[Unit Price]]*Table13[[#This Row],[No.of Units]])*18%</f>
        <v>37799.46</v>
      </c>
      <c r="T1431" s="22" t="s">
        <v>1508</v>
      </c>
    </row>
    <row r="1432" spans="2:20" x14ac:dyDescent="0.3">
      <c r="B1432" s="5" t="s">
        <v>1346</v>
      </c>
      <c r="C1432" s="1">
        <v>4011410</v>
      </c>
      <c r="D1432" s="1">
        <v>65</v>
      </c>
      <c r="E1432" s="1" t="s">
        <v>20</v>
      </c>
      <c r="F1432" s="16">
        <v>45994</v>
      </c>
      <c r="G1432" s="1" t="s">
        <v>1474</v>
      </c>
      <c r="H1432" s="1" t="s">
        <v>1482</v>
      </c>
      <c r="I1432" s="17" t="s">
        <v>1503</v>
      </c>
      <c r="J1432" s="18" t="s">
        <v>28</v>
      </c>
      <c r="K1432" s="19" t="s">
        <v>26</v>
      </c>
      <c r="L1432" s="19" t="s">
        <v>35</v>
      </c>
      <c r="M1432" s="20">
        <v>8</v>
      </c>
      <c r="N1432" s="21">
        <v>42999</v>
      </c>
      <c r="O1432" s="22">
        <v>15</v>
      </c>
      <c r="P1432" s="23">
        <v>292393.2</v>
      </c>
      <c r="Q1432" s="22">
        <v>4.5999999999999996</v>
      </c>
      <c r="R1432" s="22">
        <v>20</v>
      </c>
      <c r="S1432" s="23">
        <f>(Table13[[#This Row],[Unit Price]]*Table13[[#This Row],[No.of Units]])*18%</f>
        <v>61918.559999999998</v>
      </c>
      <c r="T1432" s="22" t="s">
        <v>1507</v>
      </c>
    </row>
    <row r="1433" spans="2:20" x14ac:dyDescent="0.3">
      <c r="B1433" s="5" t="s">
        <v>1347</v>
      </c>
      <c r="C1433" s="1">
        <v>7383664</v>
      </c>
      <c r="D1433" s="1">
        <v>48</v>
      </c>
      <c r="E1433" s="1" t="s">
        <v>12</v>
      </c>
      <c r="F1433" s="16">
        <v>45994</v>
      </c>
      <c r="G1433" s="1" t="s">
        <v>1470</v>
      </c>
      <c r="H1433" s="1" t="s">
        <v>1471</v>
      </c>
      <c r="I1433" s="17" t="s">
        <v>1502</v>
      </c>
      <c r="J1433" s="18" t="s">
        <v>13</v>
      </c>
      <c r="K1433" s="19" t="s">
        <v>14</v>
      </c>
      <c r="L1433" s="19" t="s">
        <v>42</v>
      </c>
      <c r="M1433" s="20">
        <v>6</v>
      </c>
      <c r="N1433" s="21">
        <v>99999</v>
      </c>
      <c r="O1433" s="22">
        <v>10</v>
      </c>
      <c r="P1433" s="23">
        <v>539994.6</v>
      </c>
      <c r="Q1433" s="22">
        <v>4.7</v>
      </c>
      <c r="R1433" s="22">
        <v>20</v>
      </c>
      <c r="S1433" s="23">
        <f>(Table13[[#This Row],[Unit Price]]*Table13[[#This Row],[No.of Units]])*18%</f>
        <v>107998.92</v>
      </c>
      <c r="T1433" s="22" t="s">
        <v>1508</v>
      </c>
    </row>
    <row r="1434" spans="2:20" x14ac:dyDescent="0.3">
      <c r="B1434" s="5" t="s">
        <v>1348</v>
      </c>
      <c r="C1434" s="1">
        <v>8020405</v>
      </c>
      <c r="D1434" s="1">
        <v>42</v>
      </c>
      <c r="E1434" s="1" t="s">
        <v>12</v>
      </c>
      <c r="F1434" s="16">
        <v>45994</v>
      </c>
      <c r="G1434" s="1" t="s">
        <v>1470</v>
      </c>
      <c r="H1434" s="1" t="s">
        <v>1471</v>
      </c>
      <c r="I1434" s="17" t="s">
        <v>1503</v>
      </c>
      <c r="J1434" s="18" t="s">
        <v>17</v>
      </c>
      <c r="K1434" s="19" t="s">
        <v>18</v>
      </c>
      <c r="L1434" s="19" t="s">
        <v>42</v>
      </c>
      <c r="M1434" s="20">
        <v>53</v>
      </c>
      <c r="N1434" s="21">
        <v>4999</v>
      </c>
      <c r="O1434" s="22">
        <v>18</v>
      </c>
      <c r="P1434" s="23">
        <v>217256.54</v>
      </c>
      <c r="Q1434" s="22">
        <v>4.4000000000000004</v>
      </c>
      <c r="R1434" s="22">
        <v>20</v>
      </c>
      <c r="S1434" s="23">
        <f>(Table13[[#This Row],[Unit Price]]*Table13[[#This Row],[No.of Units]])*18%</f>
        <v>47690.46</v>
      </c>
      <c r="T1434" s="22" t="s">
        <v>1507</v>
      </c>
    </row>
    <row r="1435" spans="2:20" x14ac:dyDescent="0.3">
      <c r="B1435" s="5" t="s">
        <v>1349</v>
      </c>
      <c r="C1435" s="1">
        <v>8026142</v>
      </c>
      <c r="D1435" s="1">
        <v>45</v>
      </c>
      <c r="E1435" s="1" t="s">
        <v>12</v>
      </c>
      <c r="F1435" s="16">
        <v>45994</v>
      </c>
      <c r="G1435" s="1" t="s">
        <v>1470</v>
      </c>
      <c r="H1435" s="1" t="s">
        <v>1471</v>
      </c>
      <c r="I1435" s="17" t="s">
        <v>1504</v>
      </c>
      <c r="J1435" s="18" t="s">
        <v>21</v>
      </c>
      <c r="K1435" s="19" t="s">
        <v>18</v>
      </c>
      <c r="L1435" s="19" t="s">
        <v>42</v>
      </c>
      <c r="M1435" s="20">
        <v>5</v>
      </c>
      <c r="N1435" s="21">
        <v>24900</v>
      </c>
      <c r="O1435" s="22">
        <v>5</v>
      </c>
      <c r="P1435" s="23">
        <v>118275</v>
      </c>
      <c r="Q1435" s="22">
        <v>4.8</v>
      </c>
      <c r="R1435" s="22">
        <v>20</v>
      </c>
      <c r="S1435" s="23">
        <f>(Table13[[#This Row],[Unit Price]]*Table13[[#This Row],[No.of Units]])*18%</f>
        <v>22410</v>
      </c>
      <c r="T1435" s="22" t="s">
        <v>1507</v>
      </c>
    </row>
    <row r="1436" spans="2:20" x14ac:dyDescent="0.3">
      <c r="B1436" s="5" t="s">
        <v>1350</v>
      </c>
      <c r="C1436" s="1">
        <v>4670066</v>
      </c>
      <c r="D1436" s="1">
        <v>43</v>
      </c>
      <c r="E1436" s="1" t="s">
        <v>12</v>
      </c>
      <c r="F1436" s="16">
        <v>45994</v>
      </c>
      <c r="G1436" s="1" t="s">
        <v>1470</v>
      </c>
      <c r="H1436" s="1" t="s">
        <v>1471</v>
      </c>
      <c r="I1436" s="17" t="s">
        <v>1505</v>
      </c>
      <c r="J1436" s="18" t="s">
        <v>23</v>
      </c>
      <c r="K1436" s="19" t="s">
        <v>14</v>
      </c>
      <c r="L1436" s="19" t="s">
        <v>42</v>
      </c>
      <c r="M1436" s="20">
        <v>6</v>
      </c>
      <c r="N1436" s="21">
        <v>84999</v>
      </c>
      <c r="O1436" s="22">
        <v>12</v>
      </c>
      <c r="P1436" s="23">
        <v>448794.72</v>
      </c>
      <c r="Q1436" s="22">
        <v>4.5</v>
      </c>
      <c r="R1436" s="22">
        <v>20</v>
      </c>
      <c r="S1436" s="23">
        <f>(Table13[[#This Row],[Unit Price]]*Table13[[#This Row],[No.of Units]])*18%</f>
        <v>91798.92</v>
      </c>
      <c r="T1436" s="22" t="s">
        <v>1507</v>
      </c>
    </row>
    <row r="1437" spans="2:20" x14ac:dyDescent="0.3">
      <c r="B1437" s="5" t="s">
        <v>1351</v>
      </c>
      <c r="C1437" s="1">
        <v>8441117</v>
      </c>
      <c r="D1437" s="1">
        <v>18</v>
      </c>
      <c r="E1437" s="1" t="s">
        <v>34</v>
      </c>
      <c r="F1437" s="16">
        <v>45994</v>
      </c>
      <c r="G1437" s="1" t="s">
        <v>1470</v>
      </c>
      <c r="H1437" s="1" t="s">
        <v>1471</v>
      </c>
      <c r="I1437" s="17" t="s">
        <v>1504</v>
      </c>
      <c r="J1437" s="18" t="s">
        <v>25</v>
      </c>
      <c r="K1437" s="19" t="s">
        <v>26</v>
      </c>
      <c r="L1437" s="19" t="s">
        <v>42</v>
      </c>
      <c r="M1437" s="20">
        <v>4</v>
      </c>
      <c r="N1437" s="21">
        <v>69999</v>
      </c>
      <c r="O1437" s="22">
        <v>8</v>
      </c>
      <c r="P1437" s="23">
        <v>257596.32</v>
      </c>
      <c r="Q1437" s="22">
        <v>4.8</v>
      </c>
      <c r="R1437" s="22">
        <v>20</v>
      </c>
      <c r="S1437" s="23">
        <f>(Table13[[#This Row],[Unit Price]]*Table13[[#This Row],[No.of Units]])*18%</f>
        <v>50399.28</v>
      </c>
      <c r="T1437" s="22" t="s">
        <v>1508</v>
      </c>
    </row>
    <row r="1438" spans="2:20" x14ac:dyDescent="0.3">
      <c r="B1438" s="5" t="s">
        <v>1352</v>
      </c>
      <c r="C1438" s="1">
        <v>5347420</v>
      </c>
      <c r="D1438" s="1">
        <v>45</v>
      </c>
      <c r="E1438" s="1" t="s">
        <v>12</v>
      </c>
      <c r="F1438" s="16">
        <v>45994</v>
      </c>
      <c r="G1438" s="1" t="s">
        <v>1470</v>
      </c>
      <c r="H1438" s="1" t="s">
        <v>1471</v>
      </c>
      <c r="I1438" s="17" t="s">
        <v>1503</v>
      </c>
      <c r="J1438" s="18" t="s">
        <v>28</v>
      </c>
      <c r="K1438" s="19" t="s">
        <v>26</v>
      </c>
      <c r="L1438" s="19" t="s">
        <v>42</v>
      </c>
      <c r="M1438" s="20">
        <v>10</v>
      </c>
      <c r="N1438" s="21">
        <v>42999</v>
      </c>
      <c r="O1438" s="22">
        <v>15</v>
      </c>
      <c r="P1438" s="23">
        <v>365491.5</v>
      </c>
      <c r="Q1438" s="22">
        <v>4.5999999999999996</v>
      </c>
      <c r="R1438" s="22">
        <v>20</v>
      </c>
      <c r="S1438" s="23">
        <f>(Table13[[#This Row],[Unit Price]]*Table13[[#This Row],[No.of Units]])*18%</f>
        <v>77398.2</v>
      </c>
      <c r="T1438" s="22" t="s">
        <v>1508</v>
      </c>
    </row>
    <row r="1439" spans="2:20" x14ac:dyDescent="0.3">
      <c r="B1439" s="5" t="s">
        <v>1353</v>
      </c>
      <c r="C1439" s="1">
        <v>2135883</v>
      </c>
      <c r="D1439" s="1">
        <v>24</v>
      </c>
      <c r="E1439" s="1" t="s">
        <v>12</v>
      </c>
      <c r="F1439" s="16">
        <v>45994</v>
      </c>
      <c r="G1439" s="1" t="s">
        <v>1470</v>
      </c>
      <c r="H1439" s="1" t="s">
        <v>1471</v>
      </c>
      <c r="I1439" s="17" t="s">
        <v>1502</v>
      </c>
      <c r="J1439" s="18" t="s">
        <v>13</v>
      </c>
      <c r="K1439" s="19" t="s">
        <v>14</v>
      </c>
      <c r="L1439" s="19" t="s">
        <v>49</v>
      </c>
      <c r="M1439" s="20">
        <v>4</v>
      </c>
      <c r="N1439" s="21">
        <v>99999</v>
      </c>
      <c r="O1439" s="22">
        <v>10</v>
      </c>
      <c r="P1439" s="23">
        <v>359996.4</v>
      </c>
      <c r="Q1439" s="22">
        <v>4.7</v>
      </c>
      <c r="R1439" s="22">
        <v>20</v>
      </c>
      <c r="S1439" s="23">
        <f>(Table13[[#This Row],[Unit Price]]*Table13[[#This Row],[No.of Units]])*18%</f>
        <v>71999.28</v>
      </c>
      <c r="T1439" s="22" t="s">
        <v>1508</v>
      </c>
    </row>
    <row r="1440" spans="2:20" x14ac:dyDescent="0.3">
      <c r="B1440" s="5" t="s">
        <v>1354</v>
      </c>
      <c r="C1440" s="1">
        <v>4711899</v>
      </c>
      <c r="D1440" s="1">
        <v>34</v>
      </c>
      <c r="E1440" s="1" t="s">
        <v>12</v>
      </c>
      <c r="F1440" s="16">
        <v>45994</v>
      </c>
      <c r="G1440" s="1" t="s">
        <v>1470</v>
      </c>
      <c r="H1440" s="1" t="s">
        <v>1471</v>
      </c>
      <c r="I1440" s="17" t="s">
        <v>1503</v>
      </c>
      <c r="J1440" s="18" t="s">
        <v>17</v>
      </c>
      <c r="K1440" s="19" t="s">
        <v>18</v>
      </c>
      <c r="L1440" s="19" t="s">
        <v>49</v>
      </c>
      <c r="M1440" s="20">
        <v>31</v>
      </c>
      <c r="N1440" s="21">
        <v>4999</v>
      </c>
      <c r="O1440" s="22">
        <v>18</v>
      </c>
      <c r="P1440" s="23">
        <v>127074.58</v>
      </c>
      <c r="Q1440" s="22">
        <v>4.4000000000000004</v>
      </c>
      <c r="R1440" s="22">
        <v>20</v>
      </c>
      <c r="S1440" s="23">
        <f>(Table13[[#This Row],[Unit Price]]*Table13[[#This Row],[No.of Units]])*18%</f>
        <v>27894.42</v>
      </c>
      <c r="T1440" s="22" t="s">
        <v>1508</v>
      </c>
    </row>
    <row r="1441" spans="2:20" x14ac:dyDescent="0.3">
      <c r="B1441" s="5" t="s">
        <v>1355</v>
      </c>
      <c r="C1441" s="1">
        <v>1353336</v>
      </c>
      <c r="D1441" s="1">
        <v>70</v>
      </c>
      <c r="E1441" s="1" t="s">
        <v>20</v>
      </c>
      <c r="F1441" s="16">
        <v>45994</v>
      </c>
      <c r="G1441" s="1" t="s">
        <v>1470</v>
      </c>
      <c r="H1441" s="1" t="s">
        <v>1472</v>
      </c>
      <c r="I1441" s="17" t="s">
        <v>1504</v>
      </c>
      <c r="J1441" s="18" t="s">
        <v>21</v>
      </c>
      <c r="K1441" s="19" t="s">
        <v>18</v>
      </c>
      <c r="L1441" s="19" t="s">
        <v>49</v>
      </c>
      <c r="M1441" s="20">
        <v>5</v>
      </c>
      <c r="N1441" s="21">
        <v>24900</v>
      </c>
      <c r="O1441" s="22">
        <v>5</v>
      </c>
      <c r="P1441" s="23">
        <v>118275</v>
      </c>
      <c r="Q1441" s="22">
        <v>4.8</v>
      </c>
      <c r="R1441" s="22">
        <v>20</v>
      </c>
      <c r="S1441" s="23">
        <f>(Table13[[#This Row],[Unit Price]]*Table13[[#This Row],[No.of Units]])*18%</f>
        <v>22410</v>
      </c>
      <c r="T1441" s="22" t="s">
        <v>1508</v>
      </c>
    </row>
    <row r="1442" spans="2:20" x14ac:dyDescent="0.3">
      <c r="B1442" s="5" t="s">
        <v>1356</v>
      </c>
      <c r="C1442" s="1">
        <v>2333018</v>
      </c>
      <c r="D1442" s="1">
        <v>60</v>
      </c>
      <c r="E1442" s="1" t="s">
        <v>20</v>
      </c>
      <c r="F1442" s="16">
        <v>45994</v>
      </c>
      <c r="G1442" s="1" t="s">
        <v>1470</v>
      </c>
      <c r="H1442" s="1" t="s">
        <v>1471</v>
      </c>
      <c r="I1442" s="17" t="s">
        <v>1505</v>
      </c>
      <c r="J1442" s="18" t="s">
        <v>23</v>
      </c>
      <c r="K1442" s="19" t="s">
        <v>14</v>
      </c>
      <c r="L1442" s="19" t="s">
        <v>49</v>
      </c>
      <c r="M1442" s="20">
        <v>2</v>
      </c>
      <c r="N1442" s="21">
        <v>84999</v>
      </c>
      <c r="O1442" s="22">
        <v>12</v>
      </c>
      <c r="P1442" s="23">
        <v>149598.24</v>
      </c>
      <c r="Q1442" s="22">
        <v>4.5</v>
      </c>
      <c r="R1442" s="22">
        <v>20</v>
      </c>
      <c r="S1442" s="23">
        <f>(Table13[[#This Row],[Unit Price]]*Table13[[#This Row],[No.of Units]])*18%</f>
        <v>30599.64</v>
      </c>
      <c r="T1442" s="22" t="s">
        <v>1508</v>
      </c>
    </row>
    <row r="1443" spans="2:20" x14ac:dyDescent="0.3">
      <c r="B1443" s="5" t="s">
        <v>1357</v>
      </c>
      <c r="C1443" s="1">
        <v>7346638</v>
      </c>
      <c r="D1443" s="1">
        <v>29</v>
      </c>
      <c r="E1443" s="1" t="s">
        <v>12</v>
      </c>
      <c r="F1443" s="16">
        <v>45994</v>
      </c>
      <c r="G1443" s="1" t="s">
        <v>1470</v>
      </c>
      <c r="H1443" s="1" t="s">
        <v>1482</v>
      </c>
      <c r="I1443" s="17" t="s">
        <v>1504</v>
      </c>
      <c r="J1443" s="18" t="s">
        <v>25</v>
      </c>
      <c r="K1443" s="19" t="s">
        <v>26</v>
      </c>
      <c r="L1443" s="19" t="s">
        <v>49</v>
      </c>
      <c r="M1443" s="20">
        <v>5</v>
      </c>
      <c r="N1443" s="21">
        <v>69999</v>
      </c>
      <c r="O1443" s="22">
        <v>8</v>
      </c>
      <c r="P1443" s="23">
        <v>321995.40000000002</v>
      </c>
      <c r="Q1443" s="22">
        <v>4.8</v>
      </c>
      <c r="R1443" s="22">
        <v>20</v>
      </c>
      <c r="S1443" s="23">
        <f>(Table13[[#This Row],[Unit Price]]*Table13[[#This Row],[No.of Units]])*18%</f>
        <v>62999.1</v>
      </c>
      <c r="T1443" s="22" t="s">
        <v>1508</v>
      </c>
    </row>
    <row r="1444" spans="2:20" x14ac:dyDescent="0.3">
      <c r="B1444" s="5" t="s">
        <v>1358</v>
      </c>
      <c r="C1444" s="1">
        <v>8672033</v>
      </c>
      <c r="D1444" s="1">
        <v>30</v>
      </c>
      <c r="E1444" s="1" t="s">
        <v>12</v>
      </c>
      <c r="F1444" s="16">
        <v>45994</v>
      </c>
      <c r="G1444" s="1" t="s">
        <v>1470</v>
      </c>
      <c r="H1444" s="1" t="s">
        <v>1472</v>
      </c>
      <c r="I1444" s="17" t="s">
        <v>1503</v>
      </c>
      <c r="J1444" s="18" t="s">
        <v>28</v>
      </c>
      <c r="K1444" s="19" t="s">
        <v>26</v>
      </c>
      <c r="L1444" s="19" t="s">
        <v>49</v>
      </c>
      <c r="M1444" s="20">
        <v>11</v>
      </c>
      <c r="N1444" s="21">
        <v>42999</v>
      </c>
      <c r="O1444" s="22">
        <v>15</v>
      </c>
      <c r="P1444" s="23">
        <v>402040.65</v>
      </c>
      <c r="Q1444" s="22">
        <v>4.5999999999999996</v>
      </c>
      <c r="R1444" s="22">
        <v>20</v>
      </c>
      <c r="S1444" s="23">
        <f>(Table13[[#This Row],[Unit Price]]*Table13[[#This Row],[No.of Units]])*18%</f>
        <v>85138.02</v>
      </c>
      <c r="T1444" s="22" t="s">
        <v>1508</v>
      </c>
    </row>
    <row r="1445" spans="2:20" x14ac:dyDescent="0.3">
      <c r="B1445" s="5" t="s">
        <v>1359</v>
      </c>
      <c r="C1445" s="1">
        <v>9222012</v>
      </c>
      <c r="D1445" s="1">
        <v>44</v>
      </c>
      <c r="E1445" s="1" t="s">
        <v>12</v>
      </c>
      <c r="F1445" s="16">
        <v>46001</v>
      </c>
      <c r="G1445" s="1" t="s">
        <v>1470</v>
      </c>
      <c r="H1445" s="1" t="s">
        <v>1482</v>
      </c>
      <c r="I1445" s="17" t="s">
        <v>1502</v>
      </c>
      <c r="J1445" s="18" t="s">
        <v>13</v>
      </c>
      <c r="K1445" s="19" t="s">
        <v>14</v>
      </c>
      <c r="L1445" s="19" t="s">
        <v>15</v>
      </c>
      <c r="M1445" s="20">
        <v>6</v>
      </c>
      <c r="N1445" s="21">
        <v>99999</v>
      </c>
      <c r="O1445" s="22">
        <v>10</v>
      </c>
      <c r="P1445" s="23">
        <v>539994.6</v>
      </c>
      <c r="Q1445" s="22">
        <v>4.7</v>
      </c>
      <c r="R1445" s="22">
        <v>20</v>
      </c>
      <c r="S1445" s="23">
        <f>(Table13[[#This Row],[Unit Price]]*Table13[[#This Row],[No.of Units]])*18%</f>
        <v>107998.92</v>
      </c>
      <c r="T1445" s="22" t="s">
        <v>1508</v>
      </c>
    </row>
    <row r="1446" spans="2:20" x14ac:dyDescent="0.3">
      <c r="B1446" s="5" t="s">
        <v>1360</v>
      </c>
      <c r="C1446" s="1">
        <v>2256348</v>
      </c>
      <c r="D1446" s="1">
        <v>32</v>
      </c>
      <c r="E1446" s="1" t="s">
        <v>12</v>
      </c>
      <c r="F1446" s="16">
        <v>46001</v>
      </c>
      <c r="G1446" s="1" t="s">
        <v>1470</v>
      </c>
      <c r="H1446" s="1" t="s">
        <v>1480</v>
      </c>
      <c r="I1446" s="17" t="s">
        <v>1503</v>
      </c>
      <c r="J1446" s="18" t="s">
        <v>17</v>
      </c>
      <c r="K1446" s="19" t="s">
        <v>18</v>
      </c>
      <c r="L1446" s="19" t="s">
        <v>15</v>
      </c>
      <c r="M1446" s="20">
        <v>57</v>
      </c>
      <c r="N1446" s="21">
        <v>4999</v>
      </c>
      <c r="O1446" s="22">
        <v>18</v>
      </c>
      <c r="P1446" s="23">
        <v>233653.26</v>
      </c>
      <c r="Q1446" s="22">
        <v>4.4000000000000004</v>
      </c>
      <c r="R1446" s="22">
        <v>20</v>
      </c>
      <c r="S1446" s="23">
        <f>(Table13[[#This Row],[Unit Price]]*Table13[[#This Row],[No.of Units]])*18%</f>
        <v>51289.74</v>
      </c>
      <c r="T1446" s="22" t="s">
        <v>1508</v>
      </c>
    </row>
    <row r="1447" spans="2:20" x14ac:dyDescent="0.3">
      <c r="B1447" s="5" t="s">
        <v>1361</v>
      </c>
      <c r="C1447" s="1">
        <v>7378656</v>
      </c>
      <c r="D1447" s="1">
        <v>40</v>
      </c>
      <c r="E1447" s="1" t="s">
        <v>12</v>
      </c>
      <c r="F1447" s="16">
        <v>46001</v>
      </c>
      <c r="G1447" s="1" t="s">
        <v>1470</v>
      </c>
      <c r="H1447" s="1" t="s">
        <v>1471</v>
      </c>
      <c r="I1447" s="17" t="s">
        <v>1504</v>
      </c>
      <c r="J1447" s="18" t="s">
        <v>21</v>
      </c>
      <c r="K1447" s="19" t="s">
        <v>18</v>
      </c>
      <c r="L1447" s="19" t="s">
        <v>15</v>
      </c>
      <c r="M1447" s="20">
        <v>10</v>
      </c>
      <c r="N1447" s="21">
        <v>24900</v>
      </c>
      <c r="O1447" s="22">
        <v>5</v>
      </c>
      <c r="P1447" s="23">
        <v>236550</v>
      </c>
      <c r="Q1447" s="22">
        <v>4.8</v>
      </c>
      <c r="R1447" s="22">
        <v>20</v>
      </c>
      <c r="S1447" s="23">
        <f>(Table13[[#This Row],[Unit Price]]*Table13[[#This Row],[No.of Units]])*18%</f>
        <v>44820</v>
      </c>
      <c r="T1447" s="22" t="s">
        <v>1508</v>
      </c>
    </row>
    <row r="1448" spans="2:20" x14ac:dyDescent="0.3">
      <c r="B1448" s="5" t="s">
        <v>1362</v>
      </c>
      <c r="C1448" s="1">
        <v>303558</v>
      </c>
      <c r="D1448" s="1">
        <v>42</v>
      </c>
      <c r="E1448" s="1" t="s">
        <v>12</v>
      </c>
      <c r="F1448" s="16">
        <v>46001</v>
      </c>
      <c r="G1448" s="1" t="s">
        <v>1470</v>
      </c>
      <c r="H1448" s="1" t="s">
        <v>1471</v>
      </c>
      <c r="I1448" s="17" t="s">
        <v>1505</v>
      </c>
      <c r="J1448" s="18" t="s">
        <v>23</v>
      </c>
      <c r="K1448" s="19" t="s">
        <v>14</v>
      </c>
      <c r="L1448" s="19" t="s">
        <v>15</v>
      </c>
      <c r="M1448" s="20">
        <v>5</v>
      </c>
      <c r="N1448" s="21">
        <v>84999</v>
      </c>
      <c r="O1448" s="22">
        <v>12</v>
      </c>
      <c r="P1448" s="23">
        <v>373995.6</v>
      </c>
      <c r="Q1448" s="22">
        <v>4.5</v>
      </c>
      <c r="R1448" s="22">
        <v>20</v>
      </c>
      <c r="S1448" s="23">
        <f>(Table13[[#This Row],[Unit Price]]*Table13[[#This Row],[No.of Units]])*18%</f>
        <v>76499.099999999991</v>
      </c>
      <c r="T1448" s="22" t="s">
        <v>1507</v>
      </c>
    </row>
    <row r="1449" spans="2:20" x14ac:dyDescent="0.3">
      <c r="B1449" s="5" t="s">
        <v>1363</v>
      </c>
      <c r="C1449" s="1">
        <v>8358105</v>
      </c>
      <c r="D1449" s="1">
        <v>44</v>
      </c>
      <c r="E1449" s="1" t="s">
        <v>12</v>
      </c>
      <c r="F1449" s="16">
        <v>46001</v>
      </c>
      <c r="G1449" s="1" t="s">
        <v>1474</v>
      </c>
      <c r="H1449" s="1" t="s">
        <v>1482</v>
      </c>
      <c r="I1449" s="17" t="s">
        <v>1504</v>
      </c>
      <c r="J1449" s="18" t="s">
        <v>25</v>
      </c>
      <c r="K1449" s="19" t="s">
        <v>26</v>
      </c>
      <c r="L1449" s="19" t="s">
        <v>15</v>
      </c>
      <c r="M1449" s="20">
        <v>5</v>
      </c>
      <c r="N1449" s="21">
        <v>69999</v>
      </c>
      <c r="O1449" s="22">
        <v>8</v>
      </c>
      <c r="P1449" s="23">
        <v>321995.40000000002</v>
      </c>
      <c r="Q1449" s="22">
        <v>4.8</v>
      </c>
      <c r="R1449" s="22">
        <v>20</v>
      </c>
      <c r="S1449" s="23">
        <f>(Table13[[#This Row],[Unit Price]]*Table13[[#This Row],[No.of Units]])*18%</f>
        <v>62999.1</v>
      </c>
      <c r="T1449" s="22" t="s">
        <v>1507</v>
      </c>
    </row>
    <row r="1450" spans="2:20" x14ac:dyDescent="0.3">
      <c r="B1450" s="5" t="s">
        <v>1364</v>
      </c>
      <c r="C1450" s="1">
        <v>3023807</v>
      </c>
      <c r="D1450" s="1">
        <v>21</v>
      </c>
      <c r="E1450" s="1" t="s">
        <v>12</v>
      </c>
      <c r="F1450" s="16">
        <v>46001</v>
      </c>
      <c r="G1450" s="1" t="s">
        <v>1470</v>
      </c>
      <c r="H1450" s="1" t="s">
        <v>1471</v>
      </c>
      <c r="I1450" s="17" t="s">
        <v>1503</v>
      </c>
      <c r="J1450" s="18" t="s">
        <v>28</v>
      </c>
      <c r="K1450" s="19" t="s">
        <v>26</v>
      </c>
      <c r="L1450" s="19" t="s">
        <v>15</v>
      </c>
      <c r="M1450" s="20">
        <v>8</v>
      </c>
      <c r="N1450" s="21">
        <v>42999</v>
      </c>
      <c r="O1450" s="22">
        <v>15</v>
      </c>
      <c r="P1450" s="23">
        <v>292393.2</v>
      </c>
      <c r="Q1450" s="22">
        <v>4.5999999999999996</v>
      </c>
      <c r="R1450" s="22">
        <v>20</v>
      </c>
      <c r="S1450" s="23">
        <f>(Table13[[#This Row],[Unit Price]]*Table13[[#This Row],[No.of Units]])*18%</f>
        <v>61918.559999999998</v>
      </c>
      <c r="T1450" s="22" t="s">
        <v>1508</v>
      </c>
    </row>
    <row r="1451" spans="2:20" x14ac:dyDescent="0.3">
      <c r="B1451" s="5" t="s">
        <v>1365</v>
      </c>
      <c r="C1451" s="1">
        <v>8951738</v>
      </c>
      <c r="D1451" s="1">
        <v>28</v>
      </c>
      <c r="E1451" s="1" t="s">
        <v>12</v>
      </c>
      <c r="F1451" s="16">
        <v>46001</v>
      </c>
      <c r="G1451" s="1" t="s">
        <v>1470</v>
      </c>
      <c r="H1451" s="1" t="s">
        <v>1480</v>
      </c>
      <c r="I1451" s="17" t="s">
        <v>1502</v>
      </c>
      <c r="J1451" s="18" t="s">
        <v>13</v>
      </c>
      <c r="K1451" s="19" t="s">
        <v>14</v>
      </c>
      <c r="L1451" s="19" t="s">
        <v>29</v>
      </c>
      <c r="M1451" s="20">
        <v>5</v>
      </c>
      <c r="N1451" s="21">
        <v>99999</v>
      </c>
      <c r="O1451" s="22">
        <v>10</v>
      </c>
      <c r="P1451" s="23">
        <v>449995.5</v>
      </c>
      <c r="Q1451" s="22">
        <v>4.7</v>
      </c>
      <c r="R1451" s="22">
        <v>20</v>
      </c>
      <c r="S1451" s="23">
        <f>(Table13[[#This Row],[Unit Price]]*Table13[[#This Row],[No.of Units]])*18%</f>
        <v>89999.099999999991</v>
      </c>
      <c r="T1451" s="22" t="s">
        <v>1507</v>
      </c>
    </row>
    <row r="1452" spans="2:20" x14ac:dyDescent="0.3">
      <c r="B1452" s="5" t="s">
        <v>1365</v>
      </c>
      <c r="C1452" s="1">
        <v>8951738</v>
      </c>
      <c r="D1452" s="1">
        <v>65</v>
      </c>
      <c r="E1452" s="1" t="s">
        <v>20</v>
      </c>
      <c r="F1452" s="16">
        <v>46001</v>
      </c>
      <c r="G1452" s="1" t="s">
        <v>1470</v>
      </c>
      <c r="H1452" s="1" t="s">
        <v>1471</v>
      </c>
      <c r="I1452" s="17" t="s">
        <v>1503</v>
      </c>
      <c r="J1452" s="18" t="s">
        <v>17</v>
      </c>
      <c r="K1452" s="19" t="s">
        <v>18</v>
      </c>
      <c r="L1452" s="19" t="s">
        <v>29</v>
      </c>
      <c r="M1452" s="20">
        <v>67</v>
      </c>
      <c r="N1452" s="21">
        <v>4999</v>
      </c>
      <c r="O1452" s="22">
        <v>18</v>
      </c>
      <c r="P1452" s="23">
        <v>274645.06</v>
      </c>
      <c r="Q1452" s="22">
        <v>4.4000000000000004</v>
      </c>
      <c r="R1452" s="22">
        <v>20</v>
      </c>
      <c r="S1452" s="23">
        <f>(Table13[[#This Row],[Unit Price]]*Table13[[#This Row],[No.of Units]])*18%</f>
        <v>60287.939999999995</v>
      </c>
      <c r="T1452" s="22" t="s">
        <v>1508</v>
      </c>
    </row>
    <row r="1453" spans="2:20" x14ac:dyDescent="0.3">
      <c r="B1453" s="5" t="s">
        <v>1366</v>
      </c>
      <c r="C1453" s="1">
        <v>6421898</v>
      </c>
      <c r="D1453" s="1">
        <v>41</v>
      </c>
      <c r="E1453" s="1" t="s">
        <v>12</v>
      </c>
      <c r="F1453" s="16">
        <v>46001</v>
      </c>
      <c r="G1453" s="1" t="s">
        <v>1470</v>
      </c>
      <c r="H1453" s="1" t="s">
        <v>1482</v>
      </c>
      <c r="I1453" s="17" t="s">
        <v>1504</v>
      </c>
      <c r="J1453" s="18" t="s">
        <v>21</v>
      </c>
      <c r="K1453" s="19" t="s">
        <v>18</v>
      </c>
      <c r="L1453" s="19" t="s">
        <v>29</v>
      </c>
      <c r="M1453" s="20">
        <v>23</v>
      </c>
      <c r="N1453" s="21">
        <v>24900</v>
      </c>
      <c r="O1453" s="22">
        <v>5</v>
      </c>
      <c r="P1453" s="23">
        <v>544065</v>
      </c>
      <c r="Q1453" s="22">
        <v>4.8</v>
      </c>
      <c r="R1453" s="22">
        <v>20</v>
      </c>
      <c r="S1453" s="23">
        <f>(Table13[[#This Row],[Unit Price]]*Table13[[#This Row],[No.of Units]])*18%</f>
        <v>103086</v>
      </c>
      <c r="T1453" s="22" t="s">
        <v>1508</v>
      </c>
    </row>
    <row r="1454" spans="2:20" x14ac:dyDescent="0.3">
      <c r="B1454" s="5" t="s">
        <v>1367</v>
      </c>
      <c r="C1454" s="1">
        <v>366316</v>
      </c>
      <c r="D1454" s="1">
        <v>66</v>
      </c>
      <c r="E1454" s="1" t="s">
        <v>20</v>
      </c>
      <c r="F1454" s="16">
        <v>46001</v>
      </c>
      <c r="G1454" s="1" t="s">
        <v>1470</v>
      </c>
      <c r="H1454" s="1" t="s">
        <v>1471</v>
      </c>
      <c r="I1454" s="17" t="s">
        <v>1505</v>
      </c>
      <c r="J1454" s="18" t="s">
        <v>23</v>
      </c>
      <c r="K1454" s="19" t="s">
        <v>14</v>
      </c>
      <c r="L1454" s="19" t="s">
        <v>29</v>
      </c>
      <c r="M1454" s="20">
        <v>5</v>
      </c>
      <c r="N1454" s="21">
        <v>84999</v>
      </c>
      <c r="O1454" s="22">
        <v>12</v>
      </c>
      <c r="P1454" s="23">
        <v>373995.6</v>
      </c>
      <c r="Q1454" s="22">
        <v>4.5</v>
      </c>
      <c r="R1454" s="22">
        <v>20</v>
      </c>
      <c r="S1454" s="23">
        <f>(Table13[[#This Row],[Unit Price]]*Table13[[#This Row],[No.of Units]])*18%</f>
        <v>76499.099999999991</v>
      </c>
      <c r="T1454" s="22" t="s">
        <v>1508</v>
      </c>
    </row>
    <row r="1455" spans="2:20" x14ac:dyDescent="0.3">
      <c r="B1455" s="5" t="s">
        <v>1368</v>
      </c>
      <c r="C1455" s="1">
        <v>881227</v>
      </c>
      <c r="D1455" s="1">
        <v>23</v>
      </c>
      <c r="E1455" s="1" t="s">
        <v>12</v>
      </c>
      <c r="F1455" s="16">
        <v>46001</v>
      </c>
      <c r="G1455" s="1" t="s">
        <v>1470</v>
      </c>
      <c r="H1455" s="1" t="s">
        <v>1472</v>
      </c>
      <c r="I1455" s="17" t="s">
        <v>1504</v>
      </c>
      <c r="J1455" s="18" t="s">
        <v>25</v>
      </c>
      <c r="K1455" s="19" t="s">
        <v>26</v>
      </c>
      <c r="L1455" s="19" t="s">
        <v>29</v>
      </c>
      <c r="M1455" s="20">
        <v>6</v>
      </c>
      <c r="N1455" s="21">
        <v>69999</v>
      </c>
      <c r="O1455" s="22">
        <v>8</v>
      </c>
      <c r="P1455" s="23">
        <v>386394.48</v>
      </c>
      <c r="Q1455" s="22">
        <v>4.8</v>
      </c>
      <c r="R1455" s="22">
        <v>20</v>
      </c>
      <c r="S1455" s="23">
        <f>(Table13[[#This Row],[Unit Price]]*Table13[[#This Row],[No.of Units]])*18%</f>
        <v>75598.92</v>
      </c>
      <c r="T1455" s="22" t="s">
        <v>1508</v>
      </c>
    </row>
    <row r="1456" spans="2:20" x14ac:dyDescent="0.3">
      <c r="B1456" s="5" t="s">
        <v>1369</v>
      </c>
      <c r="C1456" s="1">
        <v>3188067</v>
      </c>
      <c r="D1456" s="1">
        <v>29</v>
      </c>
      <c r="E1456" s="1" t="s">
        <v>12</v>
      </c>
      <c r="F1456" s="16">
        <v>46001</v>
      </c>
      <c r="G1456" s="1" t="s">
        <v>1470</v>
      </c>
      <c r="H1456" s="1" t="s">
        <v>1482</v>
      </c>
      <c r="I1456" s="17" t="s">
        <v>1503</v>
      </c>
      <c r="J1456" s="18" t="s">
        <v>28</v>
      </c>
      <c r="K1456" s="19" t="s">
        <v>26</v>
      </c>
      <c r="L1456" s="19" t="s">
        <v>29</v>
      </c>
      <c r="M1456" s="20">
        <v>8</v>
      </c>
      <c r="N1456" s="21">
        <v>42999</v>
      </c>
      <c r="O1456" s="22">
        <v>15</v>
      </c>
      <c r="P1456" s="23">
        <v>292393.2</v>
      </c>
      <c r="Q1456" s="22">
        <v>4.5999999999999996</v>
      </c>
      <c r="R1456" s="22">
        <v>20</v>
      </c>
      <c r="S1456" s="23">
        <f>(Table13[[#This Row],[Unit Price]]*Table13[[#This Row],[No.of Units]])*18%</f>
        <v>61918.559999999998</v>
      </c>
      <c r="T1456" s="22" t="s">
        <v>1508</v>
      </c>
    </row>
    <row r="1457" spans="2:20" x14ac:dyDescent="0.3">
      <c r="B1457" s="5" t="s">
        <v>1370</v>
      </c>
      <c r="C1457" s="1">
        <v>3062922</v>
      </c>
      <c r="D1457" s="1">
        <v>37</v>
      </c>
      <c r="E1457" s="1" t="s">
        <v>12</v>
      </c>
      <c r="F1457" s="16">
        <v>46001</v>
      </c>
      <c r="G1457" s="1" t="s">
        <v>1470</v>
      </c>
      <c r="H1457" s="1" t="s">
        <v>1480</v>
      </c>
      <c r="I1457" s="17" t="s">
        <v>1502</v>
      </c>
      <c r="J1457" s="18" t="s">
        <v>13</v>
      </c>
      <c r="K1457" s="19" t="s">
        <v>14</v>
      </c>
      <c r="L1457" s="19" t="s">
        <v>35</v>
      </c>
      <c r="M1457" s="20">
        <v>6</v>
      </c>
      <c r="N1457" s="21">
        <v>99999</v>
      </c>
      <c r="O1457" s="22">
        <v>10</v>
      </c>
      <c r="P1457" s="23">
        <v>539994.6</v>
      </c>
      <c r="Q1457" s="22">
        <v>4.7</v>
      </c>
      <c r="R1457" s="22">
        <v>20</v>
      </c>
      <c r="S1457" s="23">
        <f>(Table13[[#This Row],[Unit Price]]*Table13[[#This Row],[No.of Units]])*18%</f>
        <v>107998.92</v>
      </c>
      <c r="T1457" s="22" t="s">
        <v>1507</v>
      </c>
    </row>
    <row r="1458" spans="2:20" x14ac:dyDescent="0.3">
      <c r="B1458" s="5" t="s">
        <v>1371</v>
      </c>
      <c r="C1458" s="1">
        <v>9851273</v>
      </c>
      <c r="D1458" s="1">
        <v>46</v>
      </c>
      <c r="E1458" s="1" t="s">
        <v>12</v>
      </c>
      <c r="F1458" s="16">
        <v>46001</v>
      </c>
      <c r="G1458" s="1" t="s">
        <v>1470</v>
      </c>
      <c r="H1458" s="1" t="s">
        <v>1480</v>
      </c>
      <c r="I1458" s="17" t="s">
        <v>1503</v>
      </c>
      <c r="J1458" s="18" t="s">
        <v>17</v>
      </c>
      <c r="K1458" s="19" t="s">
        <v>18</v>
      </c>
      <c r="L1458" s="19" t="s">
        <v>35</v>
      </c>
      <c r="M1458" s="20">
        <v>41</v>
      </c>
      <c r="N1458" s="21">
        <v>4999</v>
      </c>
      <c r="O1458" s="22">
        <v>18</v>
      </c>
      <c r="P1458" s="23">
        <v>168066.38</v>
      </c>
      <c r="Q1458" s="22">
        <v>4.4000000000000004</v>
      </c>
      <c r="R1458" s="22">
        <v>20</v>
      </c>
      <c r="S1458" s="23">
        <f>(Table13[[#This Row],[Unit Price]]*Table13[[#This Row],[No.of Units]])*18%</f>
        <v>36892.619999999995</v>
      </c>
      <c r="T1458" s="22" t="s">
        <v>1507</v>
      </c>
    </row>
    <row r="1459" spans="2:20" x14ac:dyDescent="0.3">
      <c r="B1459" s="5" t="s">
        <v>1372</v>
      </c>
      <c r="C1459" s="1">
        <v>1252191</v>
      </c>
      <c r="D1459" s="1">
        <v>60</v>
      </c>
      <c r="E1459" s="1" t="s">
        <v>20</v>
      </c>
      <c r="F1459" s="16">
        <v>46001</v>
      </c>
      <c r="G1459" s="1" t="s">
        <v>1470</v>
      </c>
      <c r="H1459" s="1" t="s">
        <v>1482</v>
      </c>
      <c r="I1459" s="17" t="s">
        <v>1504</v>
      </c>
      <c r="J1459" s="18" t="s">
        <v>21</v>
      </c>
      <c r="K1459" s="19" t="s">
        <v>18</v>
      </c>
      <c r="L1459" s="19" t="s">
        <v>35</v>
      </c>
      <c r="M1459" s="20">
        <v>5</v>
      </c>
      <c r="N1459" s="21">
        <v>24900</v>
      </c>
      <c r="O1459" s="22">
        <v>5</v>
      </c>
      <c r="P1459" s="23">
        <v>118275</v>
      </c>
      <c r="Q1459" s="22">
        <v>4.8</v>
      </c>
      <c r="R1459" s="22">
        <v>20</v>
      </c>
      <c r="S1459" s="23">
        <f>(Table13[[#This Row],[Unit Price]]*Table13[[#This Row],[No.of Units]])*18%</f>
        <v>22410</v>
      </c>
      <c r="T1459" s="22" t="s">
        <v>1507</v>
      </c>
    </row>
    <row r="1460" spans="2:20" x14ac:dyDescent="0.3">
      <c r="B1460" s="5" t="s">
        <v>1373</v>
      </c>
      <c r="C1460" s="1">
        <v>801054</v>
      </c>
      <c r="D1460" s="1">
        <v>38</v>
      </c>
      <c r="E1460" s="1" t="s">
        <v>12</v>
      </c>
      <c r="F1460" s="16">
        <v>46001</v>
      </c>
      <c r="G1460" s="1" t="s">
        <v>1470</v>
      </c>
      <c r="H1460" s="1" t="s">
        <v>1481</v>
      </c>
      <c r="I1460" s="17" t="s">
        <v>1505</v>
      </c>
      <c r="J1460" s="18" t="s">
        <v>23</v>
      </c>
      <c r="K1460" s="19" t="s">
        <v>14</v>
      </c>
      <c r="L1460" s="19" t="s">
        <v>35</v>
      </c>
      <c r="M1460" s="20">
        <v>6</v>
      </c>
      <c r="N1460" s="21">
        <v>84999</v>
      </c>
      <c r="O1460" s="22">
        <v>12</v>
      </c>
      <c r="P1460" s="23">
        <v>448794.72</v>
      </c>
      <c r="Q1460" s="22">
        <v>4.5</v>
      </c>
      <c r="R1460" s="22">
        <v>20</v>
      </c>
      <c r="S1460" s="23">
        <f>(Table13[[#This Row],[Unit Price]]*Table13[[#This Row],[No.of Units]])*18%</f>
        <v>91798.92</v>
      </c>
      <c r="T1460" s="22" t="s">
        <v>1508</v>
      </c>
    </row>
    <row r="1461" spans="2:20" x14ac:dyDescent="0.3">
      <c r="B1461" s="5" t="s">
        <v>1374</v>
      </c>
      <c r="C1461" s="1">
        <v>7262078</v>
      </c>
      <c r="D1461" s="1">
        <v>43</v>
      </c>
      <c r="E1461" s="1" t="s">
        <v>12</v>
      </c>
      <c r="F1461" s="16">
        <v>46001</v>
      </c>
      <c r="G1461" s="1" t="s">
        <v>1470</v>
      </c>
      <c r="H1461" s="1" t="s">
        <v>1482</v>
      </c>
      <c r="I1461" s="17" t="s">
        <v>1504</v>
      </c>
      <c r="J1461" s="18" t="s">
        <v>25</v>
      </c>
      <c r="K1461" s="19" t="s">
        <v>26</v>
      </c>
      <c r="L1461" s="19" t="s">
        <v>35</v>
      </c>
      <c r="M1461" s="20">
        <v>4</v>
      </c>
      <c r="N1461" s="21">
        <v>69999</v>
      </c>
      <c r="O1461" s="22">
        <v>8</v>
      </c>
      <c r="P1461" s="23">
        <v>257596.32</v>
      </c>
      <c r="Q1461" s="22">
        <v>4.8</v>
      </c>
      <c r="R1461" s="22">
        <v>20</v>
      </c>
      <c r="S1461" s="23">
        <f>(Table13[[#This Row],[Unit Price]]*Table13[[#This Row],[No.of Units]])*18%</f>
        <v>50399.28</v>
      </c>
      <c r="T1461" s="22" t="s">
        <v>1507</v>
      </c>
    </row>
    <row r="1462" spans="2:20" x14ac:dyDescent="0.3">
      <c r="B1462" s="5" t="s">
        <v>1375</v>
      </c>
      <c r="C1462" s="1">
        <v>6529033</v>
      </c>
      <c r="D1462" s="1">
        <v>26</v>
      </c>
      <c r="E1462" s="1" t="s">
        <v>12</v>
      </c>
      <c r="F1462" s="16">
        <v>46001</v>
      </c>
      <c r="G1462" s="1" t="s">
        <v>1470</v>
      </c>
      <c r="H1462" s="1" t="s">
        <v>1472</v>
      </c>
      <c r="I1462" s="17" t="s">
        <v>1503</v>
      </c>
      <c r="J1462" s="18" t="s">
        <v>28</v>
      </c>
      <c r="K1462" s="19" t="s">
        <v>26</v>
      </c>
      <c r="L1462" s="19" t="s">
        <v>35</v>
      </c>
      <c r="M1462" s="20">
        <v>5</v>
      </c>
      <c r="N1462" s="21">
        <v>42999</v>
      </c>
      <c r="O1462" s="22">
        <v>15</v>
      </c>
      <c r="P1462" s="23">
        <v>182745.75</v>
      </c>
      <c r="Q1462" s="22">
        <v>4.5999999999999996</v>
      </c>
      <c r="R1462" s="22">
        <v>20</v>
      </c>
      <c r="S1462" s="23">
        <f>(Table13[[#This Row],[Unit Price]]*Table13[[#This Row],[No.of Units]])*18%</f>
        <v>38699.1</v>
      </c>
      <c r="T1462" s="22" t="s">
        <v>1507</v>
      </c>
    </row>
    <row r="1463" spans="2:20" x14ac:dyDescent="0.3">
      <c r="B1463" s="5" t="s">
        <v>1376</v>
      </c>
      <c r="C1463" s="1">
        <v>8454722</v>
      </c>
      <c r="D1463" s="1">
        <v>30</v>
      </c>
      <c r="E1463" s="1" t="s">
        <v>12</v>
      </c>
      <c r="F1463" s="16">
        <v>46001</v>
      </c>
      <c r="G1463" s="1" t="s">
        <v>1470</v>
      </c>
      <c r="H1463" s="1" t="s">
        <v>1480</v>
      </c>
      <c r="I1463" s="17" t="s">
        <v>1502</v>
      </c>
      <c r="J1463" s="18" t="s">
        <v>13</v>
      </c>
      <c r="K1463" s="19" t="s">
        <v>14</v>
      </c>
      <c r="L1463" s="19" t="s">
        <v>42</v>
      </c>
      <c r="M1463" s="20">
        <v>6</v>
      </c>
      <c r="N1463" s="21">
        <v>99999</v>
      </c>
      <c r="O1463" s="22">
        <v>10</v>
      </c>
      <c r="P1463" s="23">
        <v>539994.6</v>
      </c>
      <c r="Q1463" s="22">
        <v>4.7</v>
      </c>
      <c r="R1463" s="22">
        <v>20</v>
      </c>
      <c r="S1463" s="23">
        <f>(Table13[[#This Row],[Unit Price]]*Table13[[#This Row],[No.of Units]])*18%</f>
        <v>107998.92</v>
      </c>
      <c r="T1463" s="22" t="s">
        <v>1508</v>
      </c>
    </row>
    <row r="1464" spans="2:20" x14ac:dyDescent="0.3">
      <c r="B1464" s="5" t="s">
        <v>1377</v>
      </c>
      <c r="C1464" s="1">
        <v>8944992</v>
      </c>
      <c r="D1464" s="1">
        <v>36</v>
      </c>
      <c r="E1464" s="1" t="s">
        <v>12</v>
      </c>
      <c r="F1464" s="16">
        <v>46001</v>
      </c>
      <c r="G1464" s="1" t="s">
        <v>1470</v>
      </c>
      <c r="H1464" s="1" t="s">
        <v>1471</v>
      </c>
      <c r="I1464" s="17" t="s">
        <v>1503</v>
      </c>
      <c r="J1464" s="18" t="s">
        <v>17</v>
      </c>
      <c r="K1464" s="19" t="s">
        <v>18</v>
      </c>
      <c r="L1464" s="19" t="s">
        <v>42</v>
      </c>
      <c r="M1464" s="20">
        <v>50</v>
      </c>
      <c r="N1464" s="21">
        <v>4999</v>
      </c>
      <c r="O1464" s="22">
        <v>18</v>
      </c>
      <c r="P1464" s="23">
        <v>204959</v>
      </c>
      <c r="Q1464" s="22">
        <v>4.4000000000000004</v>
      </c>
      <c r="R1464" s="22">
        <v>20</v>
      </c>
      <c r="S1464" s="23">
        <f>(Table13[[#This Row],[Unit Price]]*Table13[[#This Row],[No.of Units]])*18%</f>
        <v>44991</v>
      </c>
      <c r="T1464" s="22" t="s">
        <v>1508</v>
      </c>
    </row>
    <row r="1465" spans="2:20" x14ac:dyDescent="0.3">
      <c r="B1465" s="5" t="s">
        <v>1378</v>
      </c>
      <c r="C1465" s="1">
        <v>7298767</v>
      </c>
      <c r="D1465" s="1">
        <v>33</v>
      </c>
      <c r="E1465" s="1" t="s">
        <v>12</v>
      </c>
      <c r="F1465" s="16">
        <v>46001</v>
      </c>
      <c r="G1465" s="1" t="s">
        <v>1470</v>
      </c>
      <c r="H1465" s="1" t="s">
        <v>1482</v>
      </c>
      <c r="I1465" s="17" t="s">
        <v>1504</v>
      </c>
      <c r="J1465" s="18" t="s">
        <v>21</v>
      </c>
      <c r="K1465" s="19" t="s">
        <v>18</v>
      </c>
      <c r="L1465" s="19" t="s">
        <v>42</v>
      </c>
      <c r="M1465" s="20">
        <v>5</v>
      </c>
      <c r="N1465" s="21">
        <v>24900</v>
      </c>
      <c r="O1465" s="22">
        <v>5</v>
      </c>
      <c r="P1465" s="23">
        <v>118275</v>
      </c>
      <c r="Q1465" s="22">
        <v>4.8</v>
      </c>
      <c r="R1465" s="22">
        <v>20</v>
      </c>
      <c r="S1465" s="23">
        <f>(Table13[[#This Row],[Unit Price]]*Table13[[#This Row],[No.of Units]])*18%</f>
        <v>22410</v>
      </c>
      <c r="T1465" s="22" t="s">
        <v>1508</v>
      </c>
    </row>
    <row r="1466" spans="2:20" x14ac:dyDescent="0.3">
      <c r="B1466" s="5" t="s">
        <v>1379</v>
      </c>
      <c r="C1466" s="1">
        <v>1642344</v>
      </c>
      <c r="D1466" s="1">
        <v>31</v>
      </c>
      <c r="E1466" s="1" t="s">
        <v>12</v>
      </c>
      <c r="F1466" s="16">
        <v>46001</v>
      </c>
      <c r="G1466" s="1" t="s">
        <v>1470</v>
      </c>
      <c r="H1466" s="1" t="s">
        <v>1483</v>
      </c>
      <c r="I1466" s="17" t="s">
        <v>1505</v>
      </c>
      <c r="J1466" s="18" t="s">
        <v>23</v>
      </c>
      <c r="K1466" s="19" t="s">
        <v>14</v>
      </c>
      <c r="L1466" s="19" t="s">
        <v>42</v>
      </c>
      <c r="M1466" s="20">
        <v>4</v>
      </c>
      <c r="N1466" s="21">
        <v>84999</v>
      </c>
      <c r="O1466" s="22">
        <v>12</v>
      </c>
      <c r="P1466" s="23">
        <v>299196.48</v>
      </c>
      <c r="Q1466" s="22">
        <v>4.5</v>
      </c>
      <c r="R1466" s="22">
        <v>20</v>
      </c>
      <c r="S1466" s="23">
        <f>(Table13[[#This Row],[Unit Price]]*Table13[[#This Row],[No.of Units]])*18%</f>
        <v>61199.28</v>
      </c>
      <c r="T1466" s="22" t="s">
        <v>1508</v>
      </c>
    </row>
    <row r="1467" spans="2:20" x14ac:dyDescent="0.3">
      <c r="B1467" s="5" t="s">
        <v>1380</v>
      </c>
      <c r="C1467" s="1">
        <v>3289271</v>
      </c>
      <c r="D1467" s="1">
        <v>41</v>
      </c>
      <c r="E1467" s="1" t="s">
        <v>12</v>
      </c>
      <c r="F1467" s="16">
        <v>46001</v>
      </c>
      <c r="G1467" s="1" t="s">
        <v>1470</v>
      </c>
      <c r="H1467" s="1" t="s">
        <v>1471</v>
      </c>
      <c r="I1467" s="17" t="s">
        <v>1504</v>
      </c>
      <c r="J1467" s="18" t="s">
        <v>25</v>
      </c>
      <c r="K1467" s="19" t="s">
        <v>26</v>
      </c>
      <c r="L1467" s="19" t="s">
        <v>42</v>
      </c>
      <c r="M1467" s="20">
        <v>2</v>
      </c>
      <c r="N1467" s="21">
        <v>69999</v>
      </c>
      <c r="O1467" s="22">
        <v>8</v>
      </c>
      <c r="P1467" s="23">
        <v>128798.16</v>
      </c>
      <c r="Q1467" s="22">
        <v>4.8</v>
      </c>
      <c r="R1467" s="22">
        <v>20</v>
      </c>
      <c r="S1467" s="23">
        <f>(Table13[[#This Row],[Unit Price]]*Table13[[#This Row],[No.of Units]])*18%</f>
        <v>25199.64</v>
      </c>
      <c r="T1467" s="22" t="s">
        <v>1507</v>
      </c>
    </row>
    <row r="1468" spans="2:20" x14ac:dyDescent="0.3">
      <c r="B1468" s="5" t="s">
        <v>1381</v>
      </c>
      <c r="C1468" s="1">
        <v>224438</v>
      </c>
      <c r="D1468" s="1">
        <v>29</v>
      </c>
      <c r="E1468" s="1" t="s">
        <v>12</v>
      </c>
      <c r="F1468" s="16">
        <v>46001</v>
      </c>
      <c r="G1468" s="1" t="s">
        <v>1470</v>
      </c>
      <c r="H1468" s="1" t="s">
        <v>1471</v>
      </c>
      <c r="I1468" s="17" t="s">
        <v>1503</v>
      </c>
      <c r="J1468" s="18" t="s">
        <v>28</v>
      </c>
      <c r="K1468" s="19" t="s">
        <v>26</v>
      </c>
      <c r="L1468" s="19" t="s">
        <v>42</v>
      </c>
      <c r="M1468" s="20">
        <v>8</v>
      </c>
      <c r="N1468" s="21">
        <v>42999</v>
      </c>
      <c r="O1468" s="22">
        <v>15</v>
      </c>
      <c r="P1468" s="23">
        <v>292393.2</v>
      </c>
      <c r="Q1468" s="22">
        <v>4.5999999999999996</v>
      </c>
      <c r="R1468" s="22">
        <v>20</v>
      </c>
      <c r="S1468" s="23">
        <f>(Table13[[#This Row],[Unit Price]]*Table13[[#This Row],[No.of Units]])*18%</f>
        <v>61918.559999999998</v>
      </c>
      <c r="T1468" s="22" t="s">
        <v>1508</v>
      </c>
    </row>
    <row r="1469" spans="2:20" x14ac:dyDescent="0.3">
      <c r="B1469" s="5" t="s">
        <v>1382</v>
      </c>
      <c r="C1469" s="1">
        <v>1154525</v>
      </c>
      <c r="D1469" s="1">
        <v>29</v>
      </c>
      <c r="E1469" s="1" t="s">
        <v>12</v>
      </c>
      <c r="F1469" s="16">
        <v>46001</v>
      </c>
      <c r="G1469" s="1" t="s">
        <v>1475</v>
      </c>
      <c r="H1469" s="1" t="s">
        <v>1482</v>
      </c>
      <c r="I1469" s="17" t="s">
        <v>1502</v>
      </c>
      <c r="J1469" s="18" t="s">
        <v>13</v>
      </c>
      <c r="K1469" s="19" t="s">
        <v>14</v>
      </c>
      <c r="L1469" s="19" t="s">
        <v>49</v>
      </c>
      <c r="M1469" s="20">
        <v>4</v>
      </c>
      <c r="N1469" s="21">
        <v>99999</v>
      </c>
      <c r="O1469" s="22">
        <v>10</v>
      </c>
      <c r="P1469" s="23">
        <v>359996.4</v>
      </c>
      <c r="Q1469" s="22">
        <v>4.7</v>
      </c>
      <c r="R1469" s="22">
        <v>20</v>
      </c>
      <c r="S1469" s="23">
        <f>(Table13[[#This Row],[Unit Price]]*Table13[[#This Row],[No.of Units]])*18%</f>
        <v>71999.28</v>
      </c>
      <c r="T1469" s="22" t="s">
        <v>1507</v>
      </c>
    </row>
    <row r="1470" spans="2:20" x14ac:dyDescent="0.3">
      <c r="B1470" s="5" t="s">
        <v>1383</v>
      </c>
      <c r="C1470" s="1">
        <v>8669517</v>
      </c>
      <c r="D1470" s="1">
        <v>47</v>
      </c>
      <c r="E1470" s="1" t="s">
        <v>12</v>
      </c>
      <c r="F1470" s="16">
        <v>46001</v>
      </c>
      <c r="G1470" s="1" t="s">
        <v>1470</v>
      </c>
      <c r="H1470" s="1" t="s">
        <v>1472</v>
      </c>
      <c r="I1470" s="17" t="s">
        <v>1503</v>
      </c>
      <c r="J1470" s="18" t="s">
        <v>17</v>
      </c>
      <c r="K1470" s="19" t="s">
        <v>18</v>
      </c>
      <c r="L1470" s="19" t="s">
        <v>49</v>
      </c>
      <c r="M1470" s="20">
        <v>55</v>
      </c>
      <c r="N1470" s="21">
        <v>4999</v>
      </c>
      <c r="O1470" s="22">
        <v>18</v>
      </c>
      <c r="P1470" s="23">
        <v>225454.9</v>
      </c>
      <c r="Q1470" s="22">
        <v>4.4000000000000004</v>
      </c>
      <c r="R1470" s="22">
        <v>20</v>
      </c>
      <c r="S1470" s="23">
        <f>(Table13[[#This Row],[Unit Price]]*Table13[[#This Row],[No.of Units]])*18%</f>
        <v>49490.1</v>
      </c>
      <c r="T1470" s="22" t="s">
        <v>1507</v>
      </c>
    </row>
    <row r="1471" spans="2:20" x14ac:dyDescent="0.3">
      <c r="B1471" s="5" t="s">
        <v>1384</v>
      </c>
      <c r="C1471" s="1">
        <v>4894136</v>
      </c>
      <c r="D1471" s="1">
        <v>56</v>
      </c>
      <c r="E1471" s="1" t="s">
        <v>20</v>
      </c>
      <c r="F1471" s="16">
        <v>46001</v>
      </c>
      <c r="G1471" s="1" t="s">
        <v>1470</v>
      </c>
      <c r="H1471" s="1" t="s">
        <v>1472</v>
      </c>
      <c r="I1471" s="17" t="s">
        <v>1504</v>
      </c>
      <c r="J1471" s="18" t="s">
        <v>21</v>
      </c>
      <c r="K1471" s="19" t="s">
        <v>18</v>
      </c>
      <c r="L1471" s="19" t="s">
        <v>49</v>
      </c>
      <c r="M1471" s="20">
        <v>10</v>
      </c>
      <c r="N1471" s="21">
        <v>24900</v>
      </c>
      <c r="O1471" s="22">
        <v>5</v>
      </c>
      <c r="P1471" s="23">
        <v>236550</v>
      </c>
      <c r="Q1471" s="22">
        <v>4.8</v>
      </c>
      <c r="R1471" s="22">
        <v>20</v>
      </c>
      <c r="S1471" s="23">
        <f>(Table13[[#This Row],[Unit Price]]*Table13[[#This Row],[No.of Units]])*18%</f>
        <v>44820</v>
      </c>
      <c r="T1471" s="22" t="s">
        <v>1507</v>
      </c>
    </row>
    <row r="1472" spans="2:20" x14ac:dyDescent="0.3">
      <c r="B1472" s="5" t="s">
        <v>1385</v>
      </c>
      <c r="C1472" s="1">
        <v>6441994</v>
      </c>
      <c r="D1472" s="1">
        <v>51</v>
      </c>
      <c r="E1472" s="1" t="s">
        <v>20</v>
      </c>
      <c r="F1472" s="16">
        <v>46001</v>
      </c>
      <c r="G1472" s="1" t="s">
        <v>1470</v>
      </c>
      <c r="H1472" s="1" t="s">
        <v>1471</v>
      </c>
      <c r="I1472" s="17" t="s">
        <v>1505</v>
      </c>
      <c r="J1472" s="18" t="s">
        <v>23</v>
      </c>
      <c r="K1472" s="19" t="s">
        <v>14</v>
      </c>
      <c r="L1472" s="19" t="s">
        <v>49</v>
      </c>
      <c r="M1472" s="20">
        <v>3</v>
      </c>
      <c r="N1472" s="21">
        <v>84999</v>
      </c>
      <c r="O1472" s="22">
        <v>12</v>
      </c>
      <c r="P1472" s="23">
        <v>224397.36</v>
      </c>
      <c r="Q1472" s="22">
        <v>4.5</v>
      </c>
      <c r="R1472" s="22">
        <v>20</v>
      </c>
      <c r="S1472" s="23">
        <f>(Table13[[#This Row],[Unit Price]]*Table13[[#This Row],[No.of Units]])*18%</f>
        <v>45899.46</v>
      </c>
      <c r="T1472" s="22" t="s">
        <v>1507</v>
      </c>
    </row>
    <row r="1473" spans="2:20" x14ac:dyDescent="0.3">
      <c r="B1473" s="5" t="s">
        <v>1386</v>
      </c>
      <c r="C1473" s="1">
        <v>3857140</v>
      </c>
      <c r="D1473" s="1">
        <v>39</v>
      </c>
      <c r="E1473" s="1" t="s">
        <v>12</v>
      </c>
      <c r="F1473" s="16">
        <v>46001</v>
      </c>
      <c r="G1473" s="1" t="s">
        <v>1470</v>
      </c>
      <c r="H1473" s="1" t="s">
        <v>1480</v>
      </c>
      <c r="I1473" s="17" t="s">
        <v>1504</v>
      </c>
      <c r="J1473" s="18" t="s">
        <v>25</v>
      </c>
      <c r="K1473" s="19" t="s">
        <v>26</v>
      </c>
      <c r="L1473" s="19" t="s">
        <v>49</v>
      </c>
      <c r="M1473" s="20">
        <v>5</v>
      </c>
      <c r="N1473" s="21">
        <v>69999</v>
      </c>
      <c r="O1473" s="22">
        <v>8</v>
      </c>
      <c r="P1473" s="23">
        <v>321995.40000000002</v>
      </c>
      <c r="Q1473" s="22">
        <v>4.8</v>
      </c>
      <c r="R1473" s="22">
        <v>20</v>
      </c>
      <c r="S1473" s="23">
        <f>(Table13[[#This Row],[Unit Price]]*Table13[[#This Row],[No.of Units]])*18%</f>
        <v>62999.1</v>
      </c>
      <c r="T1473" s="22" t="s">
        <v>1508</v>
      </c>
    </row>
    <row r="1474" spans="2:20" x14ac:dyDescent="0.3">
      <c r="B1474" s="5" t="s">
        <v>1387</v>
      </c>
      <c r="C1474" s="1">
        <v>1461081</v>
      </c>
      <c r="D1474" s="1">
        <v>65</v>
      </c>
      <c r="E1474" s="1" t="s">
        <v>20</v>
      </c>
      <c r="F1474" s="16">
        <v>46001</v>
      </c>
      <c r="G1474" s="1" t="s">
        <v>1470</v>
      </c>
      <c r="H1474" s="1" t="s">
        <v>1472</v>
      </c>
      <c r="I1474" s="17" t="s">
        <v>1503</v>
      </c>
      <c r="J1474" s="18" t="s">
        <v>28</v>
      </c>
      <c r="K1474" s="19" t="s">
        <v>26</v>
      </c>
      <c r="L1474" s="19" t="s">
        <v>49</v>
      </c>
      <c r="M1474" s="20">
        <v>9</v>
      </c>
      <c r="N1474" s="21">
        <v>42999</v>
      </c>
      <c r="O1474" s="22">
        <v>15</v>
      </c>
      <c r="P1474" s="23">
        <v>328942.34999999998</v>
      </c>
      <c r="Q1474" s="22">
        <v>4.5999999999999996</v>
      </c>
      <c r="R1474" s="22">
        <v>20</v>
      </c>
      <c r="S1474" s="23">
        <f>(Table13[[#This Row],[Unit Price]]*Table13[[#This Row],[No.of Units]])*18%</f>
        <v>69658.38</v>
      </c>
      <c r="T1474" s="22" t="s">
        <v>1507</v>
      </c>
    </row>
    <row r="1475" spans="2:20" x14ac:dyDescent="0.3">
      <c r="B1475" s="5" t="s">
        <v>1388</v>
      </c>
      <c r="C1475" s="1">
        <v>7515163</v>
      </c>
      <c r="D1475" s="1">
        <v>66</v>
      </c>
      <c r="E1475" s="1" t="s">
        <v>20</v>
      </c>
      <c r="F1475" s="16">
        <v>46008</v>
      </c>
      <c r="G1475" s="1" t="s">
        <v>1470</v>
      </c>
      <c r="H1475" s="1" t="s">
        <v>1480</v>
      </c>
      <c r="I1475" s="17" t="s">
        <v>1502</v>
      </c>
      <c r="J1475" s="18" t="s">
        <v>13</v>
      </c>
      <c r="K1475" s="19" t="s">
        <v>14</v>
      </c>
      <c r="L1475" s="19" t="s">
        <v>15</v>
      </c>
      <c r="M1475" s="20">
        <v>6</v>
      </c>
      <c r="N1475" s="21">
        <v>99999</v>
      </c>
      <c r="O1475" s="22">
        <v>10</v>
      </c>
      <c r="P1475" s="23">
        <v>539994.6</v>
      </c>
      <c r="Q1475" s="22">
        <v>4.7</v>
      </c>
      <c r="R1475" s="22">
        <v>20</v>
      </c>
      <c r="S1475" s="23">
        <f>(Table13[[#This Row],[Unit Price]]*Table13[[#This Row],[No.of Units]])*18%</f>
        <v>107998.92</v>
      </c>
      <c r="T1475" s="22" t="s">
        <v>1508</v>
      </c>
    </row>
    <row r="1476" spans="2:20" x14ac:dyDescent="0.3">
      <c r="B1476" s="5" t="s">
        <v>1389</v>
      </c>
      <c r="C1476" s="1">
        <v>584759</v>
      </c>
      <c r="D1476" s="1">
        <v>19</v>
      </c>
      <c r="E1476" s="1" t="s">
        <v>34</v>
      </c>
      <c r="F1476" s="16">
        <v>46008</v>
      </c>
      <c r="G1476" s="1" t="s">
        <v>1470</v>
      </c>
      <c r="H1476" s="1" t="s">
        <v>1471</v>
      </c>
      <c r="I1476" s="17" t="s">
        <v>1503</v>
      </c>
      <c r="J1476" s="18" t="s">
        <v>17</v>
      </c>
      <c r="K1476" s="19" t="s">
        <v>18</v>
      </c>
      <c r="L1476" s="19" t="s">
        <v>15</v>
      </c>
      <c r="M1476" s="20">
        <v>47</v>
      </c>
      <c r="N1476" s="21">
        <v>4999</v>
      </c>
      <c r="O1476" s="22">
        <v>18</v>
      </c>
      <c r="P1476" s="23">
        <v>192661.46</v>
      </c>
      <c r="Q1476" s="22">
        <v>4.4000000000000004</v>
      </c>
      <c r="R1476" s="22">
        <v>20</v>
      </c>
      <c r="S1476" s="23">
        <f>(Table13[[#This Row],[Unit Price]]*Table13[[#This Row],[No.of Units]])*18%</f>
        <v>42291.54</v>
      </c>
      <c r="T1476" s="22" t="s">
        <v>1508</v>
      </c>
    </row>
    <row r="1477" spans="2:20" x14ac:dyDescent="0.3">
      <c r="B1477" s="5" t="s">
        <v>1390</v>
      </c>
      <c r="C1477" s="1">
        <v>5237450</v>
      </c>
      <c r="D1477" s="1">
        <v>21</v>
      </c>
      <c r="E1477" s="1" t="s">
        <v>12</v>
      </c>
      <c r="F1477" s="16">
        <v>46008</v>
      </c>
      <c r="G1477" s="1" t="s">
        <v>1470</v>
      </c>
      <c r="H1477" s="1" t="s">
        <v>1472</v>
      </c>
      <c r="I1477" s="17" t="s">
        <v>1504</v>
      </c>
      <c r="J1477" s="18" t="s">
        <v>21</v>
      </c>
      <c r="K1477" s="19" t="s">
        <v>18</v>
      </c>
      <c r="L1477" s="19" t="s">
        <v>15</v>
      </c>
      <c r="M1477" s="20">
        <v>14</v>
      </c>
      <c r="N1477" s="21">
        <v>24900</v>
      </c>
      <c r="O1477" s="22">
        <v>5</v>
      </c>
      <c r="P1477" s="23">
        <v>331170</v>
      </c>
      <c r="Q1477" s="22">
        <v>4.8</v>
      </c>
      <c r="R1477" s="22">
        <v>20</v>
      </c>
      <c r="S1477" s="23">
        <f>(Table13[[#This Row],[Unit Price]]*Table13[[#This Row],[No.of Units]])*18%</f>
        <v>62748</v>
      </c>
      <c r="T1477" s="22" t="s">
        <v>1508</v>
      </c>
    </row>
    <row r="1478" spans="2:20" x14ac:dyDescent="0.3">
      <c r="B1478" s="5" t="s">
        <v>1391</v>
      </c>
      <c r="C1478" s="1">
        <v>5008235</v>
      </c>
      <c r="D1478" s="1">
        <v>48</v>
      </c>
      <c r="E1478" s="1" t="s">
        <v>12</v>
      </c>
      <c r="F1478" s="16">
        <v>46008</v>
      </c>
      <c r="G1478" s="1" t="s">
        <v>1470</v>
      </c>
      <c r="H1478" s="1" t="s">
        <v>1472</v>
      </c>
      <c r="I1478" s="17" t="s">
        <v>1505</v>
      </c>
      <c r="J1478" s="18" t="s">
        <v>23</v>
      </c>
      <c r="K1478" s="19" t="s">
        <v>14</v>
      </c>
      <c r="L1478" s="19" t="s">
        <v>15</v>
      </c>
      <c r="M1478" s="20">
        <v>5</v>
      </c>
      <c r="N1478" s="21">
        <v>84999</v>
      </c>
      <c r="O1478" s="22">
        <v>12</v>
      </c>
      <c r="P1478" s="23">
        <v>373995.6</v>
      </c>
      <c r="Q1478" s="22">
        <v>4.5</v>
      </c>
      <c r="R1478" s="22">
        <v>20</v>
      </c>
      <c r="S1478" s="23">
        <f>(Table13[[#This Row],[Unit Price]]*Table13[[#This Row],[No.of Units]])*18%</f>
        <v>76499.099999999991</v>
      </c>
      <c r="T1478" s="22" t="s">
        <v>1508</v>
      </c>
    </row>
    <row r="1479" spans="2:20" x14ac:dyDescent="0.3">
      <c r="B1479" s="5" t="s">
        <v>1392</v>
      </c>
      <c r="C1479" s="1">
        <v>6214589</v>
      </c>
      <c r="D1479" s="1">
        <v>44</v>
      </c>
      <c r="E1479" s="1" t="s">
        <v>12</v>
      </c>
      <c r="F1479" s="16">
        <v>46008</v>
      </c>
      <c r="G1479" s="1" t="s">
        <v>1470</v>
      </c>
      <c r="H1479" s="1" t="s">
        <v>1471</v>
      </c>
      <c r="I1479" s="17" t="s">
        <v>1504</v>
      </c>
      <c r="J1479" s="18" t="s">
        <v>25</v>
      </c>
      <c r="K1479" s="19" t="s">
        <v>26</v>
      </c>
      <c r="L1479" s="19" t="s">
        <v>15</v>
      </c>
      <c r="M1479" s="20">
        <v>3</v>
      </c>
      <c r="N1479" s="21">
        <v>69999</v>
      </c>
      <c r="O1479" s="22">
        <v>8</v>
      </c>
      <c r="P1479" s="23">
        <v>193197.24</v>
      </c>
      <c r="Q1479" s="22">
        <v>4.8</v>
      </c>
      <c r="R1479" s="22">
        <v>20</v>
      </c>
      <c r="S1479" s="23">
        <f>(Table13[[#This Row],[Unit Price]]*Table13[[#This Row],[No.of Units]])*18%</f>
        <v>37799.46</v>
      </c>
      <c r="T1479" s="22" t="s">
        <v>1508</v>
      </c>
    </row>
    <row r="1480" spans="2:20" x14ac:dyDescent="0.3">
      <c r="B1480" s="5" t="s">
        <v>1393</v>
      </c>
      <c r="C1480" s="1">
        <v>3465545</v>
      </c>
      <c r="D1480" s="1">
        <v>53</v>
      </c>
      <c r="E1480" s="1" t="s">
        <v>20</v>
      </c>
      <c r="F1480" s="16">
        <v>46008</v>
      </c>
      <c r="G1480" s="1" t="s">
        <v>1470</v>
      </c>
      <c r="H1480" s="1" t="s">
        <v>1471</v>
      </c>
      <c r="I1480" s="17" t="s">
        <v>1503</v>
      </c>
      <c r="J1480" s="18" t="s">
        <v>28</v>
      </c>
      <c r="K1480" s="19" t="s">
        <v>26</v>
      </c>
      <c r="L1480" s="19" t="s">
        <v>15</v>
      </c>
      <c r="M1480" s="20">
        <v>10</v>
      </c>
      <c r="N1480" s="21">
        <v>42999</v>
      </c>
      <c r="O1480" s="22">
        <v>15</v>
      </c>
      <c r="P1480" s="23">
        <v>365491.5</v>
      </c>
      <c r="Q1480" s="22">
        <v>4.5999999999999996</v>
      </c>
      <c r="R1480" s="22">
        <v>20</v>
      </c>
      <c r="S1480" s="23">
        <f>(Table13[[#This Row],[Unit Price]]*Table13[[#This Row],[No.of Units]])*18%</f>
        <v>77398.2</v>
      </c>
      <c r="T1480" s="22" t="s">
        <v>1507</v>
      </c>
    </row>
    <row r="1481" spans="2:20" x14ac:dyDescent="0.3">
      <c r="B1481" s="5" t="s">
        <v>1394</v>
      </c>
      <c r="C1481" s="1">
        <v>390677</v>
      </c>
      <c r="D1481" s="1">
        <v>44</v>
      </c>
      <c r="E1481" s="1" t="s">
        <v>12</v>
      </c>
      <c r="F1481" s="16">
        <v>46008</v>
      </c>
      <c r="G1481" s="1" t="s">
        <v>1470</v>
      </c>
      <c r="H1481" s="1" t="s">
        <v>1483</v>
      </c>
      <c r="I1481" s="17" t="s">
        <v>1502</v>
      </c>
      <c r="J1481" s="18" t="s">
        <v>13</v>
      </c>
      <c r="K1481" s="19" t="s">
        <v>14</v>
      </c>
      <c r="L1481" s="19" t="s">
        <v>29</v>
      </c>
      <c r="M1481" s="20">
        <v>6</v>
      </c>
      <c r="N1481" s="21">
        <v>99999</v>
      </c>
      <c r="O1481" s="22">
        <v>10</v>
      </c>
      <c r="P1481" s="23">
        <v>539994.6</v>
      </c>
      <c r="Q1481" s="22">
        <v>4.7</v>
      </c>
      <c r="R1481" s="22">
        <v>20</v>
      </c>
      <c r="S1481" s="23">
        <f>(Table13[[#This Row],[Unit Price]]*Table13[[#This Row],[No.of Units]])*18%</f>
        <v>107998.92</v>
      </c>
      <c r="T1481" s="22" t="s">
        <v>1508</v>
      </c>
    </row>
    <row r="1482" spans="2:20" x14ac:dyDescent="0.3">
      <c r="B1482" s="5" t="s">
        <v>1395</v>
      </c>
      <c r="C1482" s="1">
        <v>3680107</v>
      </c>
      <c r="D1482" s="1">
        <v>49</v>
      </c>
      <c r="E1482" s="1" t="s">
        <v>12</v>
      </c>
      <c r="F1482" s="16">
        <v>46008</v>
      </c>
      <c r="G1482" s="1" t="s">
        <v>1470</v>
      </c>
      <c r="H1482" s="1" t="s">
        <v>1472</v>
      </c>
      <c r="I1482" s="17" t="s">
        <v>1503</v>
      </c>
      <c r="J1482" s="18" t="s">
        <v>17</v>
      </c>
      <c r="K1482" s="19" t="s">
        <v>18</v>
      </c>
      <c r="L1482" s="19" t="s">
        <v>29</v>
      </c>
      <c r="M1482" s="20">
        <v>66</v>
      </c>
      <c r="N1482" s="21">
        <v>4999</v>
      </c>
      <c r="O1482" s="22">
        <v>18</v>
      </c>
      <c r="P1482" s="23">
        <v>270545.88</v>
      </c>
      <c r="Q1482" s="22">
        <v>4.4000000000000004</v>
      </c>
      <c r="R1482" s="22">
        <v>20</v>
      </c>
      <c r="S1482" s="23">
        <f>(Table13[[#This Row],[Unit Price]]*Table13[[#This Row],[No.of Units]])*18%</f>
        <v>59388.119999999995</v>
      </c>
      <c r="T1482" s="22" t="s">
        <v>1507</v>
      </c>
    </row>
    <row r="1483" spans="2:20" x14ac:dyDescent="0.3">
      <c r="B1483" s="5" t="s">
        <v>1396</v>
      </c>
      <c r="C1483" s="1">
        <v>2033412</v>
      </c>
      <c r="D1483" s="1">
        <v>40</v>
      </c>
      <c r="E1483" s="1" t="s">
        <v>12</v>
      </c>
      <c r="F1483" s="16">
        <v>46008</v>
      </c>
      <c r="G1483" s="1" t="s">
        <v>1470</v>
      </c>
      <c r="H1483" s="1" t="s">
        <v>1481</v>
      </c>
      <c r="I1483" s="17" t="s">
        <v>1504</v>
      </c>
      <c r="J1483" s="18" t="s">
        <v>21</v>
      </c>
      <c r="K1483" s="19" t="s">
        <v>18</v>
      </c>
      <c r="L1483" s="19" t="s">
        <v>29</v>
      </c>
      <c r="M1483" s="20">
        <v>2</v>
      </c>
      <c r="N1483" s="21">
        <v>24900</v>
      </c>
      <c r="O1483" s="22">
        <v>5</v>
      </c>
      <c r="P1483" s="23">
        <v>47310</v>
      </c>
      <c r="Q1483" s="22">
        <v>4.8</v>
      </c>
      <c r="R1483" s="22">
        <v>20</v>
      </c>
      <c r="S1483" s="23">
        <f>(Table13[[#This Row],[Unit Price]]*Table13[[#This Row],[No.of Units]])*18%</f>
        <v>8964</v>
      </c>
      <c r="T1483" s="22" t="s">
        <v>1508</v>
      </c>
    </row>
    <row r="1484" spans="2:20" x14ac:dyDescent="0.3">
      <c r="B1484" s="5" t="s">
        <v>1397</v>
      </c>
      <c r="C1484" s="1">
        <v>1477283</v>
      </c>
      <c r="D1484" s="1">
        <v>39</v>
      </c>
      <c r="E1484" s="1" t="s">
        <v>12</v>
      </c>
      <c r="F1484" s="16">
        <v>46008</v>
      </c>
      <c r="G1484" s="1" t="s">
        <v>1470</v>
      </c>
      <c r="H1484" s="1" t="s">
        <v>1471</v>
      </c>
      <c r="I1484" s="17" t="s">
        <v>1505</v>
      </c>
      <c r="J1484" s="18" t="s">
        <v>23</v>
      </c>
      <c r="K1484" s="19" t="s">
        <v>14</v>
      </c>
      <c r="L1484" s="19" t="s">
        <v>29</v>
      </c>
      <c r="M1484" s="20">
        <v>4</v>
      </c>
      <c r="N1484" s="21">
        <v>84999</v>
      </c>
      <c r="O1484" s="22">
        <v>12</v>
      </c>
      <c r="P1484" s="23">
        <v>299196.48</v>
      </c>
      <c r="Q1484" s="22">
        <v>4.5</v>
      </c>
      <c r="R1484" s="22">
        <v>20</v>
      </c>
      <c r="S1484" s="23">
        <f>(Table13[[#This Row],[Unit Price]]*Table13[[#This Row],[No.of Units]])*18%</f>
        <v>61199.28</v>
      </c>
      <c r="T1484" s="22" t="s">
        <v>1507</v>
      </c>
    </row>
    <row r="1485" spans="2:20" x14ac:dyDescent="0.3">
      <c r="B1485" s="5" t="s">
        <v>1398</v>
      </c>
      <c r="C1485" s="1">
        <v>988834</v>
      </c>
      <c r="D1485" s="1">
        <v>67</v>
      </c>
      <c r="E1485" s="1" t="s">
        <v>20</v>
      </c>
      <c r="F1485" s="16">
        <v>46008</v>
      </c>
      <c r="G1485" s="1" t="s">
        <v>1470</v>
      </c>
      <c r="H1485" s="1" t="s">
        <v>1471</v>
      </c>
      <c r="I1485" s="17" t="s">
        <v>1504</v>
      </c>
      <c r="J1485" s="18" t="s">
        <v>25</v>
      </c>
      <c r="K1485" s="19" t="s">
        <v>26</v>
      </c>
      <c r="L1485" s="19" t="s">
        <v>29</v>
      </c>
      <c r="M1485" s="20">
        <v>4</v>
      </c>
      <c r="N1485" s="21">
        <v>69999</v>
      </c>
      <c r="O1485" s="22">
        <v>8</v>
      </c>
      <c r="P1485" s="23">
        <v>257596.32</v>
      </c>
      <c r="Q1485" s="22">
        <v>4.8</v>
      </c>
      <c r="R1485" s="22">
        <v>20</v>
      </c>
      <c r="S1485" s="23">
        <f>(Table13[[#This Row],[Unit Price]]*Table13[[#This Row],[No.of Units]])*18%</f>
        <v>50399.28</v>
      </c>
      <c r="T1485" s="22" t="s">
        <v>1508</v>
      </c>
    </row>
    <row r="1486" spans="2:20" x14ac:dyDescent="0.3">
      <c r="B1486" s="5" t="s">
        <v>1399</v>
      </c>
      <c r="C1486" s="1">
        <v>4583329</v>
      </c>
      <c r="D1486" s="1">
        <v>24</v>
      </c>
      <c r="E1486" s="1" t="s">
        <v>12</v>
      </c>
      <c r="F1486" s="16">
        <v>46008</v>
      </c>
      <c r="G1486" s="1" t="s">
        <v>1474</v>
      </c>
      <c r="H1486" s="1" t="s">
        <v>1483</v>
      </c>
      <c r="I1486" s="17" t="s">
        <v>1503</v>
      </c>
      <c r="J1486" s="18" t="s">
        <v>28</v>
      </c>
      <c r="K1486" s="19" t="s">
        <v>26</v>
      </c>
      <c r="L1486" s="19" t="s">
        <v>29</v>
      </c>
      <c r="M1486" s="20">
        <v>5</v>
      </c>
      <c r="N1486" s="21">
        <v>42999</v>
      </c>
      <c r="O1486" s="22">
        <v>15</v>
      </c>
      <c r="P1486" s="23">
        <v>182745.75</v>
      </c>
      <c r="Q1486" s="22">
        <v>4.5999999999999996</v>
      </c>
      <c r="R1486" s="22">
        <v>20</v>
      </c>
      <c r="S1486" s="23">
        <f>(Table13[[#This Row],[Unit Price]]*Table13[[#This Row],[No.of Units]])*18%</f>
        <v>38699.1</v>
      </c>
      <c r="T1486" s="22" t="s">
        <v>1508</v>
      </c>
    </row>
    <row r="1487" spans="2:20" x14ac:dyDescent="0.3">
      <c r="B1487" s="5" t="s">
        <v>1400</v>
      </c>
      <c r="C1487" s="1">
        <v>8936832</v>
      </c>
      <c r="D1487" s="1">
        <v>27</v>
      </c>
      <c r="E1487" s="1" t="s">
        <v>12</v>
      </c>
      <c r="F1487" s="16">
        <v>46008</v>
      </c>
      <c r="G1487" s="1" t="s">
        <v>1475</v>
      </c>
      <c r="H1487" s="1" t="s">
        <v>1471</v>
      </c>
      <c r="I1487" s="17" t="s">
        <v>1502</v>
      </c>
      <c r="J1487" s="18" t="s">
        <v>13</v>
      </c>
      <c r="K1487" s="19" t="s">
        <v>14</v>
      </c>
      <c r="L1487" s="19" t="s">
        <v>35</v>
      </c>
      <c r="M1487" s="20">
        <v>3</v>
      </c>
      <c r="N1487" s="21">
        <v>99999</v>
      </c>
      <c r="O1487" s="22">
        <v>10</v>
      </c>
      <c r="P1487" s="23">
        <v>269997.3</v>
      </c>
      <c r="Q1487" s="22">
        <v>4.7</v>
      </c>
      <c r="R1487" s="22">
        <v>20</v>
      </c>
      <c r="S1487" s="23">
        <f>(Table13[[#This Row],[Unit Price]]*Table13[[#This Row],[No.of Units]])*18%</f>
        <v>53999.46</v>
      </c>
      <c r="T1487" s="22" t="s">
        <v>1508</v>
      </c>
    </row>
    <row r="1488" spans="2:20" x14ac:dyDescent="0.3">
      <c r="B1488" s="5" t="s">
        <v>1401</v>
      </c>
      <c r="C1488" s="1">
        <v>9911191</v>
      </c>
      <c r="D1488" s="1">
        <v>66</v>
      </c>
      <c r="E1488" s="1" t="s">
        <v>20</v>
      </c>
      <c r="F1488" s="16">
        <v>46008</v>
      </c>
      <c r="G1488" s="1" t="s">
        <v>1470</v>
      </c>
      <c r="H1488" s="1" t="s">
        <v>1472</v>
      </c>
      <c r="I1488" s="17" t="s">
        <v>1503</v>
      </c>
      <c r="J1488" s="18" t="s">
        <v>17</v>
      </c>
      <c r="K1488" s="19" t="s">
        <v>18</v>
      </c>
      <c r="L1488" s="19" t="s">
        <v>35</v>
      </c>
      <c r="M1488" s="20">
        <v>36</v>
      </c>
      <c r="N1488" s="21">
        <v>4999</v>
      </c>
      <c r="O1488" s="22">
        <v>18</v>
      </c>
      <c r="P1488" s="23">
        <v>147570.48000000001</v>
      </c>
      <c r="Q1488" s="22">
        <v>4.4000000000000004</v>
      </c>
      <c r="R1488" s="22">
        <v>20</v>
      </c>
      <c r="S1488" s="23">
        <f>(Table13[[#This Row],[Unit Price]]*Table13[[#This Row],[No.of Units]])*18%</f>
        <v>32393.52</v>
      </c>
      <c r="T1488" s="22" t="s">
        <v>1508</v>
      </c>
    </row>
    <row r="1489" spans="2:20" x14ac:dyDescent="0.3">
      <c r="B1489" s="5" t="s">
        <v>1402</v>
      </c>
      <c r="C1489" s="1">
        <v>7773738</v>
      </c>
      <c r="D1489" s="1">
        <v>41</v>
      </c>
      <c r="E1489" s="1" t="s">
        <v>12</v>
      </c>
      <c r="F1489" s="16">
        <v>46008</v>
      </c>
      <c r="G1489" s="1" t="s">
        <v>1470</v>
      </c>
      <c r="H1489" s="1" t="s">
        <v>1472</v>
      </c>
      <c r="I1489" s="17" t="s">
        <v>1504</v>
      </c>
      <c r="J1489" s="18" t="s">
        <v>21</v>
      </c>
      <c r="K1489" s="19" t="s">
        <v>18</v>
      </c>
      <c r="L1489" s="19" t="s">
        <v>35</v>
      </c>
      <c r="M1489" s="20">
        <v>11</v>
      </c>
      <c r="N1489" s="21">
        <v>24900</v>
      </c>
      <c r="O1489" s="22">
        <v>5</v>
      </c>
      <c r="P1489" s="23">
        <v>260205</v>
      </c>
      <c r="Q1489" s="22">
        <v>4.8</v>
      </c>
      <c r="R1489" s="22">
        <v>20</v>
      </c>
      <c r="S1489" s="23">
        <f>(Table13[[#This Row],[Unit Price]]*Table13[[#This Row],[No.of Units]])*18%</f>
        <v>49302</v>
      </c>
      <c r="T1489" s="22" t="s">
        <v>1508</v>
      </c>
    </row>
    <row r="1490" spans="2:20" x14ac:dyDescent="0.3">
      <c r="B1490" s="5" t="s">
        <v>1403</v>
      </c>
      <c r="C1490" s="1">
        <v>9652389</v>
      </c>
      <c r="D1490" s="1">
        <v>24</v>
      </c>
      <c r="E1490" s="1" t="s">
        <v>12</v>
      </c>
      <c r="F1490" s="16">
        <v>46008</v>
      </c>
      <c r="G1490" s="1" t="s">
        <v>1470</v>
      </c>
      <c r="H1490" s="1" t="s">
        <v>1471</v>
      </c>
      <c r="I1490" s="17" t="s">
        <v>1505</v>
      </c>
      <c r="J1490" s="18" t="s">
        <v>23</v>
      </c>
      <c r="K1490" s="19" t="s">
        <v>14</v>
      </c>
      <c r="L1490" s="19" t="s">
        <v>35</v>
      </c>
      <c r="M1490" s="20">
        <v>6</v>
      </c>
      <c r="N1490" s="21">
        <v>84999</v>
      </c>
      <c r="O1490" s="22">
        <v>12</v>
      </c>
      <c r="P1490" s="23">
        <v>448794.72</v>
      </c>
      <c r="Q1490" s="22">
        <v>4.5</v>
      </c>
      <c r="R1490" s="22">
        <v>20</v>
      </c>
      <c r="S1490" s="23">
        <f>(Table13[[#This Row],[Unit Price]]*Table13[[#This Row],[No.of Units]])*18%</f>
        <v>91798.92</v>
      </c>
      <c r="T1490" s="22" t="s">
        <v>1507</v>
      </c>
    </row>
    <row r="1491" spans="2:20" x14ac:dyDescent="0.3">
      <c r="B1491" s="5" t="s">
        <v>1404</v>
      </c>
      <c r="C1491" s="1">
        <v>3312546</v>
      </c>
      <c r="D1491" s="1">
        <v>29</v>
      </c>
      <c r="E1491" s="1" t="s">
        <v>12</v>
      </c>
      <c r="F1491" s="16">
        <v>46008</v>
      </c>
      <c r="G1491" s="1" t="s">
        <v>1470</v>
      </c>
      <c r="H1491" s="1" t="s">
        <v>1482</v>
      </c>
      <c r="I1491" s="17" t="s">
        <v>1504</v>
      </c>
      <c r="J1491" s="18" t="s">
        <v>25</v>
      </c>
      <c r="K1491" s="19" t="s">
        <v>26</v>
      </c>
      <c r="L1491" s="19" t="s">
        <v>35</v>
      </c>
      <c r="M1491" s="20">
        <v>5</v>
      </c>
      <c r="N1491" s="21">
        <v>69999</v>
      </c>
      <c r="O1491" s="22">
        <v>8</v>
      </c>
      <c r="P1491" s="23">
        <v>321995.40000000002</v>
      </c>
      <c r="Q1491" s="22">
        <v>4.8</v>
      </c>
      <c r="R1491" s="22">
        <v>20</v>
      </c>
      <c r="S1491" s="23">
        <f>(Table13[[#This Row],[Unit Price]]*Table13[[#This Row],[No.of Units]])*18%</f>
        <v>62999.1</v>
      </c>
      <c r="T1491" s="22" t="s">
        <v>1508</v>
      </c>
    </row>
    <row r="1492" spans="2:20" x14ac:dyDescent="0.3">
      <c r="B1492" s="5" t="s">
        <v>1405</v>
      </c>
      <c r="C1492" s="1">
        <v>4251045</v>
      </c>
      <c r="D1492" s="1">
        <v>44</v>
      </c>
      <c r="E1492" s="1" t="s">
        <v>12</v>
      </c>
      <c r="F1492" s="16">
        <v>46008</v>
      </c>
      <c r="G1492" s="1" t="s">
        <v>1470</v>
      </c>
      <c r="H1492" s="1" t="s">
        <v>1471</v>
      </c>
      <c r="I1492" s="17" t="s">
        <v>1503</v>
      </c>
      <c r="J1492" s="18" t="s">
        <v>28</v>
      </c>
      <c r="K1492" s="19" t="s">
        <v>26</v>
      </c>
      <c r="L1492" s="19" t="s">
        <v>35</v>
      </c>
      <c r="M1492" s="20">
        <v>11</v>
      </c>
      <c r="N1492" s="21">
        <v>42999</v>
      </c>
      <c r="O1492" s="22">
        <v>15</v>
      </c>
      <c r="P1492" s="23">
        <v>402040.65</v>
      </c>
      <c r="Q1492" s="22">
        <v>4.5999999999999996</v>
      </c>
      <c r="R1492" s="22">
        <v>20</v>
      </c>
      <c r="S1492" s="23">
        <f>(Table13[[#This Row],[Unit Price]]*Table13[[#This Row],[No.of Units]])*18%</f>
        <v>85138.02</v>
      </c>
      <c r="T1492" s="22" t="s">
        <v>1507</v>
      </c>
    </row>
    <row r="1493" spans="2:20" x14ac:dyDescent="0.3">
      <c r="B1493" s="5" t="s">
        <v>1406</v>
      </c>
      <c r="C1493" s="1">
        <v>7485773</v>
      </c>
      <c r="D1493" s="1">
        <v>36</v>
      </c>
      <c r="E1493" s="1" t="s">
        <v>12</v>
      </c>
      <c r="F1493" s="16">
        <v>46008</v>
      </c>
      <c r="G1493" s="1" t="s">
        <v>1470</v>
      </c>
      <c r="H1493" s="1" t="s">
        <v>1471</v>
      </c>
      <c r="I1493" s="17" t="s">
        <v>1502</v>
      </c>
      <c r="J1493" s="18" t="s">
        <v>13</v>
      </c>
      <c r="K1493" s="19" t="s">
        <v>14</v>
      </c>
      <c r="L1493" s="19" t="s">
        <v>42</v>
      </c>
      <c r="M1493" s="20">
        <v>3</v>
      </c>
      <c r="N1493" s="21">
        <v>99999</v>
      </c>
      <c r="O1493" s="22">
        <v>10</v>
      </c>
      <c r="P1493" s="23">
        <v>269997.3</v>
      </c>
      <c r="Q1493" s="22">
        <v>4.7</v>
      </c>
      <c r="R1493" s="22">
        <v>20</v>
      </c>
      <c r="S1493" s="23">
        <f>(Table13[[#This Row],[Unit Price]]*Table13[[#This Row],[No.of Units]])*18%</f>
        <v>53999.46</v>
      </c>
      <c r="T1493" s="22" t="s">
        <v>1507</v>
      </c>
    </row>
    <row r="1494" spans="2:20" x14ac:dyDescent="0.3">
      <c r="B1494" s="5" t="s">
        <v>1407</v>
      </c>
      <c r="C1494" s="1">
        <v>986501</v>
      </c>
      <c r="D1494" s="1">
        <v>51</v>
      </c>
      <c r="E1494" s="1" t="s">
        <v>20</v>
      </c>
      <c r="F1494" s="16">
        <v>46008</v>
      </c>
      <c r="G1494" s="1" t="s">
        <v>1470</v>
      </c>
      <c r="H1494" s="1" t="s">
        <v>1472</v>
      </c>
      <c r="I1494" s="17" t="s">
        <v>1503</v>
      </c>
      <c r="J1494" s="18" t="s">
        <v>17</v>
      </c>
      <c r="K1494" s="19" t="s">
        <v>18</v>
      </c>
      <c r="L1494" s="19" t="s">
        <v>42</v>
      </c>
      <c r="M1494" s="20">
        <v>58</v>
      </c>
      <c r="N1494" s="21">
        <v>4999</v>
      </c>
      <c r="O1494" s="22">
        <v>18</v>
      </c>
      <c r="P1494" s="23">
        <v>237752.44</v>
      </c>
      <c r="Q1494" s="22">
        <v>4.4000000000000004</v>
      </c>
      <c r="R1494" s="22">
        <v>20</v>
      </c>
      <c r="S1494" s="23">
        <f>(Table13[[#This Row],[Unit Price]]*Table13[[#This Row],[No.of Units]])*18%</f>
        <v>52189.56</v>
      </c>
      <c r="T1494" s="22" t="s">
        <v>1507</v>
      </c>
    </row>
    <row r="1495" spans="2:20" x14ac:dyDescent="0.3">
      <c r="B1495" s="5" t="s">
        <v>1408</v>
      </c>
      <c r="C1495" s="1">
        <v>3791898</v>
      </c>
      <c r="D1495" s="1">
        <v>57</v>
      </c>
      <c r="E1495" s="1" t="s">
        <v>20</v>
      </c>
      <c r="F1495" s="16">
        <v>46008</v>
      </c>
      <c r="G1495" s="1" t="s">
        <v>1470</v>
      </c>
      <c r="H1495" s="1" t="s">
        <v>1482</v>
      </c>
      <c r="I1495" s="17" t="s">
        <v>1504</v>
      </c>
      <c r="J1495" s="18" t="s">
        <v>21</v>
      </c>
      <c r="K1495" s="19" t="s">
        <v>18</v>
      </c>
      <c r="L1495" s="19" t="s">
        <v>42</v>
      </c>
      <c r="M1495" s="20">
        <v>9</v>
      </c>
      <c r="N1495" s="21">
        <v>24900</v>
      </c>
      <c r="O1495" s="22">
        <v>5</v>
      </c>
      <c r="P1495" s="23">
        <v>212895</v>
      </c>
      <c r="Q1495" s="22">
        <v>4.8</v>
      </c>
      <c r="R1495" s="22">
        <v>20</v>
      </c>
      <c r="S1495" s="23">
        <f>(Table13[[#This Row],[Unit Price]]*Table13[[#This Row],[No.of Units]])*18%</f>
        <v>40338</v>
      </c>
      <c r="T1495" s="22" t="s">
        <v>1508</v>
      </c>
    </row>
    <row r="1496" spans="2:20" x14ac:dyDescent="0.3">
      <c r="B1496" s="5" t="s">
        <v>1409</v>
      </c>
      <c r="C1496" s="1">
        <v>6685863</v>
      </c>
      <c r="D1496" s="1">
        <v>40</v>
      </c>
      <c r="E1496" s="1" t="s">
        <v>12</v>
      </c>
      <c r="F1496" s="16">
        <v>46008</v>
      </c>
      <c r="G1496" s="1" t="s">
        <v>1475</v>
      </c>
      <c r="H1496" s="1" t="s">
        <v>1471</v>
      </c>
      <c r="I1496" s="17" t="s">
        <v>1505</v>
      </c>
      <c r="J1496" s="18" t="s">
        <v>23</v>
      </c>
      <c r="K1496" s="19" t="s">
        <v>14</v>
      </c>
      <c r="L1496" s="19" t="s">
        <v>42</v>
      </c>
      <c r="M1496" s="20">
        <v>6</v>
      </c>
      <c r="N1496" s="21">
        <v>84999</v>
      </c>
      <c r="O1496" s="22">
        <v>12</v>
      </c>
      <c r="P1496" s="23">
        <v>448794.72</v>
      </c>
      <c r="Q1496" s="22">
        <v>4.5</v>
      </c>
      <c r="R1496" s="22">
        <v>20</v>
      </c>
      <c r="S1496" s="23">
        <f>(Table13[[#This Row],[Unit Price]]*Table13[[#This Row],[No.of Units]])*18%</f>
        <v>91798.92</v>
      </c>
      <c r="T1496" s="22" t="s">
        <v>1508</v>
      </c>
    </row>
    <row r="1497" spans="2:20" x14ac:dyDescent="0.3">
      <c r="B1497" s="5" t="s">
        <v>1410</v>
      </c>
      <c r="C1497" s="1">
        <v>345867</v>
      </c>
      <c r="D1497" s="1">
        <v>28</v>
      </c>
      <c r="E1497" s="1" t="s">
        <v>12</v>
      </c>
      <c r="F1497" s="16">
        <v>46008</v>
      </c>
      <c r="G1497" s="1" t="s">
        <v>1475</v>
      </c>
      <c r="H1497" s="1" t="s">
        <v>1471</v>
      </c>
      <c r="I1497" s="17" t="s">
        <v>1504</v>
      </c>
      <c r="J1497" s="18" t="s">
        <v>25</v>
      </c>
      <c r="K1497" s="19" t="s">
        <v>26</v>
      </c>
      <c r="L1497" s="19" t="s">
        <v>42</v>
      </c>
      <c r="M1497" s="20">
        <v>6</v>
      </c>
      <c r="N1497" s="21">
        <v>69999</v>
      </c>
      <c r="O1497" s="22">
        <v>8</v>
      </c>
      <c r="P1497" s="23">
        <v>386394.48</v>
      </c>
      <c r="Q1497" s="22">
        <v>4.8</v>
      </c>
      <c r="R1497" s="22">
        <v>20</v>
      </c>
      <c r="S1497" s="23">
        <f>(Table13[[#This Row],[Unit Price]]*Table13[[#This Row],[No.of Units]])*18%</f>
        <v>75598.92</v>
      </c>
      <c r="T1497" s="22" t="s">
        <v>1508</v>
      </c>
    </row>
    <row r="1498" spans="2:20" x14ac:dyDescent="0.3">
      <c r="B1498" s="5" t="s">
        <v>1411</v>
      </c>
      <c r="C1498" s="1">
        <v>6911000</v>
      </c>
      <c r="D1498" s="1">
        <v>31</v>
      </c>
      <c r="E1498" s="1" t="s">
        <v>12</v>
      </c>
      <c r="F1498" s="16">
        <v>46008</v>
      </c>
      <c r="G1498" s="1" t="s">
        <v>1470</v>
      </c>
      <c r="H1498" s="1" t="s">
        <v>1482</v>
      </c>
      <c r="I1498" s="17" t="s">
        <v>1503</v>
      </c>
      <c r="J1498" s="18" t="s">
        <v>28</v>
      </c>
      <c r="K1498" s="19" t="s">
        <v>26</v>
      </c>
      <c r="L1498" s="19" t="s">
        <v>42</v>
      </c>
      <c r="M1498" s="20">
        <v>10</v>
      </c>
      <c r="N1498" s="21">
        <v>42999</v>
      </c>
      <c r="O1498" s="22">
        <v>15</v>
      </c>
      <c r="P1498" s="23">
        <v>365491.5</v>
      </c>
      <c r="Q1498" s="22">
        <v>4.5999999999999996</v>
      </c>
      <c r="R1498" s="22">
        <v>20</v>
      </c>
      <c r="S1498" s="23">
        <f>(Table13[[#This Row],[Unit Price]]*Table13[[#This Row],[No.of Units]])*18%</f>
        <v>77398.2</v>
      </c>
      <c r="T1498" s="22" t="s">
        <v>1508</v>
      </c>
    </row>
    <row r="1499" spans="2:20" x14ac:dyDescent="0.3">
      <c r="B1499" s="5" t="s">
        <v>1412</v>
      </c>
      <c r="C1499" s="1">
        <v>8893631</v>
      </c>
      <c r="D1499" s="1">
        <v>37</v>
      </c>
      <c r="E1499" s="1" t="s">
        <v>12</v>
      </c>
      <c r="F1499" s="16">
        <v>46008</v>
      </c>
      <c r="G1499" s="1" t="s">
        <v>1470</v>
      </c>
      <c r="H1499" s="1" t="s">
        <v>1472</v>
      </c>
      <c r="I1499" s="17" t="s">
        <v>1502</v>
      </c>
      <c r="J1499" s="18" t="s">
        <v>13</v>
      </c>
      <c r="K1499" s="19" t="s">
        <v>14</v>
      </c>
      <c r="L1499" s="19" t="s">
        <v>49</v>
      </c>
      <c r="M1499" s="20">
        <v>6</v>
      </c>
      <c r="N1499" s="21">
        <v>99999</v>
      </c>
      <c r="O1499" s="22">
        <v>10</v>
      </c>
      <c r="P1499" s="23">
        <v>539994.6</v>
      </c>
      <c r="Q1499" s="22">
        <v>4.7</v>
      </c>
      <c r="R1499" s="22">
        <v>20</v>
      </c>
      <c r="S1499" s="23">
        <f>(Table13[[#This Row],[Unit Price]]*Table13[[#This Row],[No.of Units]])*18%</f>
        <v>107998.92</v>
      </c>
      <c r="T1499" s="22" t="s">
        <v>1507</v>
      </c>
    </row>
    <row r="1500" spans="2:20" x14ac:dyDescent="0.3">
      <c r="B1500" s="5" t="s">
        <v>1413</v>
      </c>
      <c r="C1500" s="1">
        <v>6796932</v>
      </c>
      <c r="D1500" s="1">
        <v>25</v>
      </c>
      <c r="E1500" s="1" t="s">
        <v>12</v>
      </c>
      <c r="F1500" s="16">
        <v>46008</v>
      </c>
      <c r="G1500" s="1" t="s">
        <v>1470</v>
      </c>
      <c r="H1500" s="1" t="s">
        <v>1472</v>
      </c>
      <c r="I1500" s="17" t="s">
        <v>1503</v>
      </c>
      <c r="J1500" s="18" t="s">
        <v>17</v>
      </c>
      <c r="K1500" s="19" t="s">
        <v>18</v>
      </c>
      <c r="L1500" s="19" t="s">
        <v>49</v>
      </c>
      <c r="M1500" s="20">
        <v>36</v>
      </c>
      <c r="N1500" s="21">
        <v>4999</v>
      </c>
      <c r="O1500" s="22">
        <v>18</v>
      </c>
      <c r="P1500" s="23">
        <v>147570.48000000001</v>
      </c>
      <c r="Q1500" s="22">
        <v>4.4000000000000004</v>
      </c>
      <c r="R1500" s="22">
        <v>20</v>
      </c>
      <c r="S1500" s="23">
        <f>(Table13[[#This Row],[Unit Price]]*Table13[[#This Row],[No.of Units]])*18%</f>
        <v>32393.52</v>
      </c>
      <c r="T1500" s="22" t="s">
        <v>1508</v>
      </c>
    </row>
    <row r="1501" spans="2:20" x14ac:dyDescent="0.3">
      <c r="B1501" s="5" t="s">
        <v>1413</v>
      </c>
      <c r="C1501" s="1">
        <v>6796932</v>
      </c>
      <c r="D1501" s="1">
        <v>23</v>
      </c>
      <c r="E1501" s="1" t="s">
        <v>12</v>
      </c>
      <c r="F1501" s="16">
        <v>46008</v>
      </c>
      <c r="G1501" s="1" t="s">
        <v>1470</v>
      </c>
      <c r="H1501" s="1" t="s">
        <v>1481</v>
      </c>
      <c r="I1501" s="17" t="s">
        <v>1504</v>
      </c>
      <c r="J1501" s="18" t="s">
        <v>21</v>
      </c>
      <c r="K1501" s="19" t="s">
        <v>18</v>
      </c>
      <c r="L1501" s="19" t="s">
        <v>49</v>
      </c>
      <c r="M1501" s="20">
        <v>9</v>
      </c>
      <c r="N1501" s="21">
        <v>24900</v>
      </c>
      <c r="O1501" s="22">
        <v>5</v>
      </c>
      <c r="P1501" s="23">
        <v>212895</v>
      </c>
      <c r="Q1501" s="22">
        <v>4.8</v>
      </c>
      <c r="R1501" s="22">
        <v>20</v>
      </c>
      <c r="S1501" s="23">
        <f>(Table13[[#This Row],[Unit Price]]*Table13[[#This Row],[No.of Units]])*18%</f>
        <v>40338</v>
      </c>
      <c r="T1501" s="22" t="s">
        <v>1508</v>
      </c>
    </row>
    <row r="1502" spans="2:20" x14ac:dyDescent="0.3">
      <c r="B1502" s="5" t="s">
        <v>1414</v>
      </c>
      <c r="C1502" s="1">
        <v>271059</v>
      </c>
      <c r="D1502" s="1">
        <v>26</v>
      </c>
      <c r="E1502" s="1" t="s">
        <v>12</v>
      </c>
      <c r="F1502" s="16">
        <v>46008</v>
      </c>
      <c r="G1502" s="1" t="s">
        <v>1470</v>
      </c>
      <c r="H1502" s="1" t="s">
        <v>1482</v>
      </c>
      <c r="I1502" s="17" t="s">
        <v>1505</v>
      </c>
      <c r="J1502" s="18" t="s">
        <v>23</v>
      </c>
      <c r="K1502" s="19" t="s">
        <v>14</v>
      </c>
      <c r="L1502" s="19" t="s">
        <v>49</v>
      </c>
      <c r="M1502" s="20">
        <v>5</v>
      </c>
      <c r="N1502" s="21">
        <v>84999</v>
      </c>
      <c r="O1502" s="22">
        <v>12</v>
      </c>
      <c r="P1502" s="23">
        <v>373995.6</v>
      </c>
      <c r="Q1502" s="22">
        <v>4.5</v>
      </c>
      <c r="R1502" s="22">
        <v>20</v>
      </c>
      <c r="S1502" s="23">
        <f>(Table13[[#This Row],[Unit Price]]*Table13[[#This Row],[No.of Units]])*18%</f>
        <v>76499.099999999991</v>
      </c>
      <c r="T1502" s="22" t="s">
        <v>1508</v>
      </c>
    </row>
    <row r="1503" spans="2:20" x14ac:dyDescent="0.3">
      <c r="B1503" s="5" t="s">
        <v>1414</v>
      </c>
      <c r="C1503" s="1">
        <v>271059</v>
      </c>
      <c r="D1503" s="1">
        <v>30</v>
      </c>
      <c r="E1503" s="1" t="s">
        <v>12</v>
      </c>
      <c r="F1503" s="16">
        <v>46008</v>
      </c>
      <c r="G1503" s="1" t="s">
        <v>1470</v>
      </c>
      <c r="H1503" s="1" t="s">
        <v>1471</v>
      </c>
      <c r="I1503" s="17" t="s">
        <v>1504</v>
      </c>
      <c r="J1503" s="18" t="s">
        <v>25</v>
      </c>
      <c r="K1503" s="19" t="s">
        <v>26</v>
      </c>
      <c r="L1503" s="19" t="s">
        <v>49</v>
      </c>
      <c r="M1503" s="20">
        <v>6</v>
      </c>
      <c r="N1503" s="21">
        <v>69999</v>
      </c>
      <c r="O1503" s="22">
        <v>8</v>
      </c>
      <c r="P1503" s="23">
        <v>386394.48</v>
      </c>
      <c r="Q1503" s="22">
        <v>4.8</v>
      </c>
      <c r="R1503" s="22">
        <v>20</v>
      </c>
      <c r="S1503" s="23">
        <f>(Table13[[#This Row],[Unit Price]]*Table13[[#This Row],[No.of Units]])*18%</f>
        <v>75598.92</v>
      </c>
      <c r="T1503" s="22" t="s">
        <v>1508</v>
      </c>
    </row>
    <row r="1504" spans="2:20" x14ac:dyDescent="0.3">
      <c r="B1504" s="5" t="s">
        <v>1414</v>
      </c>
      <c r="C1504" s="1">
        <v>271059</v>
      </c>
      <c r="D1504" s="1">
        <v>34</v>
      </c>
      <c r="E1504" s="1" t="s">
        <v>12</v>
      </c>
      <c r="F1504" s="16">
        <v>46008</v>
      </c>
      <c r="G1504" s="1" t="s">
        <v>1470</v>
      </c>
      <c r="H1504" s="1" t="s">
        <v>1481</v>
      </c>
      <c r="I1504" s="17" t="s">
        <v>1503</v>
      </c>
      <c r="J1504" s="18" t="s">
        <v>28</v>
      </c>
      <c r="K1504" s="19" t="s">
        <v>26</v>
      </c>
      <c r="L1504" s="19" t="s">
        <v>49</v>
      </c>
      <c r="M1504" s="20">
        <v>6</v>
      </c>
      <c r="N1504" s="21">
        <v>42999</v>
      </c>
      <c r="O1504" s="22">
        <v>15</v>
      </c>
      <c r="P1504" s="23">
        <v>219294.9</v>
      </c>
      <c r="Q1504" s="22">
        <v>4.5999999999999996</v>
      </c>
      <c r="R1504" s="22">
        <v>20</v>
      </c>
      <c r="S1504" s="23">
        <f>(Table13[[#This Row],[Unit Price]]*Table13[[#This Row],[No.of Units]])*18%</f>
        <v>46438.92</v>
      </c>
      <c r="T1504" s="22" t="s">
        <v>1508</v>
      </c>
    </row>
    <row r="1505" spans="2:20" x14ac:dyDescent="0.3">
      <c r="B1505" s="5" t="s">
        <v>1414</v>
      </c>
      <c r="C1505" s="1">
        <v>271059</v>
      </c>
      <c r="D1505" s="1">
        <v>19</v>
      </c>
      <c r="E1505" s="1" t="s">
        <v>34</v>
      </c>
      <c r="F1505" s="16">
        <v>46015</v>
      </c>
      <c r="G1505" s="1" t="s">
        <v>1470</v>
      </c>
      <c r="H1505" s="1" t="s">
        <v>1482</v>
      </c>
      <c r="I1505" s="17" t="s">
        <v>1502</v>
      </c>
      <c r="J1505" s="18" t="s">
        <v>13</v>
      </c>
      <c r="K1505" s="19" t="s">
        <v>14</v>
      </c>
      <c r="L1505" s="19" t="s">
        <v>15</v>
      </c>
      <c r="M1505" s="20">
        <v>3</v>
      </c>
      <c r="N1505" s="21">
        <v>99999</v>
      </c>
      <c r="O1505" s="22">
        <v>10</v>
      </c>
      <c r="P1505" s="23">
        <v>269997.3</v>
      </c>
      <c r="Q1505" s="22">
        <v>4.7</v>
      </c>
      <c r="R1505" s="22">
        <v>20</v>
      </c>
      <c r="S1505" s="23">
        <f>(Table13[[#This Row],[Unit Price]]*Table13[[#This Row],[No.of Units]])*18%</f>
        <v>53999.46</v>
      </c>
      <c r="T1505" s="22" t="s">
        <v>1508</v>
      </c>
    </row>
    <row r="1506" spans="2:20" x14ac:dyDescent="0.3">
      <c r="B1506" s="5" t="s">
        <v>1414</v>
      </c>
      <c r="C1506" s="1">
        <v>271059</v>
      </c>
      <c r="D1506" s="1">
        <v>36</v>
      </c>
      <c r="E1506" s="1" t="s">
        <v>12</v>
      </c>
      <c r="F1506" s="16">
        <v>46015</v>
      </c>
      <c r="G1506" s="1" t="s">
        <v>1470</v>
      </c>
      <c r="H1506" s="1" t="s">
        <v>1471</v>
      </c>
      <c r="I1506" s="17" t="s">
        <v>1503</v>
      </c>
      <c r="J1506" s="18" t="s">
        <v>17</v>
      </c>
      <c r="K1506" s="19" t="s">
        <v>18</v>
      </c>
      <c r="L1506" s="19" t="s">
        <v>15</v>
      </c>
      <c r="M1506" s="20">
        <v>60</v>
      </c>
      <c r="N1506" s="21">
        <v>4999</v>
      </c>
      <c r="O1506" s="22">
        <v>18</v>
      </c>
      <c r="P1506" s="23">
        <v>245950.8</v>
      </c>
      <c r="Q1506" s="22">
        <v>4.4000000000000004</v>
      </c>
      <c r="R1506" s="22">
        <v>20</v>
      </c>
      <c r="S1506" s="23">
        <f>(Table13[[#This Row],[Unit Price]]*Table13[[#This Row],[No.of Units]])*18%</f>
        <v>53989.2</v>
      </c>
      <c r="T1506" s="22" t="s">
        <v>1508</v>
      </c>
    </row>
    <row r="1507" spans="2:20" x14ac:dyDescent="0.3">
      <c r="B1507" s="5" t="s">
        <v>1415</v>
      </c>
      <c r="C1507" s="1">
        <v>5064895</v>
      </c>
      <c r="D1507" s="1">
        <v>46</v>
      </c>
      <c r="E1507" s="1" t="s">
        <v>12</v>
      </c>
      <c r="F1507" s="16">
        <v>46015</v>
      </c>
      <c r="G1507" s="1" t="s">
        <v>1470</v>
      </c>
      <c r="H1507" s="1" t="s">
        <v>1482</v>
      </c>
      <c r="I1507" s="17" t="s">
        <v>1504</v>
      </c>
      <c r="J1507" s="18" t="s">
        <v>21</v>
      </c>
      <c r="K1507" s="19" t="s">
        <v>18</v>
      </c>
      <c r="L1507" s="19" t="s">
        <v>15</v>
      </c>
      <c r="M1507" s="20">
        <v>14</v>
      </c>
      <c r="N1507" s="21">
        <v>24900</v>
      </c>
      <c r="O1507" s="22">
        <v>5</v>
      </c>
      <c r="P1507" s="23">
        <v>331170</v>
      </c>
      <c r="Q1507" s="22">
        <v>4.8</v>
      </c>
      <c r="R1507" s="22">
        <v>20</v>
      </c>
      <c r="S1507" s="23">
        <f>(Table13[[#This Row],[Unit Price]]*Table13[[#This Row],[No.of Units]])*18%</f>
        <v>62748</v>
      </c>
      <c r="T1507" s="22" t="s">
        <v>1508</v>
      </c>
    </row>
    <row r="1508" spans="2:20" x14ac:dyDescent="0.3">
      <c r="B1508" s="5" t="s">
        <v>1416</v>
      </c>
      <c r="C1508" s="1">
        <v>3798702</v>
      </c>
      <c r="D1508" s="1">
        <v>47</v>
      </c>
      <c r="E1508" s="1" t="s">
        <v>12</v>
      </c>
      <c r="F1508" s="16">
        <v>46015</v>
      </c>
      <c r="G1508" s="1" t="s">
        <v>1470</v>
      </c>
      <c r="H1508" s="1" t="s">
        <v>1471</v>
      </c>
      <c r="I1508" s="17" t="s">
        <v>1505</v>
      </c>
      <c r="J1508" s="18" t="s">
        <v>23</v>
      </c>
      <c r="K1508" s="19" t="s">
        <v>14</v>
      </c>
      <c r="L1508" s="19" t="s">
        <v>15</v>
      </c>
      <c r="M1508" s="20">
        <v>6</v>
      </c>
      <c r="N1508" s="21">
        <v>84999</v>
      </c>
      <c r="O1508" s="22">
        <v>12</v>
      </c>
      <c r="P1508" s="23">
        <v>448794.72</v>
      </c>
      <c r="Q1508" s="22">
        <v>4.5</v>
      </c>
      <c r="R1508" s="22">
        <v>20</v>
      </c>
      <c r="S1508" s="23">
        <f>(Table13[[#This Row],[Unit Price]]*Table13[[#This Row],[No.of Units]])*18%</f>
        <v>91798.92</v>
      </c>
      <c r="T1508" s="22" t="s">
        <v>1507</v>
      </c>
    </row>
    <row r="1509" spans="2:20" x14ac:dyDescent="0.3">
      <c r="B1509" s="5" t="s">
        <v>1417</v>
      </c>
      <c r="C1509" s="1">
        <v>4107684</v>
      </c>
      <c r="D1509" s="1">
        <v>64</v>
      </c>
      <c r="E1509" s="1" t="s">
        <v>20</v>
      </c>
      <c r="F1509" s="16">
        <v>46015</v>
      </c>
      <c r="G1509" s="1" t="s">
        <v>1470</v>
      </c>
      <c r="H1509" s="1" t="s">
        <v>1471</v>
      </c>
      <c r="I1509" s="17" t="s">
        <v>1504</v>
      </c>
      <c r="J1509" s="18" t="s">
        <v>25</v>
      </c>
      <c r="K1509" s="19" t="s">
        <v>26</v>
      </c>
      <c r="L1509" s="19" t="s">
        <v>15</v>
      </c>
      <c r="M1509" s="20">
        <v>2</v>
      </c>
      <c r="N1509" s="21">
        <v>69999</v>
      </c>
      <c r="O1509" s="22">
        <v>8</v>
      </c>
      <c r="P1509" s="23">
        <v>128798.16</v>
      </c>
      <c r="Q1509" s="22">
        <v>4.8</v>
      </c>
      <c r="R1509" s="22">
        <v>20</v>
      </c>
      <c r="S1509" s="23">
        <f>(Table13[[#This Row],[Unit Price]]*Table13[[#This Row],[No.of Units]])*18%</f>
        <v>25199.64</v>
      </c>
      <c r="T1509" s="22" t="s">
        <v>1507</v>
      </c>
    </row>
    <row r="1510" spans="2:20" x14ac:dyDescent="0.3">
      <c r="B1510" s="5" t="s">
        <v>1418</v>
      </c>
      <c r="C1510" s="1">
        <v>3572419</v>
      </c>
      <c r="D1510" s="1">
        <v>74</v>
      </c>
      <c r="E1510" s="1" t="s">
        <v>20</v>
      </c>
      <c r="F1510" s="16">
        <v>46015</v>
      </c>
      <c r="G1510" s="1" t="s">
        <v>1470</v>
      </c>
      <c r="H1510" s="1" t="s">
        <v>1471</v>
      </c>
      <c r="I1510" s="17" t="s">
        <v>1503</v>
      </c>
      <c r="J1510" s="18" t="s">
        <v>28</v>
      </c>
      <c r="K1510" s="19" t="s">
        <v>26</v>
      </c>
      <c r="L1510" s="19" t="s">
        <v>15</v>
      </c>
      <c r="M1510" s="20">
        <v>9</v>
      </c>
      <c r="N1510" s="21">
        <v>42999</v>
      </c>
      <c r="O1510" s="22">
        <v>15</v>
      </c>
      <c r="P1510" s="23">
        <v>328942.34999999998</v>
      </c>
      <c r="Q1510" s="22">
        <v>4.5999999999999996</v>
      </c>
      <c r="R1510" s="22">
        <v>20</v>
      </c>
      <c r="S1510" s="23">
        <f>(Table13[[#This Row],[Unit Price]]*Table13[[#This Row],[No.of Units]])*18%</f>
        <v>69658.38</v>
      </c>
      <c r="T1510" s="22" t="s">
        <v>1508</v>
      </c>
    </row>
    <row r="1511" spans="2:20" x14ac:dyDescent="0.3">
      <c r="B1511" s="5" t="s">
        <v>1419</v>
      </c>
      <c r="C1511" s="1">
        <v>7685627</v>
      </c>
      <c r="D1511" s="1">
        <v>27</v>
      </c>
      <c r="E1511" s="1" t="s">
        <v>12</v>
      </c>
      <c r="F1511" s="16">
        <v>46015</v>
      </c>
      <c r="G1511" s="1" t="s">
        <v>1470</v>
      </c>
      <c r="H1511" s="1" t="s">
        <v>1482</v>
      </c>
      <c r="I1511" s="17" t="s">
        <v>1502</v>
      </c>
      <c r="J1511" s="18" t="s">
        <v>13</v>
      </c>
      <c r="K1511" s="19" t="s">
        <v>14</v>
      </c>
      <c r="L1511" s="19" t="s">
        <v>29</v>
      </c>
      <c r="M1511" s="20">
        <v>3</v>
      </c>
      <c r="N1511" s="21">
        <v>99999</v>
      </c>
      <c r="O1511" s="22">
        <v>10</v>
      </c>
      <c r="P1511" s="23">
        <v>269997.3</v>
      </c>
      <c r="Q1511" s="22">
        <v>4.7</v>
      </c>
      <c r="R1511" s="22">
        <v>20</v>
      </c>
      <c r="S1511" s="23">
        <f>(Table13[[#This Row],[Unit Price]]*Table13[[#This Row],[No.of Units]])*18%</f>
        <v>53999.46</v>
      </c>
      <c r="T1511" s="22" t="s">
        <v>1507</v>
      </c>
    </row>
    <row r="1512" spans="2:20" x14ac:dyDescent="0.3">
      <c r="B1512" s="5" t="s">
        <v>1420</v>
      </c>
      <c r="C1512" s="1">
        <v>4362268</v>
      </c>
      <c r="D1512" s="1">
        <v>23</v>
      </c>
      <c r="E1512" s="1" t="s">
        <v>12</v>
      </c>
      <c r="F1512" s="16">
        <v>46015</v>
      </c>
      <c r="G1512" s="1" t="s">
        <v>1470</v>
      </c>
      <c r="H1512" s="1" t="s">
        <v>1472</v>
      </c>
      <c r="I1512" s="17" t="s">
        <v>1503</v>
      </c>
      <c r="J1512" s="18" t="s">
        <v>17</v>
      </c>
      <c r="K1512" s="19" t="s">
        <v>18</v>
      </c>
      <c r="L1512" s="19" t="s">
        <v>29</v>
      </c>
      <c r="M1512" s="20">
        <v>66</v>
      </c>
      <c r="N1512" s="21">
        <v>4999</v>
      </c>
      <c r="O1512" s="22">
        <v>18</v>
      </c>
      <c r="P1512" s="23">
        <v>270545.88</v>
      </c>
      <c r="Q1512" s="22">
        <v>4.4000000000000004</v>
      </c>
      <c r="R1512" s="22">
        <v>20</v>
      </c>
      <c r="S1512" s="23">
        <f>(Table13[[#This Row],[Unit Price]]*Table13[[#This Row],[No.of Units]])*18%</f>
        <v>59388.119999999995</v>
      </c>
      <c r="T1512" s="22" t="s">
        <v>1508</v>
      </c>
    </row>
    <row r="1513" spans="2:20" x14ac:dyDescent="0.3">
      <c r="B1513" s="5" t="s">
        <v>1421</v>
      </c>
      <c r="C1513" s="1">
        <v>6435955</v>
      </c>
      <c r="D1513" s="1">
        <v>51</v>
      </c>
      <c r="E1513" s="1" t="s">
        <v>20</v>
      </c>
      <c r="F1513" s="16">
        <v>46015</v>
      </c>
      <c r="G1513" s="1" t="s">
        <v>1470</v>
      </c>
      <c r="H1513" s="1" t="s">
        <v>1471</v>
      </c>
      <c r="I1513" s="17" t="s">
        <v>1504</v>
      </c>
      <c r="J1513" s="18" t="s">
        <v>21</v>
      </c>
      <c r="K1513" s="19" t="s">
        <v>18</v>
      </c>
      <c r="L1513" s="19" t="s">
        <v>29</v>
      </c>
      <c r="M1513" s="20">
        <v>15</v>
      </c>
      <c r="N1513" s="21">
        <v>24900</v>
      </c>
      <c r="O1513" s="22">
        <v>5</v>
      </c>
      <c r="P1513" s="23">
        <v>354825</v>
      </c>
      <c r="Q1513" s="22">
        <v>4.8</v>
      </c>
      <c r="R1513" s="22">
        <v>20</v>
      </c>
      <c r="S1513" s="23">
        <f>(Table13[[#This Row],[Unit Price]]*Table13[[#This Row],[No.of Units]])*18%</f>
        <v>67230</v>
      </c>
      <c r="T1513" s="22" t="s">
        <v>1508</v>
      </c>
    </row>
    <row r="1514" spans="2:20" x14ac:dyDescent="0.3">
      <c r="B1514" s="5" t="s">
        <v>1422</v>
      </c>
      <c r="C1514" s="1">
        <v>7448214</v>
      </c>
      <c r="D1514" s="1">
        <v>19</v>
      </c>
      <c r="E1514" s="1" t="s">
        <v>34</v>
      </c>
      <c r="F1514" s="16">
        <v>46015</v>
      </c>
      <c r="G1514" s="1" t="s">
        <v>1470</v>
      </c>
      <c r="H1514" s="1" t="s">
        <v>1472</v>
      </c>
      <c r="I1514" s="17" t="s">
        <v>1505</v>
      </c>
      <c r="J1514" s="18" t="s">
        <v>23</v>
      </c>
      <c r="K1514" s="19" t="s">
        <v>14</v>
      </c>
      <c r="L1514" s="19" t="s">
        <v>29</v>
      </c>
      <c r="M1514" s="20">
        <v>6</v>
      </c>
      <c r="N1514" s="21">
        <v>84999</v>
      </c>
      <c r="O1514" s="22">
        <v>12</v>
      </c>
      <c r="P1514" s="23">
        <v>448794.72</v>
      </c>
      <c r="Q1514" s="22">
        <v>4.5</v>
      </c>
      <c r="R1514" s="22">
        <v>20</v>
      </c>
      <c r="S1514" s="23">
        <f>(Table13[[#This Row],[Unit Price]]*Table13[[#This Row],[No.of Units]])*18%</f>
        <v>91798.92</v>
      </c>
      <c r="T1514" s="22" t="s">
        <v>1507</v>
      </c>
    </row>
    <row r="1515" spans="2:20" x14ac:dyDescent="0.3">
      <c r="B1515" s="5" t="s">
        <v>1423</v>
      </c>
      <c r="C1515" s="1">
        <v>9969448</v>
      </c>
      <c r="D1515" s="1">
        <v>77</v>
      </c>
      <c r="E1515" s="1" t="s">
        <v>20</v>
      </c>
      <c r="F1515" s="16">
        <v>46015</v>
      </c>
      <c r="G1515" s="1" t="s">
        <v>1470</v>
      </c>
      <c r="H1515" s="1" t="s">
        <v>1483</v>
      </c>
      <c r="I1515" s="17" t="s">
        <v>1504</v>
      </c>
      <c r="J1515" s="18" t="s">
        <v>25</v>
      </c>
      <c r="K1515" s="19" t="s">
        <v>26</v>
      </c>
      <c r="L1515" s="19" t="s">
        <v>29</v>
      </c>
      <c r="M1515" s="20">
        <v>4</v>
      </c>
      <c r="N1515" s="21">
        <v>69999</v>
      </c>
      <c r="O1515" s="22">
        <v>8</v>
      </c>
      <c r="P1515" s="23">
        <v>257596.32</v>
      </c>
      <c r="Q1515" s="22">
        <v>4.8</v>
      </c>
      <c r="R1515" s="22">
        <v>20</v>
      </c>
      <c r="S1515" s="23">
        <f>(Table13[[#This Row],[Unit Price]]*Table13[[#This Row],[No.of Units]])*18%</f>
        <v>50399.28</v>
      </c>
      <c r="T1515" s="22" t="s">
        <v>1508</v>
      </c>
    </row>
    <row r="1516" spans="2:20" x14ac:dyDescent="0.3">
      <c r="B1516" s="5" t="s">
        <v>1424</v>
      </c>
      <c r="C1516" s="1">
        <v>6359995</v>
      </c>
      <c r="D1516" s="1">
        <v>37</v>
      </c>
      <c r="E1516" s="1" t="s">
        <v>12</v>
      </c>
      <c r="F1516" s="16">
        <v>46015</v>
      </c>
      <c r="G1516" s="1" t="s">
        <v>1470</v>
      </c>
      <c r="H1516" s="1" t="s">
        <v>1472</v>
      </c>
      <c r="I1516" s="17" t="s">
        <v>1503</v>
      </c>
      <c r="J1516" s="18" t="s">
        <v>28</v>
      </c>
      <c r="K1516" s="19" t="s">
        <v>26</v>
      </c>
      <c r="L1516" s="19" t="s">
        <v>29</v>
      </c>
      <c r="M1516" s="20">
        <v>6</v>
      </c>
      <c r="N1516" s="21">
        <v>42999</v>
      </c>
      <c r="O1516" s="22">
        <v>15</v>
      </c>
      <c r="P1516" s="23">
        <v>219294.9</v>
      </c>
      <c r="Q1516" s="22">
        <v>4.5999999999999996</v>
      </c>
      <c r="R1516" s="22">
        <v>20</v>
      </c>
      <c r="S1516" s="23">
        <f>(Table13[[#This Row],[Unit Price]]*Table13[[#This Row],[No.of Units]])*18%</f>
        <v>46438.92</v>
      </c>
      <c r="T1516" s="22" t="s">
        <v>1507</v>
      </c>
    </row>
    <row r="1517" spans="2:20" x14ac:dyDescent="0.3">
      <c r="B1517" s="5" t="s">
        <v>1424</v>
      </c>
      <c r="C1517" s="1">
        <v>6359995</v>
      </c>
      <c r="D1517" s="1">
        <v>35</v>
      </c>
      <c r="E1517" s="1" t="s">
        <v>12</v>
      </c>
      <c r="F1517" s="16">
        <v>46015</v>
      </c>
      <c r="G1517" s="1" t="s">
        <v>1474</v>
      </c>
      <c r="H1517" s="1" t="s">
        <v>1472</v>
      </c>
      <c r="I1517" s="17" t="s">
        <v>1502</v>
      </c>
      <c r="J1517" s="18" t="s">
        <v>13</v>
      </c>
      <c r="K1517" s="19" t="s">
        <v>14</v>
      </c>
      <c r="L1517" s="19" t="s">
        <v>35</v>
      </c>
      <c r="M1517" s="20">
        <v>4</v>
      </c>
      <c r="N1517" s="21">
        <v>99999</v>
      </c>
      <c r="O1517" s="22">
        <v>10</v>
      </c>
      <c r="P1517" s="23">
        <v>359996.4</v>
      </c>
      <c r="Q1517" s="22">
        <v>4.7</v>
      </c>
      <c r="R1517" s="22">
        <v>20</v>
      </c>
      <c r="S1517" s="23">
        <f>(Table13[[#This Row],[Unit Price]]*Table13[[#This Row],[No.of Units]])*18%</f>
        <v>71999.28</v>
      </c>
      <c r="T1517" s="22" t="s">
        <v>1507</v>
      </c>
    </row>
    <row r="1518" spans="2:20" x14ac:dyDescent="0.3">
      <c r="B1518" s="5" t="s">
        <v>1425</v>
      </c>
      <c r="C1518" s="1">
        <v>6597399</v>
      </c>
      <c r="D1518" s="1">
        <v>23</v>
      </c>
      <c r="E1518" s="1" t="s">
        <v>12</v>
      </c>
      <c r="F1518" s="16">
        <v>46015</v>
      </c>
      <c r="G1518" s="1" t="s">
        <v>1470</v>
      </c>
      <c r="H1518" s="1" t="s">
        <v>1483</v>
      </c>
      <c r="I1518" s="17" t="s">
        <v>1503</v>
      </c>
      <c r="J1518" s="18" t="s">
        <v>17</v>
      </c>
      <c r="K1518" s="19" t="s">
        <v>18</v>
      </c>
      <c r="L1518" s="19" t="s">
        <v>35</v>
      </c>
      <c r="M1518" s="20">
        <v>31</v>
      </c>
      <c r="N1518" s="21">
        <v>4999</v>
      </c>
      <c r="O1518" s="22">
        <v>18</v>
      </c>
      <c r="P1518" s="23">
        <v>127074.58</v>
      </c>
      <c r="Q1518" s="22">
        <v>4.4000000000000004</v>
      </c>
      <c r="R1518" s="22">
        <v>20</v>
      </c>
      <c r="S1518" s="23">
        <f>(Table13[[#This Row],[Unit Price]]*Table13[[#This Row],[No.of Units]])*18%</f>
        <v>27894.42</v>
      </c>
      <c r="T1518" s="22" t="s">
        <v>1508</v>
      </c>
    </row>
    <row r="1519" spans="2:20" x14ac:dyDescent="0.3">
      <c r="B1519" s="5" t="s">
        <v>1426</v>
      </c>
      <c r="C1519" s="1">
        <v>5356391</v>
      </c>
      <c r="D1519" s="1">
        <v>25</v>
      </c>
      <c r="E1519" s="1" t="s">
        <v>12</v>
      </c>
      <c r="F1519" s="16">
        <v>46015</v>
      </c>
      <c r="G1519" s="1" t="s">
        <v>1470</v>
      </c>
      <c r="H1519" s="1" t="s">
        <v>1471</v>
      </c>
      <c r="I1519" s="17" t="s">
        <v>1504</v>
      </c>
      <c r="J1519" s="18" t="s">
        <v>21</v>
      </c>
      <c r="K1519" s="19" t="s">
        <v>18</v>
      </c>
      <c r="L1519" s="19" t="s">
        <v>35</v>
      </c>
      <c r="M1519" s="20">
        <v>5</v>
      </c>
      <c r="N1519" s="21">
        <v>24900</v>
      </c>
      <c r="O1519" s="22">
        <v>5</v>
      </c>
      <c r="P1519" s="23">
        <v>118275</v>
      </c>
      <c r="Q1519" s="22">
        <v>4.8</v>
      </c>
      <c r="R1519" s="22">
        <v>20</v>
      </c>
      <c r="S1519" s="23">
        <f>(Table13[[#This Row],[Unit Price]]*Table13[[#This Row],[No.of Units]])*18%</f>
        <v>22410</v>
      </c>
      <c r="T1519" s="22" t="s">
        <v>1508</v>
      </c>
    </row>
    <row r="1520" spans="2:20" x14ac:dyDescent="0.3">
      <c r="B1520" s="5" t="s">
        <v>1426</v>
      </c>
      <c r="C1520" s="1">
        <v>5356391</v>
      </c>
      <c r="D1520" s="1">
        <v>23</v>
      </c>
      <c r="E1520" s="1" t="s">
        <v>12</v>
      </c>
      <c r="F1520" s="16">
        <v>46015</v>
      </c>
      <c r="G1520" s="1" t="s">
        <v>1470</v>
      </c>
      <c r="H1520" s="1" t="s">
        <v>1482</v>
      </c>
      <c r="I1520" s="17" t="s">
        <v>1505</v>
      </c>
      <c r="J1520" s="18" t="s">
        <v>23</v>
      </c>
      <c r="K1520" s="19" t="s">
        <v>14</v>
      </c>
      <c r="L1520" s="19" t="s">
        <v>35</v>
      </c>
      <c r="M1520" s="20">
        <v>5</v>
      </c>
      <c r="N1520" s="21">
        <v>84999</v>
      </c>
      <c r="O1520" s="22">
        <v>12</v>
      </c>
      <c r="P1520" s="23">
        <v>373995.6</v>
      </c>
      <c r="Q1520" s="22">
        <v>4.5</v>
      </c>
      <c r="R1520" s="22">
        <v>20</v>
      </c>
      <c r="S1520" s="23">
        <f>(Table13[[#This Row],[Unit Price]]*Table13[[#This Row],[No.of Units]])*18%</f>
        <v>76499.099999999991</v>
      </c>
      <c r="T1520" s="22" t="s">
        <v>1507</v>
      </c>
    </row>
    <row r="1521" spans="2:20" x14ac:dyDescent="0.3">
      <c r="B1521" s="5" t="s">
        <v>1427</v>
      </c>
      <c r="C1521" s="1">
        <v>6382929</v>
      </c>
      <c r="D1521" s="1">
        <v>59</v>
      </c>
      <c r="E1521" s="1" t="s">
        <v>20</v>
      </c>
      <c r="F1521" s="16">
        <v>46015</v>
      </c>
      <c r="G1521" s="1" t="s">
        <v>1470</v>
      </c>
      <c r="H1521" s="1" t="s">
        <v>1471</v>
      </c>
      <c r="I1521" s="17" t="s">
        <v>1504</v>
      </c>
      <c r="J1521" s="18" t="s">
        <v>25</v>
      </c>
      <c r="K1521" s="19" t="s">
        <v>26</v>
      </c>
      <c r="L1521" s="19" t="s">
        <v>35</v>
      </c>
      <c r="M1521" s="20">
        <v>4</v>
      </c>
      <c r="N1521" s="21">
        <v>69999</v>
      </c>
      <c r="O1521" s="22">
        <v>8</v>
      </c>
      <c r="P1521" s="23">
        <v>257596.32</v>
      </c>
      <c r="Q1521" s="22">
        <v>4.8</v>
      </c>
      <c r="R1521" s="22">
        <v>20</v>
      </c>
      <c r="S1521" s="23">
        <f>(Table13[[#This Row],[Unit Price]]*Table13[[#This Row],[No.of Units]])*18%</f>
        <v>50399.28</v>
      </c>
      <c r="T1521" s="22" t="s">
        <v>1507</v>
      </c>
    </row>
    <row r="1522" spans="2:20" x14ac:dyDescent="0.3">
      <c r="B1522" s="5" t="s">
        <v>1428</v>
      </c>
      <c r="C1522" s="1">
        <v>4133616</v>
      </c>
      <c r="D1522" s="1">
        <v>34</v>
      </c>
      <c r="E1522" s="1" t="s">
        <v>12</v>
      </c>
      <c r="F1522" s="16">
        <v>46015</v>
      </c>
      <c r="G1522" s="1" t="s">
        <v>1470</v>
      </c>
      <c r="H1522" s="1" t="s">
        <v>1472</v>
      </c>
      <c r="I1522" s="17" t="s">
        <v>1503</v>
      </c>
      <c r="J1522" s="18" t="s">
        <v>28</v>
      </c>
      <c r="K1522" s="19" t="s">
        <v>26</v>
      </c>
      <c r="L1522" s="19" t="s">
        <v>35</v>
      </c>
      <c r="M1522" s="20">
        <v>5</v>
      </c>
      <c r="N1522" s="21">
        <v>42999</v>
      </c>
      <c r="O1522" s="22">
        <v>15</v>
      </c>
      <c r="P1522" s="23">
        <v>182745.75</v>
      </c>
      <c r="Q1522" s="22">
        <v>4.5999999999999996</v>
      </c>
      <c r="R1522" s="22">
        <v>20</v>
      </c>
      <c r="S1522" s="23">
        <f>(Table13[[#This Row],[Unit Price]]*Table13[[#This Row],[No.of Units]])*18%</f>
        <v>38699.1</v>
      </c>
      <c r="T1522" s="22" t="s">
        <v>1508</v>
      </c>
    </row>
    <row r="1523" spans="2:20" x14ac:dyDescent="0.3">
      <c r="B1523" s="5" t="s">
        <v>1429</v>
      </c>
      <c r="C1523" s="1">
        <v>2288474</v>
      </c>
      <c r="D1523" s="1">
        <v>42</v>
      </c>
      <c r="E1523" s="1" t="s">
        <v>12</v>
      </c>
      <c r="F1523" s="16">
        <v>46015</v>
      </c>
      <c r="G1523" s="1" t="s">
        <v>1470</v>
      </c>
      <c r="H1523" s="1" t="s">
        <v>1471</v>
      </c>
      <c r="I1523" s="17" t="s">
        <v>1502</v>
      </c>
      <c r="J1523" s="18" t="s">
        <v>13</v>
      </c>
      <c r="K1523" s="19" t="s">
        <v>14</v>
      </c>
      <c r="L1523" s="19" t="s">
        <v>42</v>
      </c>
      <c r="M1523" s="20">
        <v>3</v>
      </c>
      <c r="N1523" s="21">
        <v>99999</v>
      </c>
      <c r="O1523" s="22">
        <v>10</v>
      </c>
      <c r="P1523" s="23">
        <v>269997.3</v>
      </c>
      <c r="Q1523" s="22">
        <v>4.7</v>
      </c>
      <c r="R1523" s="22">
        <v>20</v>
      </c>
      <c r="S1523" s="23">
        <f>(Table13[[#This Row],[Unit Price]]*Table13[[#This Row],[No.of Units]])*18%</f>
        <v>53999.46</v>
      </c>
      <c r="T1523" s="22" t="s">
        <v>1508</v>
      </c>
    </row>
    <row r="1524" spans="2:20" x14ac:dyDescent="0.3">
      <c r="B1524" s="5" t="s">
        <v>1430</v>
      </c>
      <c r="C1524" s="1">
        <v>5308365</v>
      </c>
      <c r="D1524" s="1">
        <v>23</v>
      </c>
      <c r="E1524" s="1" t="s">
        <v>12</v>
      </c>
      <c r="F1524" s="16">
        <v>46015</v>
      </c>
      <c r="G1524" s="1" t="s">
        <v>1470</v>
      </c>
      <c r="H1524" s="1" t="s">
        <v>1472</v>
      </c>
      <c r="I1524" s="17" t="s">
        <v>1503</v>
      </c>
      <c r="J1524" s="18" t="s">
        <v>17</v>
      </c>
      <c r="K1524" s="19" t="s">
        <v>18</v>
      </c>
      <c r="L1524" s="19" t="s">
        <v>42</v>
      </c>
      <c r="M1524" s="20">
        <v>52</v>
      </c>
      <c r="N1524" s="21">
        <v>4999</v>
      </c>
      <c r="O1524" s="22">
        <v>18</v>
      </c>
      <c r="P1524" s="23">
        <v>213157.36</v>
      </c>
      <c r="Q1524" s="22">
        <v>4.4000000000000004</v>
      </c>
      <c r="R1524" s="22">
        <v>20</v>
      </c>
      <c r="S1524" s="23">
        <f>(Table13[[#This Row],[Unit Price]]*Table13[[#This Row],[No.of Units]])*18%</f>
        <v>46790.64</v>
      </c>
      <c r="T1524" s="22" t="s">
        <v>1508</v>
      </c>
    </row>
    <row r="1525" spans="2:20" x14ac:dyDescent="0.3">
      <c r="B1525" s="5" t="s">
        <v>1431</v>
      </c>
      <c r="C1525" s="1">
        <v>3359583</v>
      </c>
      <c r="D1525" s="1">
        <v>76</v>
      </c>
      <c r="E1525" s="1" t="s">
        <v>20</v>
      </c>
      <c r="F1525" s="16">
        <v>46015</v>
      </c>
      <c r="G1525" s="1" t="s">
        <v>1470</v>
      </c>
      <c r="H1525" s="1" t="s">
        <v>1482</v>
      </c>
      <c r="I1525" s="17" t="s">
        <v>1504</v>
      </c>
      <c r="J1525" s="18" t="s">
        <v>21</v>
      </c>
      <c r="K1525" s="19" t="s">
        <v>18</v>
      </c>
      <c r="L1525" s="19" t="s">
        <v>42</v>
      </c>
      <c r="M1525" s="20">
        <v>8</v>
      </c>
      <c r="N1525" s="21">
        <v>24900</v>
      </c>
      <c r="O1525" s="22">
        <v>5</v>
      </c>
      <c r="P1525" s="23">
        <v>189240</v>
      </c>
      <c r="Q1525" s="22">
        <v>4.8</v>
      </c>
      <c r="R1525" s="22">
        <v>20</v>
      </c>
      <c r="S1525" s="23">
        <f>(Table13[[#This Row],[Unit Price]]*Table13[[#This Row],[No.of Units]])*18%</f>
        <v>35856</v>
      </c>
      <c r="T1525" s="22" t="s">
        <v>1508</v>
      </c>
    </row>
    <row r="1526" spans="2:20" x14ac:dyDescent="0.3">
      <c r="B1526" s="5" t="s">
        <v>1432</v>
      </c>
      <c r="C1526" s="1">
        <v>4652998</v>
      </c>
      <c r="D1526" s="1">
        <v>24</v>
      </c>
      <c r="E1526" s="1" t="s">
        <v>12</v>
      </c>
      <c r="F1526" s="16">
        <v>46015</v>
      </c>
      <c r="G1526" s="1" t="s">
        <v>1470</v>
      </c>
      <c r="H1526" s="1" t="s">
        <v>1482</v>
      </c>
      <c r="I1526" s="17" t="s">
        <v>1505</v>
      </c>
      <c r="J1526" s="18" t="s">
        <v>23</v>
      </c>
      <c r="K1526" s="19" t="s">
        <v>14</v>
      </c>
      <c r="L1526" s="19" t="s">
        <v>42</v>
      </c>
      <c r="M1526" s="20">
        <v>2</v>
      </c>
      <c r="N1526" s="21">
        <v>84999</v>
      </c>
      <c r="O1526" s="22">
        <v>12</v>
      </c>
      <c r="P1526" s="23">
        <v>149598.24</v>
      </c>
      <c r="Q1526" s="22">
        <v>4.5</v>
      </c>
      <c r="R1526" s="22">
        <v>20</v>
      </c>
      <c r="S1526" s="23">
        <f>(Table13[[#This Row],[Unit Price]]*Table13[[#This Row],[No.of Units]])*18%</f>
        <v>30599.64</v>
      </c>
      <c r="T1526" s="22" t="s">
        <v>1507</v>
      </c>
    </row>
    <row r="1527" spans="2:20" x14ac:dyDescent="0.3">
      <c r="B1527" s="5" t="s">
        <v>1433</v>
      </c>
      <c r="C1527" s="1">
        <v>193674</v>
      </c>
      <c r="D1527" s="1">
        <v>39</v>
      </c>
      <c r="E1527" s="1" t="s">
        <v>12</v>
      </c>
      <c r="F1527" s="16">
        <v>46015</v>
      </c>
      <c r="G1527" s="1" t="s">
        <v>1470</v>
      </c>
      <c r="H1527" s="1" t="s">
        <v>1471</v>
      </c>
      <c r="I1527" s="17" t="s">
        <v>1504</v>
      </c>
      <c r="J1527" s="18" t="s">
        <v>25</v>
      </c>
      <c r="K1527" s="19" t="s">
        <v>26</v>
      </c>
      <c r="L1527" s="19" t="s">
        <v>42</v>
      </c>
      <c r="M1527" s="20">
        <v>3</v>
      </c>
      <c r="N1527" s="21">
        <v>69999</v>
      </c>
      <c r="O1527" s="22">
        <v>8</v>
      </c>
      <c r="P1527" s="23">
        <v>193197.24</v>
      </c>
      <c r="Q1527" s="22">
        <v>4.8</v>
      </c>
      <c r="R1527" s="22">
        <v>20</v>
      </c>
      <c r="S1527" s="23">
        <f>(Table13[[#This Row],[Unit Price]]*Table13[[#This Row],[No.of Units]])*18%</f>
        <v>37799.46</v>
      </c>
      <c r="T1527" s="22" t="s">
        <v>1508</v>
      </c>
    </row>
    <row r="1528" spans="2:20" x14ac:dyDescent="0.3">
      <c r="B1528" s="5" t="s">
        <v>1434</v>
      </c>
      <c r="C1528" s="1">
        <v>6183438</v>
      </c>
      <c r="D1528" s="1">
        <v>32</v>
      </c>
      <c r="E1528" s="1" t="s">
        <v>12</v>
      </c>
      <c r="F1528" s="16">
        <v>46015</v>
      </c>
      <c r="G1528" s="1" t="s">
        <v>1470</v>
      </c>
      <c r="H1528" s="1" t="s">
        <v>1483</v>
      </c>
      <c r="I1528" s="17" t="s">
        <v>1503</v>
      </c>
      <c r="J1528" s="18" t="s">
        <v>28</v>
      </c>
      <c r="K1528" s="19" t="s">
        <v>26</v>
      </c>
      <c r="L1528" s="19" t="s">
        <v>42</v>
      </c>
      <c r="M1528" s="20">
        <v>5</v>
      </c>
      <c r="N1528" s="21">
        <v>42999</v>
      </c>
      <c r="O1528" s="22">
        <v>15</v>
      </c>
      <c r="P1528" s="23">
        <v>182745.75</v>
      </c>
      <c r="Q1528" s="22">
        <v>4.5999999999999996</v>
      </c>
      <c r="R1528" s="22">
        <v>20</v>
      </c>
      <c r="S1528" s="23">
        <f>(Table13[[#This Row],[Unit Price]]*Table13[[#This Row],[No.of Units]])*18%</f>
        <v>38699.1</v>
      </c>
      <c r="T1528" s="22" t="s">
        <v>1507</v>
      </c>
    </row>
    <row r="1529" spans="2:20" x14ac:dyDescent="0.3">
      <c r="B1529" s="5" t="s">
        <v>1435</v>
      </c>
      <c r="C1529" s="1">
        <v>9541623</v>
      </c>
      <c r="D1529" s="1">
        <v>32</v>
      </c>
      <c r="E1529" s="1" t="s">
        <v>12</v>
      </c>
      <c r="F1529" s="16">
        <v>46015</v>
      </c>
      <c r="G1529" s="1" t="s">
        <v>1470</v>
      </c>
      <c r="H1529" s="1" t="s">
        <v>1471</v>
      </c>
      <c r="I1529" s="17" t="s">
        <v>1502</v>
      </c>
      <c r="J1529" s="18" t="s">
        <v>13</v>
      </c>
      <c r="K1529" s="19" t="s">
        <v>14</v>
      </c>
      <c r="L1529" s="19" t="s">
        <v>49</v>
      </c>
      <c r="M1529" s="20">
        <v>5</v>
      </c>
      <c r="N1529" s="21">
        <v>99999</v>
      </c>
      <c r="O1529" s="22">
        <v>10</v>
      </c>
      <c r="P1529" s="23">
        <v>449995.5</v>
      </c>
      <c r="Q1529" s="22">
        <v>4.7</v>
      </c>
      <c r="R1529" s="22">
        <v>20</v>
      </c>
      <c r="S1529" s="23">
        <f>(Table13[[#This Row],[Unit Price]]*Table13[[#This Row],[No.of Units]])*18%</f>
        <v>89999.099999999991</v>
      </c>
      <c r="T1529" s="22" t="s">
        <v>1507</v>
      </c>
    </row>
    <row r="1530" spans="2:20" x14ac:dyDescent="0.3">
      <c r="B1530" s="5" t="s">
        <v>1436</v>
      </c>
      <c r="C1530" s="1">
        <v>1537228</v>
      </c>
      <c r="D1530" s="1">
        <v>47</v>
      </c>
      <c r="E1530" s="1" t="s">
        <v>12</v>
      </c>
      <c r="F1530" s="16">
        <v>46015</v>
      </c>
      <c r="G1530" s="1" t="s">
        <v>1470</v>
      </c>
      <c r="H1530" s="1" t="s">
        <v>1482</v>
      </c>
      <c r="I1530" s="17" t="s">
        <v>1503</v>
      </c>
      <c r="J1530" s="18" t="s">
        <v>17</v>
      </c>
      <c r="K1530" s="19" t="s">
        <v>18</v>
      </c>
      <c r="L1530" s="19" t="s">
        <v>49</v>
      </c>
      <c r="M1530" s="20">
        <v>34</v>
      </c>
      <c r="N1530" s="21">
        <v>4999</v>
      </c>
      <c r="O1530" s="22">
        <v>18</v>
      </c>
      <c r="P1530" s="23">
        <v>139372.12</v>
      </c>
      <c r="Q1530" s="22">
        <v>4.4000000000000004</v>
      </c>
      <c r="R1530" s="22">
        <v>20</v>
      </c>
      <c r="S1530" s="23">
        <f>(Table13[[#This Row],[Unit Price]]*Table13[[#This Row],[No.of Units]])*18%</f>
        <v>30593.879999999997</v>
      </c>
      <c r="T1530" s="22" t="s">
        <v>1508</v>
      </c>
    </row>
    <row r="1531" spans="2:20" x14ac:dyDescent="0.3">
      <c r="B1531" s="5" t="s">
        <v>1437</v>
      </c>
      <c r="C1531" s="1">
        <v>9462272</v>
      </c>
      <c r="D1531" s="1">
        <v>52</v>
      </c>
      <c r="E1531" s="1" t="s">
        <v>20</v>
      </c>
      <c r="F1531" s="16">
        <v>46015</v>
      </c>
      <c r="G1531" s="1" t="s">
        <v>1470</v>
      </c>
      <c r="H1531" s="1" t="s">
        <v>1471</v>
      </c>
      <c r="I1531" s="17" t="s">
        <v>1504</v>
      </c>
      <c r="J1531" s="18" t="s">
        <v>21</v>
      </c>
      <c r="K1531" s="19" t="s">
        <v>18</v>
      </c>
      <c r="L1531" s="19" t="s">
        <v>49</v>
      </c>
      <c r="M1531" s="20">
        <v>10</v>
      </c>
      <c r="N1531" s="21">
        <v>24900</v>
      </c>
      <c r="O1531" s="22">
        <v>5</v>
      </c>
      <c r="P1531" s="23">
        <v>236550</v>
      </c>
      <c r="Q1531" s="22">
        <v>4.8</v>
      </c>
      <c r="R1531" s="22">
        <v>20</v>
      </c>
      <c r="S1531" s="23">
        <f>(Table13[[#This Row],[Unit Price]]*Table13[[#This Row],[No.of Units]])*18%</f>
        <v>44820</v>
      </c>
      <c r="T1531" s="22" t="s">
        <v>1507</v>
      </c>
    </row>
    <row r="1532" spans="2:20" x14ac:dyDescent="0.3">
      <c r="B1532" s="5" t="s">
        <v>1438</v>
      </c>
      <c r="C1532" s="1">
        <v>1453043</v>
      </c>
      <c r="D1532" s="1">
        <v>77</v>
      </c>
      <c r="E1532" s="1" t="s">
        <v>20</v>
      </c>
      <c r="F1532" s="16">
        <v>46015</v>
      </c>
      <c r="G1532" s="1" t="s">
        <v>1470</v>
      </c>
      <c r="H1532" s="1" t="s">
        <v>1471</v>
      </c>
      <c r="I1532" s="17" t="s">
        <v>1505</v>
      </c>
      <c r="J1532" s="18" t="s">
        <v>23</v>
      </c>
      <c r="K1532" s="19" t="s">
        <v>14</v>
      </c>
      <c r="L1532" s="19" t="s">
        <v>49</v>
      </c>
      <c r="M1532" s="20">
        <v>6</v>
      </c>
      <c r="N1532" s="21">
        <v>84999</v>
      </c>
      <c r="O1532" s="22">
        <v>12</v>
      </c>
      <c r="P1532" s="23">
        <v>448794.72</v>
      </c>
      <c r="Q1532" s="22">
        <v>4.5</v>
      </c>
      <c r="R1532" s="22">
        <v>20</v>
      </c>
      <c r="S1532" s="23">
        <f>(Table13[[#This Row],[Unit Price]]*Table13[[#This Row],[No.of Units]])*18%</f>
        <v>91798.92</v>
      </c>
      <c r="T1532" s="22" t="s">
        <v>1508</v>
      </c>
    </row>
    <row r="1533" spans="2:20" x14ac:dyDescent="0.3">
      <c r="B1533" s="5" t="s">
        <v>1439</v>
      </c>
      <c r="C1533" s="1">
        <v>2894896</v>
      </c>
      <c r="D1533" s="1">
        <v>72</v>
      </c>
      <c r="E1533" s="1" t="s">
        <v>20</v>
      </c>
      <c r="F1533" s="16">
        <v>46015</v>
      </c>
      <c r="G1533" s="1" t="s">
        <v>1470</v>
      </c>
      <c r="H1533" s="1" t="s">
        <v>1482</v>
      </c>
      <c r="I1533" s="17" t="s">
        <v>1504</v>
      </c>
      <c r="J1533" s="18" t="s">
        <v>25</v>
      </c>
      <c r="K1533" s="19" t="s">
        <v>26</v>
      </c>
      <c r="L1533" s="19" t="s">
        <v>49</v>
      </c>
      <c r="M1533" s="20">
        <v>6</v>
      </c>
      <c r="N1533" s="21">
        <v>69999</v>
      </c>
      <c r="O1533" s="22">
        <v>8</v>
      </c>
      <c r="P1533" s="23">
        <v>386394.48</v>
      </c>
      <c r="Q1533" s="22">
        <v>4.8</v>
      </c>
      <c r="R1533" s="22">
        <v>20</v>
      </c>
      <c r="S1533" s="23">
        <f>(Table13[[#This Row],[Unit Price]]*Table13[[#This Row],[No.of Units]])*18%</f>
        <v>75598.92</v>
      </c>
      <c r="T1533" s="22" t="s">
        <v>1508</v>
      </c>
    </row>
    <row r="1534" spans="2:20" x14ac:dyDescent="0.3">
      <c r="B1534" s="5" t="s">
        <v>1440</v>
      </c>
      <c r="C1534" s="1">
        <v>4224057</v>
      </c>
      <c r="D1534" s="1">
        <v>23</v>
      </c>
      <c r="E1534" s="1" t="s">
        <v>12</v>
      </c>
      <c r="F1534" s="16">
        <v>46015</v>
      </c>
      <c r="G1534" s="1" t="s">
        <v>1470</v>
      </c>
      <c r="H1534" s="1" t="s">
        <v>1471</v>
      </c>
      <c r="I1534" s="17" t="s">
        <v>1503</v>
      </c>
      <c r="J1534" s="18" t="s">
        <v>28</v>
      </c>
      <c r="K1534" s="19" t="s">
        <v>26</v>
      </c>
      <c r="L1534" s="19" t="s">
        <v>49</v>
      </c>
      <c r="M1534" s="20">
        <v>5</v>
      </c>
      <c r="N1534" s="21">
        <v>42999</v>
      </c>
      <c r="O1534" s="22">
        <v>15</v>
      </c>
      <c r="P1534" s="23">
        <v>182745.75</v>
      </c>
      <c r="Q1534" s="22">
        <v>4.5999999999999996</v>
      </c>
      <c r="R1534" s="22">
        <v>20</v>
      </c>
      <c r="S1534" s="23">
        <f>(Table13[[#This Row],[Unit Price]]*Table13[[#This Row],[No.of Units]])*18%</f>
        <v>38699.1</v>
      </c>
      <c r="T1534" s="22" t="s">
        <v>1508</v>
      </c>
    </row>
    <row r="1535" spans="2:20" x14ac:dyDescent="0.3">
      <c r="B1535" s="5" t="s">
        <v>1441</v>
      </c>
      <c r="C1535" s="1">
        <v>3637560</v>
      </c>
      <c r="D1535" s="1">
        <v>67</v>
      </c>
      <c r="E1535" s="1" t="s">
        <v>20</v>
      </c>
      <c r="F1535" s="16">
        <v>46022</v>
      </c>
      <c r="G1535" s="1" t="s">
        <v>1470</v>
      </c>
      <c r="H1535" s="1" t="s">
        <v>1472</v>
      </c>
      <c r="I1535" s="17" t="s">
        <v>1502</v>
      </c>
      <c r="J1535" s="18" t="s">
        <v>13</v>
      </c>
      <c r="K1535" s="19" t="s">
        <v>14</v>
      </c>
      <c r="L1535" s="19" t="s">
        <v>15</v>
      </c>
      <c r="M1535" s="20">
        <v>6</v>
      </c>
      <c r="N1535" s="21">
        <v>99999</v>
      </c>
      <c r="O1535" s="22">
        <v>10</v>
      </c>
      <c r="P1535" s="23">
        <v>539994.6</v>
      </c>
      <c r="Q1535" s="22">
        <v>4.7</v>
      </c>
      <c r="R1535" s="22">
        <v>20</v>
      </c>
      <c r="S1535" s="23">
        <f>(Table13[[#This Row],[Unit Price]]*Table13[[#This Row],[No.of Units]])*18%</f>
        <v>107998.92</v>
      </c>
      <c r="T1535" s="22" t="s">
        <v>1508</v>
      </c>
    </row>
    <row r="1536" spans="2:20" x14ac:dyDescent="0.3">
      <c r="B1536" s="5" t="s">
        <v>1442</v>
      </c>
      <c r="C1536" s="1">
        <v>1352141</v>
      </c>
      <c r="D1536" s="1">
        <v>43</v>
      </c>
      <c r="E1536" s="1" t="s">
        <v>12</v>
      </c>
      <c r="F1536" s="16">
        <v>46022</v>
      </c>
      <c r="G1536" s="1" t="s">
        <v>1475</v>
      </c>
      <c r="H1536" s="1" t="s">
        <v>1471</v>
      </c>
      <c r="I1536" s="17" t="s">
        <v>1503</v>
      </c>
      <c r="J1536" s="18" t="s">
        <v>17</v>
      </c>
      <c r="K1536" s="19" t="s">
        <v>18</v>
      </c>
      <c r="L1536" s="19" t="s">
        <v>15</v>
      </c>
      <c r="M1536" s="20">
        <v>45</v>
      </c>
      <c r="N1536" s="21">
        <v>4999</v>
      </c>
      <c r="O1536" s="22">
        <v>18</v>
      </c>
      <c r="P1536" s="23">
        <v>184463.1</v>
      </c>
      <c r="Q1536" s="22">
        <v>4.4000000000000004</v>
      </c>
      <c r="R1536" s="22">
        <v>20</v>
      </c>
      <c r="S1536" s="23">
        <f>(Table13[[#This Row],[Unit Price]]*Table13[[#This Row],[No.of Units]])*18%</f>
        <v>40491.9</v>
      </c>
      <c r="T1536" s="22" t="s">
        <v>1508</v>
      </c>
    </row>
    <row r="1537" spans="2:20" x14ac:dyDescent="0.3">
      <c r="B1537" s="5" t="s">
        <v>1443</v>
      </c>
      <c r="C1537" s="1">
        <v>5813082</v>
      </c>
      <c r="D1537" s="1">
        <v>64</v>
      </c>
      <c r="E1537" s="1" t="s">
        <v>20</v>
      </c>
      <c r="F1537" s="16">
        <v>46022</v>
      </c>
      <c r="G1537" s="1" t="s">
        <v>1475</v>
      </c>
      <c r="H1537" s="1" t="s">
        <v>1472</v>
      </c>
      <c r="I1537" s="17" t="s">
        <v>1504</v>
      </c>
      <c r="J1537" s="18" t="s">
        <v>21</v>
      </c>
      <c r="K1537" s="19" t="s">
        <v>18</v>
      </c>
      <c r="L1537" s="19" t="s">
        <v>15</v>
      </c>
      <c r="M1537" s="20">
        <v>11</v>
      </c>
      <c r="N1537" s="21">
        <v>24900</v>
      </c>
      <c r="O1537" s="22">
        <v>5</v>
      </c>
      <c r="P1537" s="23">
        <v>260205</v>
      </c>
      <c r="Q1537" s="22">
        <v>4.8</v>
      </c>
      <c r="R1537" s="22">
        <v>20</v>
      </c>
      <c r="S1537" s="23">
        <f>(Table13[[#This Row],[Unit Price]]*Table13[[#This Row],[No.of Units]])*18%</f>
        <v>49302</v>
      </c>
      <c r="T1537" s="22" t="s">
        <v>1508</v>
      </c>
    </row>
    <row r="1538" spans="2:20" x14ac:dyDescent="0.3">
      <c r="B1538" s="5" t="s">
        <v>1444</v>
      </c>
      <c r="C1538" s="1">
        <v>894007</v>
      </c>
      <c r="D1538" s="1">
        <v>36</v>
      </c>
      <c r="E1538" s="1" t="s">
        <v>12</v>
      </c>
      <c r="F1538" s="16">
        <v>46022</v>
      </c>
      <c r="G1538" s="1" t="s">
        <v>1470</v>
      </c>
      <c r="H1538" s="1" t="s">
        <v>1482</v>
      </c>
      <c r="I1538" s="17" t="s">
        <v>1505</v>
      </c>
      <c r="J1538" s="18" t="s">
        <v>23</v>
      </c>
      <c r="K1538" s="19" t="s">
        <v>14</v>
      </c>
      <c r="L1538" s="19" t="s">
        <v>15</v>
      </c>
      <c r="M1538" s="20">
        <v>3</v>
      </c>
      <c r="N1538" s="21">
        <v>84999</v>
      </c>
      <c r="O1538" s="22">
        <v>12</v>
      </c>
      <c r="P1538" s="23">
        <v>224397.36</v>
      </c>
      <c r="Q1538" s="22">
        <v>4.5</v>
      </c>
      <c r="R1538" s="22">
        <v>20</v>
      </c>
      <c r="S1538" s="23">
        <f>(Table13[[#This Row],[Unit Price]]*Table13[[#This Row],[No.of Units]])*18%</f>
        <v>45899.46</v>
      </c>
      <c r="T1538" s="22" t="s">
        <v>1508</v>
      </c>
    </row>
    <row r="1539" spans="2:20" x14ac:dyDescent="0.3">
      <c r="B1539" s="5" t="s">
        <v>1445</v>
      </c>
      <c r="C1539" s="1">
        <v>465764</v>
      </c>
      <c r="D1539" s="1">
        <v>46</v>
      </c>
      <c r="E1539" s="1" t="s">
        <v>12</v>
      </c>
      <c r="F1539" s="16">
        <v>46022</v>
      </c>
      <c r="G1539" s="1" t="s">
        <v>1470</v>
      </c>
      <c r="H1539" s="1" t="s">
        <v>1471</v>
      </c>
      <c r="I1539" s="17" t="s">
        <v>1504</v>
      </c>
      <c r="J1539" s="18" t="s">
        <v>25</v>
      </c>
      <c r="K1539" s="19" t="s">
        <v>26</v>
      </c>
      <c r="L1539" s="19" t="s">
        <v>15</v>
      </c>
      <c r="M1539" s="20">
        <v>3</v>
      </c>
      <c r="N1539" s="21">
        <v>69999</v>
      </c>
      <c r="O1539" s="22">
        <v>8</v>
      </c>
      <c r="P1539" s="23">
        <v>193197.24</v>
      </c>
      <c r="Q1539" s="22">
        <v>4.8</v>
      </c>
      <c r="R1539" s="22">
        <v>20</v>
      </c>
      <c r="S1539" s="23">
        <f>(Table13[[#This Row],[Unit Price]]*Table13[[#This Row],[No.of Units]])*18%</f>
        <v>37799.46</v>
      </c>
      <c r="T1539" s="22" t="s">
        <v>1508</v>
      </c>
    </row>
    <row r="1540" spans="2:20" x14ac:dyDescent="0.3">
      <c r="B1540" s="5" t="s">
        <v>1446</v>
      </c>
      <c r="C1540" s="1">
        <v>7376929</v>
      </c>
      <c r="D1540" s="1">
        <v>25</v>
      </c>
      <c r="E1540" s="1" t="s">
        <v>12</v>
      </c>
      <c r="F1540" s="16">
        <v>46022</v>
      </c>
      <c r="G1540" s="1" t="s">
        <v>1470</v>
      </c>
      <c r="H1540" s="1" t="s">
        <v>1482</v>
      </c>
      <c r="I1540" s="17" t="s">
        <v>1503</v>
      </c>
      <c r="J1540" s="18" t="s">
        <v>28</v>
      </c>
      <c r="K1540" s="19" t="s">
        <v>26</v>
      </c>
      <c r="L1540" s="19" t="s">
        <v>15</v>
      </c>
      <c r="M1540" s="20">
        <v>5</v>
      </c>
      <c r="N1540" s="21">
        <v>42999</v>
      </c>
      <c r="O1540" s="22">
        <v>15</v>
      </c>
      <c r="P1540" s="23">
        <v>182745.75</v>
      </c>
      <c r="Q1540" s="22">
        <v>4.5999999999999996</v>
      </c>
      <c r="R1540" s="22">
        <v>20</v>
      </c>
      <c r="S1540" s="23">
        <f>(Table13[[#This Row],[Unit Price]]*Table13[[#This Row],[No.of Units]])*18%</f>
        <v>38699.1</v>
      </c>
      <c r="T1540" s="22" t="s">
        <v>1508</v>
      </c>
    </row>
    <row r="1541" spans="2:20" x14ac:dyDescent="0.3">
      <c r="B1541" s="5" t="s">
        <v>1447</v>
      </c>
      <c r="C1541" s="1">
        <v>6661351</v>
      </c>
      <c r="D1541" s="1">
        <v>70</v>
      </c>
      <c r="E1541" s="1" t="s">
        <v>20</v>
      </c>
      <c r="F1541" s="16">
        <v>46022</v>
      </c>
      <c r="G1541" s="1" t="s">
        <v>1470</v>
      </c>
      <c r="H1541" s="1" t="s">
        <v>1472</v>
      </c>
      <c r="I1541" s="17" t="s">
        <v>1502</v>
      </c>
      <c r="J1541" s="18" t="s">
        <v>13</v>
      </c>
      <c r="K1541" s="19" t="s">
        <v>14</v>
      </c>
      <c r="L1541" s="19" t="s">
        <v>29</v>
      </c>
      <c r="M1541" s="20">
        <v>3</v>
      </c>
      <c r="N1541" s="21">
        <v>99999</v>
      </c>
      <c r="O1541" s="22">
        <v>10</v>
      </c>
      <c r="P1541" s="23">
        <v>269997.3</v>
      </c>
      <c r="Q1541" s="22">
        <v>4.7</v>
      </c>
      <c r="R1541" s="22">
        <v>20</v>
      </c>
      <c r="S1541" s="23">
        <f>(Table13[[#This Row],[Unit Price]]*Table13[[#This Row],[No.of Units]])*18%</f>
        <v>53999.46</v>
      </c>
      <c r="T1541" s="22" t="s">
        <v>1508</v>
      </c>
    </row>
    <row r="1542" spans="2:20" x14ac:dyDescent="0.3">
      <c r="B1542" s="5" t="s">
        <v>1448</v>
      </c>
      <c r="C1542" s="1">
        <v>7910592</v>
      </c>
      <c r="D1542" s="1">
        <v>37</v>
      </c>
      <c r="E1542" s="1" t="s">
        <v>12</v>
      </c>
      <c r="F1542" s="16">
        <v>46022</v>
      </c>
      <c r="G1542" s="1" t="s">
        <v>1470</v>
      </c>
      <c r="H1542" s="1" t="s">
        <v>1472</v>
      </c>
      <c r="I1542" s="17" t="s">
        <v>1503</v>
      </c>
      <c r="J1542" s="18" t="s">
        <v>17</v>
      </c>
      <c r="K1542" s="19" t="s">
        <v>18</v>
      </c>
      <c r="L1542" s="19" t="s">
        <v>29</v>
      </c>
      <c r="M1542" s="20">
        <v>44</v>
      </c>
      <c r="N1542" s="21">
        <v>4999</v>
      </c>
      <c r="O1542" s="22">
        <v>18</v>
      </c>
      <c r="P1542" s="23">
        <v>180363.91999999998</v>
      </c>
      <c r="Q1542" s="22">
        <v>4.4000000000000004</v>
      </c>
      <c r="R1542" s="22">
        <v>20</v>
      </c>
      <c r="S1542" s="23">
        <f>(Table13[[#This Row],[Unit Price]]*Table13[[#This Row],[No.of Units]])*18%</f>
        <v>39592.080000000002</v>
      </c>
      <c r="T1542" s="22" t="s">
        <v>1508</v>
      </c>
    </row>
    <row r="1543" spans="2:20" x14ac:dyDescent="0.3">
      <c r="B1543" s="5" t="s">
        <v>1449</v>
      </c>
      <c r="C1543" s="1">
        <v>5104847</v>
      </c>
      <c r="D1543" s="1">
        <v>46</v>
      </c>
      <c r="E1543" s="1" t="s">
        <v>12</v>
      </c>
      <c r="F1543" s="16">
        <v>46022</v>
      </c>
      <c r="G1543" s="1" t="s">
        <v>1470</v>
      </c>
      <c r="H1543" s="1" t="s">
        <v>1482</v>
      </c>
      <c r="I1543" s="17" t="s">
        <v>1504</v>
      </c>
      <c r="J1543" s="18" t="s">
        <v>21</v>
      </c>
      <c r="K1543" s="19" t="s">
        <v>18</v>
      </c>
      <c r="L1543" s="19" t="s">
        <v>29</v>
      </c>
      <c r="M1543" s="20">
        <v>15</v>
      </c>
      <c r="N1543" s="21">
        <v>24900</v>
      </c>
      <c r="O1543" s="22">
        <v>5</v>
      </c>
      <c r="P1543" s="23">
        <v>354825</v>
      </c>
      <c r="Q1543" s="22">
        <v>4.8</v>
      </c>
      <c r="R1543" s="22">
        <v>20</v>
      </c>
      <c r="S1543" s="23">
        <f>(Table13[[#This Row],[Unit Price]]*Table13[[#This Row],[No.of Units]])*18%</f>
        <v>67230</v>
      </c>
      <c r="T1543" s="22" t="s">
        <v>1507</v>
      </c>
    </row>
    <row r="1544" spans="2:20" x14ac:dyDescent="0.3">
      <c r="B1544" s="5" t="s">
        <v>1450</v>
      </c>
      <c r="C1544" s="1">
        <v>1466365</v>
      </c>
      <c r="D1544" s="1">
        <v>43</v>
      </c>
      <c r="E1544" s="1" t="s">
        <v>12</v>
      </c>
      <c r="F1544" s="16">
        <v>46022</v>
      </c>
      <c r="G1544" s="1" t="s">
        <v>1474</v>
      </c>
      <c r="H1544" s="1" t="s">
        <v>1482</v>
      </c>
      <c r="I1544" s="17" t="s">
        <v>1505</v>
      </c>
      <c r="J1544" s="18" t="s">
        <v>23</v>
      </c>
      <c r="K1544" s="19" t="s">
        <v>14</v>
      </c>
      <c r="L1544" s="19" t="s">
        <v>29</v>
      </c>
      <c r="M1544" s="20">
        <v>5</v>
      </c>
      <c r="N1544" s="21">
        <v>84999</v>
      </c>
      <c r="O1544" s="22">
        <v>12</v>
      </c>
      <c r="P1544" s="23">
        <v>373995.6</v>
      </c>
      <c r="Q1544" s="22">
        <v>4.5</v>
      </c>
      <c r="R1544" s="22">
        <v>20</v>
      </c>
      <c r="S1544" s="23">
        <f>(Table13[[#This Row],[Unit Price]]*Table13[[#This Row],[No.of Units]])*18%</f>
        <v>76499.099999999991</v>
      </c>
      <c r="T1544" s="22" t="s">
        <v>1508</v>
      </c>
    </row>
    <row r="1545" spans="2:20" x14ac:dyDescent="0.3">
      <c r="B1545" s="5" t="s">
        <v>1451</v>
      </c>
      <c r="C1545" s="1">
        <v>3705877</v>
      </c>
      <c r="D1545" s="1">
        <v>36</v>
      </c>
      <c r="E1545" s="1" t="s">
        <v>12</v>
      </c>
      <c r="F1545" s="16">
        <v>46022</v>
      </c>
      <c r="G1545" s="1" t="s">
        <v>1470</v>
      </c>
      <c r="H1545" s="1" t="s">
        <v>1482</v>
      </c>
      <c r="I1545" s="17" t="s">
        <v>1504</v>
      </c>
      <c r="J1545" s="18" t="s">
        <v>25</v>
      </c>
      <c r="K1545" s="19" t="s">
        <v>26</v>
      </c>
      <c r="L1545" s="19" t="s">
        <v>29</v>
      </c>
      <c r="M1545" s="20">
        <v>4</v>
      </c>
      <c r="N1545" s="21">
        <v>69999</v>
      </c>
      <c r="O1545" s="22">
        <v>8</v>
      </c>
      <c r="P1545" s="23">
        <v>257596.32</v>
      </c>
      <c r="Q1545" s="22">
        <v>4.8</v>
      </c>
      <c r="R1545" s="22">
        <v>20</v>
      </c>
      <c r="S1545" s="23">
        <f>(Table13[[#This Row],[Unit Price]]*Table13[[#This Row],[No.of Units]])*18%</f>
        <v>50399.28</v>
      </c>
      <c r="T1545" s="22" t="s">
        <v>1507</v>
      </c>
    </row>
    <row r="1546" spans="2:20" x14ac:dyDescent="0.3">
      <c r="B1546" s="5" t="s">
        <v>1452</v>
      </c>
      <c r="C1546" s="1">
        <v>3064916</v>
      </c>
      <c r="D1546" s="1">
        <v>44</v>
      </c>
      <c r="E1546" s="1" t="s">
        <v>12</v>
      </c>
      <c r="F1546" s="16">
        <v>46022</v>
      </c>
      <c r="G1546" s="1" t="s">
        <v>1470</v>
      </c>
      <c r="H1546" s="1" t="s">
        <v>1471</v>
      </c>
      <c r="I1546" s="17" t="s">
        <v>1503</v>
      </c>
      <c r="J1546" s="18" t="s">
        <v>28</v>
      </c>
      <c r="K1546" s="19" t="s">
        <v>26</v>
      </c>
      <c r="L1546" s="19" t="s">
        <v>29</v>
      </c>
      <c r="M1546" s="20">
        <v>9</v>
      </c>
      <c r="N1546" s="21">
        <v>42999</v>
      </c>
      <c r="O1546" s="22">
        <v>15</v>
      </c>
      <c r="P1546" s="23">
        <v>328942.34999999998</v>
      </c>
      <c r="Q1546" s="22">
        <v>4.5999999999999996</v>
      </c>
      <c r="R1546" s="22">
        <v>20</v>
      </c>
      <c r="S1546" s="23">
        <f>(Table13[[#This Row],[Unit Price]]*Table13[[#This Row],[No.of Units]])*18%</f>
        <v>69658.38</v>
      </c>
      <c r="T1546" s="22" t="s">
        <v>1508</v>
      </c>
    </row>
    <row r="1547" spans="2:20" x14ac:dyDescent="0.3">
      <c r="B1547" s="5" t="s">
        <v>1453</v>
      </c>
      <c r="C1547" s="1">
        <v>5730171</v>
      </c>
      <c r="D1547" s="1">
        <v>42</v>
      </c>
      <c r="E1547" s="1" t="s">
        <v>12</v>
      </c>
      <c r="F1547" s="16">
        <v>46022</v>
      </c>
      <c r="G1547" s="1" t="s">
        <v>1470</v>
      </c>
      <c r="H1547" s="1" t="s">
        <v>1471</v>
      </c>
      <c r="I1547" s="17" t="s">
        <v>1502</v>
      </c>
      <c r="J1547" s="18" t="s">
        <v>13</v>
      </c>
      <c r="K1547" s="19" t="s">
        <v>14</v>
      </c>
      <c r="L1547" s="19" t="s">
        <v>35</v>
      </c>
      <c r="M1547" s="20">
        <v>6</v>
      </c>
      <c r="N1547" s="21">
        <v>99999</v>
      </c>
      <c r="O1547" s="22">
        <v>10</v>
      </c>
      <c r="P1547" s="23">
        <v>539994.6</v>
      </c>
      <c r="Q1547" s="22">
        <v>4.7</v>
      </c>
      <c r="R1547" s="22">
        <v>20</v>
      </c>
      <c r="S1547" s="23">
        <f>(Table13[[#This Row],[Unit Price]]*Table13[[#This Row],[No.of Units]])*18%</f>
        <v>107998.92</v>
      </c>
      <c r="T1547" s="22" t="s">
        <v>1508</v>
      </c>
    </row>
    <row r="1548" spans="2:20" x14ac:dyDescent="0.3">
      <c r="B1548" s="5" t="s">
        <v>1454</v>
      </c>
      <c r="C1548" s="1">
        <v>5008674</v>
      </c>
      <c r="D1548" s="1">
        <v>38</v>
      </c>
      <c r="E1548" s="1" t="s">
        <v>12</v>
      </c>
      <c r="F1548" s="16">
        <v>46022</v>
      </c>
      <c r="G1548" s="1" t="s">
        <v>1470</v>
      </c>
      <c r="H1548" s="1" t="s">
        <v>1483</v>
      </c>
      <c r="I1548" s="17" t="s">
        <v>1503</v>
      </c>
      <c r="J1548" s="18" t="s">
        <v>17</v>
      </c>
      <c r="K1548" s="19" t="s">
        <v>18</v>
      </c>
      <c r="L1548" s="19" t="s">
        <v>35</v>
      </c>
      <c r="M1548" s="20">
        <v>23</v>
      </c>
      <c r="N1548" s="21">
        <v>4999</v>
      </c>
      <c r="O1548" s="22">
        <v>18</v>
      </c>
      <c r="P1548" s="23">
        <v>94281.14</v>
      </c>
      <c r="Q1548" s="22">
        <v>4.4000000000000004</v>
      </c>
      <c r="R1548" s="22">
        <v>20</v>
      </c>
      <c r="S1548" s="23">
        <f>(Table13[[#This Row],[Unit Price]]*Table13[[#This Row],[No.of Units]])*18%</f>
        <v>20695.86</v>
      </c>
      <c r="T1548" s="22" t="s">
        <v>1507</v>
      </c>
    </row>
    <row r="1549" spans="2:20" x14ac:dyDescent="0.3">
      <c r="B1549" s="5" t="s">
        <v>1455</v>
      </c>
      <c r="C1549" s="1">
        <v>5329056</v>
      </c>
      <c r="D1549" s="1">
        <v>20</v>
      </c>
      <c r="E1549" s="1" t="s">
        <v>12</v>
      </c>
      <c r="F1549" s="16">
        <v>46022</v>
      </c>
      <c r="G1549" s="1" t="s">
        <v>1475</v>
      </c>
      <c r="H1549" s="1" t="s">
        <v>1471</v>
      </c>
      <c r="I1549" s="17" t="s">
        <v>1504</v>
      </c>
      <c r="J1549" s="18" t="s">
        <v>21</v>
      </c>
      <c r="K1549" s="19" t="s">
        <v>18</v>
      </c>
      <c r="L1549" s="19" t="s">
        <v>35</v>
      </c>
      <c r="M1549" s="20">
        <v>8</v>
      </c>
      <c r="N1549" s="21">
        <v>24900</v>
      </c>
      <c r="O1549" s="22">
        <v>5</v>
      </c>
      <c r="P1549" s="23">
        <v>189240</v>
      </c>
      <c r="Q1549" s="22">
        <v>4.8</v>
      </c>
      <c r="R1549" s="22">
        <v>20</v>
      </c>
      <c r="S1549" s="23">
        <f>(Table13[[#This Row],[Unit Price]]*Table13[[#This Row],[No.of Units]])*18%</f>
        <v>35856</v>
      </c>
      <c r="T1549" s="22" t="s">
        <v>1508</v>
      </c>
    </row>
    <row r="1550" spans="2:20" x14ac:dyDescent="0.3">
      <c r="B1550" s="5" t="s">
        <v>1456</v>
      </c>
      <c r="C1550" s="1">
        <v>9071801</v>
      </c>
      <c r="D1550" s="1">
        <v>44</v>
      </c>
      <c r="E1550" s="1" t="s">
        <v>12</v>
      </c>
      <c r="F1550" s="16">
        <v>46022</v>
      </c>
      <c r="G1550" s="1" t="s">
        <v>1470</v>
      </c>
      <c r="H1550" s="1" t="s">
        <v>1482</v>
      </c>
      <c r="I1550" s="17" t="s">
        <v>1505</v>
      </c>
      <c r="J1550" s="18" t="s">
        <v>23</v>
      </c>
      <c r="K1550" s="19" t="s">
        <v>14</v>
      </c>
      <c r="L1550" s="19" t="s">
        <v>35</v>
      </c>
      <c r="M1550" s="20">
        <v>3</v>
      </c>
      <c r="N1550" s="21">
        <v>84999</v>
      </c>
      <c r="O1550" s="22">
        <v>12</v>
      </c>
      <c r="P1550" s="23">
        <v>224397.36</v>
      </c>
      <c r="Q1550" s="22">
        <v>4.5</v>
      </c>
      <c r="R1550" s="22">
        <v>20</v>
      </c>
      <c r="S1550" s="23">
        <f>(Table13[[#This Row],[Unit Price]]*Table13[[#This Row],[No.of Units]])*18%</f>
        <v>45899.46</v>
      </c>
      <c r="T1550" s="22" t="s">
        <v>1508</v>
      </c>
    </row>
    <row r="1551" spans="2:20" x14ac:dyDescent="0.3">
      <c r="B1551" s="5" t="s">
        <v>1457</v>
      </c>
      <c r="C1551" s="1">
        <v>254956</v>
      </c>
      <c r="D1551" s="1">
        <v>75</v>
      </c>
      <c r="E1551" s="1" t="s">
        <v>20</v>
      </c>
      <c r="F1551" s="16">
        <v>46022</v>
      </c>
      <c r="G1551" s="1" t="s">
        <v>1470</v>
      </c>
      <c r="H1551" s="1" t="s">
        <v>1483</v>
      </c>
      <c r="I1551" s="17" t="s">
        <v>1504</v>
      </c>
      <c r="J1551" s="18" t="s">
        <v>25</v>
      </c>
      <c r="K1551" s="19" t="s">
        <v>26</v>
      </c>
      <c r="L1551" s="19" t="s">
        <v>35</v>
      </c>
      <c r="M1551" s="20">
        <v>3</v>
      </c>
      <c r="N1551" s="21">
        <v>69999</v>
      </c>
      <c r="O1551" s="22">
        <v>8</v>
      </c>
      <c r="P1551" s="23">
        <v>193197.24</v>
      </c>
      <c r="Q1551" s="22">
        <v>4.8</v>
      </c>
      <c r="R1551" s="22">
        <v>20</v>
      </c>
      <c r="S1551" s="23">
        <f>(Table13[[#This Row],[Unit Price]]*Table13[[#This Row],[No.of Units]])*18%</f>
        <v>37799.46</v>
      </c>
      <c r="T1551" s="22" t="s">
        <v>1507</v>
      </c>
    </row>
    <row r="1552" spans="2:20" x14ac:dyDescent="0.3">
      <c r="B1552" s="5" t="s">
        <v>1458</v>
      </c>
      <c r="C1552" s="1">
        <v>1522564</v>
      </c>
      <c r="D1552" s="1">
        <v>29</v>
      </c>
      <c r="E1552" s="1" t="s">
        <v>12</v>
      </c>
      <c r="F1552" s="16">
        <v>46022</v>
      </c>
      <c r="G1552" s="1" t="s">
        <v>1470</v>
      </c>
      <c r="H1552" s="1" t="s">
        <v>1480</v>
      </c>
      <c r="I1552" s="17" t="s">
        <v>1503</v>
      </c>
      <c r="J1552" s="18" t="s">
        <v>28</v>
      </c>
      <c r="K1552" s="19" t="s">
        <v>26</v>
      </c>
      <c r="L1552" s="19" t="s">
        <v>35</v>
      </c>
      <c r="M1552" s="20">
        <v>9</v>
      </c>
      <c r="N1552" s="21">
        <v>42999</v>
      </c>
      <c r="O1552" s="22">
        <v>15</v>
      </c>
      <c r="P1552" s="23">
        <v>328942.34999999998</v>
      </c>
      <c r="Q1552" s="22">
        <v>4.5999999999999996</v>
      </c>
      <c r="R1552" s="22">
        <v>20</v>
      </c>
      <c r="S1552" s="23">
        <f>(Table13[[#This Row],[Unit Price]]*Table13[[#This Row],[No.of Units]])*18%</f>
        <v>69658.38</v>
      </c>
      <c r="T1552" s="22" t="s">
        <v>1508</v>
      </c>
    </row>
    <row r="1553" spans="2:20" x14ac:dyDescent="0.3">
      <c r="B1553" s="5" t="s">
        <v>1459</v>
      </c>
      <c r="C1553" s="1">
        <v>6029952</v>
      </c>
      <c r="D1553" s="1">
        <v>42</v>
      </c>
      <c r="E1553" s="1" t="s">
        <v>12</v>
      </c>
      <c r="F1553" s="16">
        <v>46022</v>
      </c>
      <c r="G1553" s="1" t="s">
        <v>1470</v>
      </c>
      <c r="H1553" s="1" t="s">
        <v>1471</v>
      </c>
      <c r="I1553" s="17" t="s">
        <v>1502</v>
      </c>
      <c r="J1553" s="18" t="s">
        <v>13</v>
      </c>
      <c r="K1553" s="19" t="s">
        <v>14</v>
      </c>
      <c r="L1553" s="19" t="s">
        <v>42</v>
      </c>
      <c r="M1553" s="20">
        <v>5</v>
      </c>
      <c r="N1553" s="21">
        <v>99999</v>
      </c>
      <c r="O1553" s="22">
        <v>10</v>
      </c>
      <c r="P1553" s="23">
        <v>449995.5</v>
      </c>
      <c r="Q1553" s="22">
        <v>4.7</v>
      </c>
      <c r="R1553" s="22">
        <v>20</v>
      </c>
      <c r="S1553" s="23">
        <f>(Table13[[#This Row],[Unit Price]]*Table13[[#This Row],[No.of Units]])*18%</f>
        <v>89999.099999999991</v>
      </c>
      <c r="T1553" s="22" t="s">
        <v>1508</v>
      </c>
    </row>
    <row r="1554" spans="2:20" x14ac:dyDescent="0.3">
      <c r="B1554" s="5" t="s">
        <v>1460</v>
      </c>
      <c r="C1554" s="1">
        <v>7454120</v>
      </c>
      <c r="D1554" s="1">
        <v>25</v>
      </c>
      <c r="E1554" s="1" t="s">
        <v>12</v>
      </c>
      <c r="F1554" s="16">
        <v>46022</v>
      </c>
      <c r="G1554" s="1" t="s">
        <v>1470</v>
      </c>
      <c r="H1554" s="1" t="s">
        <v>1482</v>
      </c>
      <c r="I1554" s="17" t="s">
        <v>1503</v>
      </c>
      <c r="J1554" s="18" t="s">
        <v>17</v>
      </c>
      <c r="K1554" s="19" t="s">
        <v>18</v>
      </c>
      <c r="L1554" s="19" t="s">
        <v>42</v>
      </c>
      <c r="M1554" s="20">
        <v>51</v>
      </c>
      <c r="N1554" s="21">
        <v>4999</v>
      </c>
      <c r="O1554" s="22">
        <v>18</v>
      </c>
      <c r="P1554" s="23">
        <v>209058.18</v>
      </c>
      <c r="Q1554" s="22">
        <v>4.4000000000000004</v>
      </c>
      <c r="R1554" s="22">
        <v>20</v>
      </c>
      <c r="S1554" s="23">
        <f>(Table13[[#This Row],[Unit Price]]*Table13[[#This Row],[No.of Units]])*18%</f>
        <v>45890.82</v>
      </c>
      <c r="T1554" s="22" t="s">
        <v>1507</v>
      </c>
    </row>
    <row r="1555" spans="2:20" x14ac:dyDescent="0.3">
      <c r="B1555" s="5" t="s">
        <v>1461</v>
      </c>
      <c r="C1555" s="1">
        <v>9528462</v>
      </c>
      <c r="D1555" s="1">
        <v>29</v>
      </c>
      <c r="E1555" s="1" t="s">
        <v>12</v>
      </c>
      <c r="F1555" s="16">
        <v>46022</v>
      </c>
      <c r="G1555" s="1" t="s">
        <v>1470</v>
      </c>
      <c r="H1555" s="1" t="s">
        <v>1471</v>
      </c>
      <c r="I1555" s="17" t="s">
        <v>1504</v>
      </c>
      <c r="J1555" s="18" t="s">
        <v>21</v>
      </c>
      <c r="K1555" s="19" t="s">
        <v>18</v>
      </c>
      <c r="L1555" s="19" t="s">
        <v>42</v>
      </c>
      <c r="M1555" s="20">
        <v>7</v>
      </c>
      <c r="N1555" s="21">
        <v>24900</v>
      </c>
      <c r="O1555" s="22">
        <v>5</v>
      </c>
      <c r="P1555" s="23">
        <v>165585</v>
      </c>
      <c r="Q1555" s="22">
        <v>4.8</v>
      </c>
      <c r="R1555" s="22">
        <v>20</v>
      </c>
      <c r="S1555" s="23">
        <f>(Table13[[#This Row],[Unit Price]]*Table13[[#This Row],[No.of Units]])*18%</f>
        <v>31374</v>
      </c>
      <c r="T1555" s="22" t="s">
        <v>1507</v>
      </c>
    </row>
    <row r="1556" spans="2:20" x14ac:dyDescent="0.3">
      <c r="B1556" s="5" t="s">
        <v>1462</v>
      </c>
      <c r="C1556" s="1">
        <v>5127854</v>
      </c>
      <c r="D1556" s="1">
        <v>23</v>
      </c>
      <c r="E1556" s="1" t="s">
        <v>12</v>
      </c>
      <c r="F1556" s="16">
        <v>46022</v>
      </c>
      <c r="G1556" s="1" t="s">
        <v>1470</v>
      </c>
      <c r="H1556" s="1" t="s">
        <v>1482</v>
      </c>
      <c r="I1556" s="17" t="s">
        <v>1505</v>
      </c>
      <c r="J1556" s="18" t="s">
        <v>23</v>
      </c>
      <c r="K1556" s="19" t="s">
        <v>14</v>
      </c>
      <c r="L1556" s="19" t="s">
        <v>42</v>
      </c>
      <c r="M1556" s="20">
        <v>5</v>
      </c>
      <c r="N1556" s="21">
        <v>84999</v>
      </c>
      <c r="O1556" s="22">
        <v>12</v>
      </c>
      <c r="P1556" s="23">
        <v>373995.6</v>
      </c>
      <c r="Q1556" s="22">
        <v>4.5</v>
      </c>
      <c r="R1556" s="22">
        <v>20</v>
      </c>
      <c r="S1556" s="23">
        <f>(Table13[[#This Row],[Unit Price]]*Table13[[#This Row],[No.of Units]])*18%</f>
        <v>76499.099999999991</v>
      </c>
      <c r="T1556" s="22" t="s">
        <v>1508</v>
      </c>
    </row>
    <row r="1557" spans="2:20" x14ac:dyDescent="0.3">
      <c r="B1557" s="5" t="s">
        <v>1463</v>
      </c>
      <c r="C1557" s="1">
        <v>8690203</v>
      </c>
      <c r="D1557" s="1">
        <v>37</v>
      </c>
      <c r="E1557" s="1" t="s">
        <v>12</v>
      </c>
      <c r="F1557" s="16">
        <v>46022</v>
      </c>
      <c r="G1557" s="1" t="s">
        <v>1470</v>
      </c>
      <c r="H1557" s="1" t="s">
        <v>1482</v>
      </c>
      <c r="I1557" s="17" t="s">
        <v>1504</v>
      </c>
      <c r="J1557" s="18" t="s">
        <v>25</v>
      </c>
      <c r="K1557" s="19" t="s">
        <v>26</v>
      </c>
      <c r="L1557" s="19" t="s">
        <v>42</v>
      </c>
      <c r="M1557" s="20">
        <v>6</v>
      </c>
      <c r="N1557" s="21">
        <v>69999</v>
      </c>
      <c r="O1557" s="22">
        <v>8</v>
      </c>
      <c r="P1557" s="23">
        <v>386394.48</v>
      </c>
      <c r="Q1557" s="22">
        <v>4.8</v>
      </c>
      <c r="R1557" s="22">
        <v>20</v>
      </c>
      <c r="S1557" s="23">
        <f>(Table13[[#This Row],[Unit Price]]*Table13[[#This Row],[No.of Units]])*18%</f>
        <v>75598.92</v>
      </c>
      <c r="T1557" s="22" t="s">
        <v>1507</v>
      </c>
    </row>
    <row r="1558" spans="2:20" x14ac:dyDescent="0.3">
      <c r="B1558" s="5" t="s">
        <v>1464</v>
      </c>
      <c r="C1558" s="1">
        <v>7352987</v>
      </c>
      <c r="D1558" s="1">
        <v>49</v>
      </c>
      <c r="E1558" s="1" t="s">
        <v>12</v>
      </c>
      <c r="F1558" s="16">
        <v>46022</v>
      </c>
      <c r="G1558" s="1" t="s">
        <v>1470</v>
      </c>
      <c r="H1558" s="1" t="s">
        <v>1472</v>
      </c>
      <c r="I1558" s="17" t="s">
        <v>1503</v>
      </c>
      <c r="J1558" s="18" t="s">
        <v>28</v>
      </c>
      <c r="K1558" s="19" t="s">
        <v>26</v>
      </c>
      <c r="L1558" s="19" t="s">
        <v>42</v>
      </c>
      <c r="M1558" s="20">
        <v>10</v>
      </c>
      <c r="N1558" s="21">
        <v>42999</v>
      </c>
      <c r="O1558" s="22">
        <v>15</v>
      </c>
      <c r="P1558" s="23">
        <v>365491.5</v>
      </c>
      <c r="Q1558" s="22">
        <v>4.5999999999999996</v>
      </c>
      <c r="R1558" s="22">
        <v>20</v>
      </c>
      <c r="S1558" s="23">
        <f>(Table13[[#This Row],[Unit Price]]*Table13[[#This Row],[No.of Units]])*18%</f>
        <v>77398.2</v>
      </c>
      <c r="T1558" s="22" t="s">
        <v>1508</v>
      </c>
    </row>
    <row r="1559" spans="2:20" x14ac:dyDescent="0.3">
      <c r="B1559" s="5" t="s">
        <v>1465</v>
      </c>
      <c r="C1559" s="1">
        <v>4024641</v>
      </c>
      <c r="D1559" s="1">
        <v>38</v>
      </c>
      <c r="E1559" s="1" t="s">
        <v>12</v>
      </c>
      <c r="F1559" s="16">
        <v>46022</v>
      </c>
      <c r="G1559" s="1" t="s">
        <v>1470</v>
      </c>
      <c r="H1559" s="1" t="s">
        <v>1482</v>
      </c>
      <c r="I1559" s="17" t="s">
        <v>1502</v>
      </c>
      <c r="J1559" s="18" t="s">
        <v>13</v>
      </c>
      <c r="K1559" s="19" t="s">
        <v>14</v>
      </c>
      <c r="L1559" s="19" t="s">
        <v>49</v>
      </c>
      <c r="M1559" s="20">
        <v>6</v>
      </c>
      <c r="N1559" s="21">
        <v>99999</v>
      </c>
      <c r="O1559" s="22">
        <v>10</v>
      </c>
      <c r="P1559" s="23">
        <v>539994.6</v>
      </c>
      <c r="Q1559" s="22">
        <v>4.7</v>
      </c>
      <c r="R1559" s="22">
        <v>20</v>
      </c>
      <c r="S1559" s="23">
        <f>(Table13[[#This Row],[Unit Price]]*Table13[[#This Row],[No.of Units]])*18%</f>
        <v>107998.92</v>
      </c>
      <c r="T1559" s="22" t="s">
        <v>1507</v>
      </c>
    </row>
    <row r="1560" spans="2:20" x14ac:dyDescent="0.3">
      <c r="B1560" s="5" t="s">
        <v>1465</v>
      </c>
      <c r="C1560" s="1">
        <v>4024641</v>
      </c>
      <c r="D1560" s="1">
        <v>20</v>
      </c>
      <c r="E1560" s="1" t="s">
        <v>12</v>
      </c>
      <c r="F1560" s="16">
        <v>46022</v>
      </c>
      <c r="G1560" s="1" t="s">
        <v>1470</v>
      </c>
      <c r="H1560" s="1" t="s">
        <v>1471</v>
      </c>
      <c r="I1560" s="17" t="s">
        <v>1503</v>
      </c>
      <c r="J1560" s="18" t="s">
        <v>17</v>
      </c>
      <c r="K1560" s="19" t="s">
        <v>18</v>
      </c>
      <c r="L1560" s="19" t="s">
        <v>49</v>
      </c>
      <c r="M1560" s="20">
        <v>59</v>
      </c>
      <c r="N1560" s="21">
        <v>4999</v>
      </c>
      <c r="O1560" s="22">
        <v>18</v>
      </c>
      <c r="P1560" s="23">
        <v>241851.62</v>
      </c>
      <c r="Q1560" s="22">
        <v>4.4000000000000004</v>
      </c>
      <c r="R1560" s="22">
        <v>20</v>
      </c>
      <c r="S1560" s="23">
        <f>(Table13[[#This Row],[Unit Price]]*Table13[[#This Row],[No.of Units]])*18%</f>
        <v>53089.38</v>
      </c>
      <c r="T1560" s="22" t="s">
        <v>1508</v>
      </c>
    </row>
    <row r="1561" spans="2:20" x14ac:dyDescent="0.3">
      <c r="B1561" s="5" t="s">
        <v>1466</v>
      </c>
      <c r="C1561" s="1">
        <v>5527376</v>
      </c>
      <c r="D1561" s="1">
        <v>30</v>
      </c>
      <c r="E1561" s="1" t="s">
        <v>12</v>
      </c>
      <c r="F1561" s="16">
        <v>46022</v>
      </c>
      <c r="G1561" s="1" t="s">
        <v>1470</v>
      </c>
      <c r="H1561" s="1" t="s">
        <v>1471</v>
      </c>
      <c r="I1561" s="17" t="s">
        <v>1504</v>
      </c>
      <c r="J1561" s="18" t="s">
        <v>21</v>
      </c>
      <c r="K1561" s="19" t="s">
        <v>18</v>
      </c>
      <c r="L1561" s="19" t="s">
        <v>49</v>
      </c>
      <c r="M1561" s="20">
        <v>11</v>
      </c>
      <c r="N1561" s="21">
        <v>24900</v>
      </c>
      <c r="O1561" s="22">
        <v>5</v>
      </c>
      <c r="P1561" s="23">
        <v>260205</v>
      </c>
      <c r="Q1561" s="22">
        <v>4.8</v>
      </c>
      <c r="R1561" s="22">
        <v>20</v>
      </c>
      <c r="S1561" s="23">
        <f>(Table13[[#This Row],[Unit Price]]*Table13[[#This Row],[No.of Units]])*18%</f>
        <v>49302</v>
      </c>
      <c r="T1561" s="22" t="s">
        <v>1508</v>
      </c>
    </row>
    <row r="1562" spans="2:20" x14ac:dyDescent="0.3">
      <c r="B1562" s="5" t="s">
        <v>1467</v>
      </c>
      <c r="C1562" s="1">
        <v>1689926</v>
      </c>
      <c r="D1562" s="1">
        <v>20</v>
      </c>
      <c r="E1562" s="1" t="s">
        <v>12</v>
      </c>
      <c r="F1562" s="16">
        <v>46022</v>
      </c>
      <c r="G1562" s="1" t="s">
        <v>1470</v>
      </c>
      <c r="H1562" s="1" t="s">
        <v>1481</v>
      </c>
      <c r="I1562" s="17" t="s">
        <v>1505</v>
      </c>
      <c r="J1562" s="18" t="s">
        <v>23</v>
      </c>
      <c r="K1562" s="19" t="s">
        <v>14</v>
      </c>
      <c r="L1562" s="19" t="s">
        <v>49</v>
      </c>
      <c r="M1562" s="20">
        <v>2</v>
      </c>
      <c r="N1562" s="21">
        <v>84999</v>
      </c>
      <c r="O1562" s="22">
        <v>12</v>
      </c>
      <c r="P1562" s="23">
        <v>149598.24</v>
      </c>
      <c r="Q1562" s="22">
        <v>4.5</v>
      </c>
      <c r="R1562" s="22">
        <v>20</v>
      </c>
      <c r="S1562" s="23">
        <f>(Table13[[#This Row],[Unit Price]]*Table13[[#This Row],[No.of Units]])*18%</f>
        <v>30599.64</v>
      </c>
      <c r="T1562" s="22" t="s">
        <v>1508</v>
      </c>
    </row>
    <row r="1563" spans="2:20" x14ac:dyDescent="0.3">
      <c r="B1563" s="5" t="s">
        <v>1467</v>
      </c>
      <c r="C1563" s="1">
        <v>1689926</v>
      </c>
      <c r="D1563" s="1">
        <v>40</v>
      </c>
      <c r="E1563" s="1" t="s">
        <v>12</v>
      </c>
      <c r="F1563" s="16">
        <v>46022</v>
      </c>
      <c r="G1563" s="1" t="s">
        <v>1473</v>
      </c>
      <c r="H1563" s="1" t="s">
        <v>1480</v>
      </c>
      <c r="I1563" s="17" t="s">
        <v>1504</v>
      </c>
      <c r="J1563" s="18" t="s">
        <v>25</v>
      </c>
      <c r="K1563" s="19" t="s">
        <v>26</v>
      </c>
      <c r="L1563" s="19" t="s">
        <v>49</v>
      </c>
      <c r="M1563" s="20">
        <v>4</v>
      </c>
      <c r="N1563" s="21">
        <v>69999</v>
      </c>
      <c r="O1563" s="22">
        <v>8</v>
      </c>
      <c r="P1563" s="23">
        <v>257596.32</v>
      </c>
      <c r="Q1563" s="22">
        <v>4.8</v>
      </c>
      <c r="R1563" s="22">
        <v>20</v>
      </c>
      <c r="S1563" s="23">
        <f>(Table13[[#This Row],[Unit Price]]*Table13[[#This Row],[No.of Units]])*18%</f>
        <v>50399.28</v>
      </c>
      <c r="T1563" s="22" t="s">
        <v>1507</v>
      </c>
    </row>
    <row r="1564" spans="2:20" x14ac:dyDescent="0.3">
      <c r="B1564" s="6" t="s">
        <v>1468</v>
      </c>
      <c r="C1564" s="7">
        <v>1214329</v>
      </c>
      <c r="D1564" s="7">
        <v>29</v>
      </c>
      <c r="E1564" s="7" t="s">
        <v>12</v>
      </c>
      <c r="F1564" s="24">
        <v>46022</v>
      </c>
      <c r="G1564" s="7" t="s">
        <v>1470</v>
      </c>
      <c r="H1564" s="7" t="s">
        <v>1482</v>
      </c>
      <c r="I1564" s="17" t="s">
        <v>1503</v>
      </c>
      <c r="J1564" s="25" t="s">
        <v>28</v>
      </c>
      <c r="K1564" s="26" t="s">
        <v>26</v>
      </c>
      <c r="L1564" s="26" t="s">
        <v>49</v>
      </c>
      <c r="M1564" s="27">
        <v>10</v>
      </c>
      <c r="N1564" s="28">
        <v>42999</v>
      </c>
      <c r="O1564" s="22">
        <v>15</v>
      </c>
      <c r="P1564" s="23">
        <v>365491.5</v>
      </c>
      <c r="Q1564" s="22">
        <v>4.5999999999999996</v>
      </c>
      <c r="R1564" s="22">
        <v>20</v>
      </c>
      <c r="S1564" s="23">
        <f>(Table13[[#This Row],[Unit Price]]*Table13[[#This Row],[No.of Units]])*18%</f>
        <v>77398.2</v>
      </c>
      <c r="T1564" s="22" t="s">
        <v>1508</v>
      </c>
    </row>
  </sheetData>
  <mergeCells count="1">
    <mergeCell ref="B3:T3"/>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Views>
    <sheetView zoomScale="120" workbookViewId="0"/>
  </sheetViews>
  <sheetFormatPr defaultRowHeight="14.4" x14ac:dyDescent="0.3"/>
  <cols>
    <col min="1" max="1" width="12.5546875" customWidth="1"/>
    <col min="2" max="2" width="16.21875" customWidth="1"/>
    <col min="3" max="3" width="3.33203125" customWidth="1"/>
    <col min="4" max="4" width="12.5546875" customWidth="1"/>
    <col min="5" max="5" width="16.21875" bestFit="1" customWidth="1"/>
    <col min="6" max="6" width="3.33203125" customWidth="1"/>
    <col min="7" max="7" width="12.5546875" customWidth="1"/>
    <col min="8" max="8" width="16.5546875" bestFit="1" customWidth="1"/>
    <col min="9" max="9" width="4.109375" customWidth="1"/>
    <col min="10" max="10" width="12.5546875" customWidth="1"/>
    <col min="11" max="11" width="14.88671875" customWidth="1"/>
    <col min="12" max="12" width="3.6640625" customWidth="1"/>
    <col min="13" max="13" width="12.5546875" bestFit="1" customWidth="1"/>
    <col min="14" max="14" width="16.21875" bestFit="1" customWidth="1"/>
  </cols>
  <sheetData>
    <row r="1" spans="1:14" s="33" customFormat="1" x14ac:dyDescent="0.3"/>
    <row r="3" spans="1:14" x14ac:dyDescent="0.3">
      <c r="A3" s="58" t="s">
        <v>1517</v>
      </c>
      <c r="B3" s="60"/>
      <c r="D3" s="58" t="s">
        <v>1513</v>
      </c>
      <c r="E3" s="60"/>
      <c r="G3" s="58" t="s">
        <v>1514</v>
      </c>
      <c r="H3" s="58"/>
      <c r="J3" s="58" t="s">
        <v>1515</v>
      </c>
      <c r="K3" s="58"/>
      <c r="M3" s="59"/>
      <c r="N3" s="59"/>
    </row>
    <row r="4" spans="1:14" x14ac:dyDescent="0.3">
      <c r="A4" s="2" t="s">
        <v>1476</v>
      </c>
      <c r="B4" t="s">
        <v>1479</v>
      </c>
      <c r="D4" s="2" t="s">
        <v>1476</v>
      </c>
      <c r="E4" t="s">
        <v>1479</v>
      </c>
      <c r="G4" s="2" t="s">
        <v>1476</v>
      </c>
      <c r="H4" t="s">
        <v>1479</v>
      </c>
      <c r="J4" s="2" t="s">
        <v>1476</v>
      </c>
      <c r="K4" t="s">
        <v>1516</v>
      </c>
    </row>
    <row r="5" spans="1:14" x14ac:dyDescent="0.3">
      <c r="A5" s="3" t="s">
        <v>1471</v>
      </c>
      <c r="B5" s="4">
        <v>165199992.70999983</v>
      </c>
      <c r="D5" s="3" t="s">
        <v>21</v>
      </c>
      <c r="E5" s="4">
        <v>59445015</v>
      </c>
      <c r="G5" s="3" t="s">
        <v>18</v>
      </c>
      <c r="H5" s="4">
        <v>107442313.62000006</v>
      </c>
      <c r="J5" s="3" t="s">
        <v>1484</v>
      </c>
      <c r="K5" s="4">
        <v>33053374.089999985</v>
      </c>
    </row>
    <row r="6" spans="1:14" x14ac:dyDescent="0.3">
      <c r="A6" s="3" t="s">
        <v>1482</v>
      </c>
      <c r="B6" s="4">
        <v>102823548.35999991</v>
      </c>
      <c r="D6" s="3" t="s">
        <v>13</v>
      </c>
      <c r="E6" s="4">
        <v>106288937.09999982</v>
      </c>
      <c r="G6" s="3" t="s">
        <v>14</v>
      </c>
      <c r="H6" s="4">
        <v>185426406.05999994</v>
      </c>
      <c r="J6" s="3" t="s">
        <v>1485</v>
      </c>
      <c r="K6" s="4">
        <v>33515801.269999985</v>
      </c>
    </row>
    <row r="7" spans="1:14" x14ac:dyDescent="0.3">
      <c r="A7" s="3" t="s">
        <v>1472</v>
      </c>
      <c r="B7" s="4">
        <v>85424198.729999945</v>
      </c>
      <c r="D7" s="3" t="s">
        <v>23</v>
      </c>
      <c r="E7" s="4">
        <v>79137468.959999874</v>
      </c>
      <c r="G7" s="3" t="s">
        <v>26</v>
      </c>
      <c r="H7" s="4">
        <v>143214879.95999971</v>
      </c>
      <c r="J7" s="3" t="s">
        <v>1486</v>
      </c>
      <c r="K7" s="4">
        <v>31607029.999999989</v>
      </c>
    </row>
    <row r="8" spans="1:14" x14ac:dyDescent="0.3">
      <c r="A8" s="3" t="s">
        <v>1481</v>
      </c>
      <c r="B8" s="4">
        <v>17990300.370000001</v>
      </c>
      <c r="D8" s="3" t="s">
        <v>25</v>
      </c>
      <c r="E8" s="4">
        <v>68069827.559999838</v>
      </c>
      <c r="G8" s="3" t="s">
        <v>1477</v>
      </c>
      <c r="H8" s="4">
        <v>436083599.63999975</v>
      </c>
      <c r="J8" s="3" t="s">
        <v>1487</v>
      </c>
      <c r="K8" s="4">
        <v>41606914.559999987</v>
      </c>
    </row>
    <row r="9" spans="1:14" x14ac:dyDescent="0.3">
      <c r="A9" s="3" t="s">
        <v>1480</v>
      </c>
      <c r="B9" s="4">
        <v>19400077.200000007</v>
      </c>
      <c r="D9" s="3" t="s">
        <v>28</v>
      </c>
      <c r="E9" s="4">
        <v>75145052.399999976</v>
      </c>
      <c r="G9" s="3"/>
      <c r="H9" s="4"/>
      <c r="J9" s="3" t="s">
        <v>1488</v>
      </c>
      <c r="K9" s="4">
        <v>34910455.669999994</v>
      </c>
    </row>
    <row r="10" spans="1:14" x14ac:dyDescent="0.3">
      <c r="A10" s="3" t="s">
        <v>1483</v>
      </c>
      <c r="B10" s="4">
        <v>45245482.270000018</v>
      </c>
      <c r="D10" s="3" t="s">
        <v>17</v>
      </c>
      <c r="E10" s="4">
        <v>47997298.619999982</v>
      </c>
      <c r="G10" s="36" t="s">
        <v>1510</v>
      </c>
      <c r="H10" s="34">
        <f>COUNTA(Table13[Order ID])</f>
        <v>1560</v>
      </c>
      <c r="J10" s="3" t="s">
        <v>1489</v>
      </c>
      <c r="K10" s="4">
        <v>33645864.549999975</v>
      </c>
    </row>
    <row r="11" spans="1:14" x14ac:dyDescent="0.3">
      <c r="A11" s="3" t="s">
        <v>1477</v>
      </c>
      <c r="B11" s="4">
        <v>436083599.63999975</v>
      </c>
      <c r="D11" s="3" t="s">
        <v>1477</v>
      </c>
      <c r="E11" s="4">
        <v>436083599.63999951</v>
      </c>
      <c r="G11" s="36" t="s">
        <v>1509</v>
      </c>
      <c r="H11" s="35">
        <f>SUM(Table13[[    Amount]])</f>
        <v>436083599.64000285</v>
      </c>
      <c r="J11" s="3" t="s">
        <v>1490</v>
      </c>
      <c r="K11" s="4">
        <v>42943833.079999998</v>
      </c>
    </row>
    <row r="12" spans="1:14" s="33" customFormat="1" x14ac:dyDescent="0.3">
      <c r="A12" s="3"/>
      <c r="B12" s="4"/>
      <c r="D12"/>
      <c r="E12"/>
      <c r="G12" s="3"/>
      <c r="H12" s="4"/>
      <c r="J12" s="3" t="s">
        <v>1491</v>
      </c>
      <c r="K12" s="4">
        <v>31706847.739999991</v>
      </c>
    </row>
    <row r="13" spans="1:14" x14ac:dyDescent="0.3">
      <c r="A13" s="58" t="s">
        <v>1511</v>
      </c>
      <c r="B13" s="60"/>
      <c r="D13" s="58" t="s">
        <v>1512</v>
      </c>
      <c r="E13" s="58"/>
      <c r="G13" s="58" t="s">
        <v>1469</v>
      </c>
      <c r="H13" s="58"/>
      <c r="J13" s="3" t="s">
        <v>1492</v>
      </c>
      <c r="K13" s="4">
        <v>32505870.499999996</v>
      </c>
    </row>
    <row r="14" spans="1:14" x14ac:dyDescent="0.3">
      <c r="A14" s="2" t="s">
        <v>1476</v>
      </c>
      <c r="B14" t="s">
        <v>1479</v>
      </c>
      <c r="D14" s="2" t="s">
        <v>1476</v>
      </c>
      <c r="E14" t="s">
        <v>1479</v>
      </c>
      <c r="G14" s="2" t="s">
        <v>1476</v>
      </c>
      <c r="H14" t="s">
        <v>1478</v>
      </c>
      <c r="J14" s="3" t="s">
        <v>1493</v>
      </c>
      <c r="K14" s="4">
        <v>42880469.579999983</v>
      </c>
    </row>
    <row r="15" spans="1:14" x14ac:dyDescent="0.3">
      <c r="A15" s="3" t="s">
        <v>12</v>
      </c>
      <c r="B15" s="4">
        <v>331138737.6200009</v>
      </c>
      <c r="D15" s="3" t="s">
        <v>29</v>
      </c>
      <c r="E15" s="4">
        <v>90551491.809999809</v>
      </c>
      <c r="G15" s="3" t="s">
        <v>1474</v>
      </c>
      <c r="H15" s="4">
        <v>49</v>
      </c>
      <c r="J15" s="3" t="s">
        <v>1494</v>
      </c>
      <c r="K15" s="4">
        <v>33873150.789999999</v>
      </c>
    </row>
    <row r="16" spans="1:14" x14ac:dyDescent="0.3">
      <c r="A16" s="3" t="s">
        <v>20</v>
      </c>
      <c r="B16" s="4">
        <v>86295727.849999845</v>
      </c>
      <c r="D16" s="3" t="s">
        <v>15</v>
      </c>
      <c r="E16" s="4">
        <v>88298232.289999858</v>
      </c>
      <c r="G16" s="3" t="s">
        <v>1470</v>
      </c>
      <c r="H16" s="4">
        <v>1399</v>
      </c>
      <c r="J16" s="3" t="s">
        <v>1495</v>
      </c>
      <c r="K16" s="4">
        <v>43833987.810000002</v>
      </c>
    </row>
    <row r="17" spans="1:11" x14ac:dyDescent="0.3">
      <c r="A17" s="3" t="s">
        <v>34</v>
      </c>
      <c r="B17" s="4">
        <v>18649134.170000009</v>
      </c>
      <c r="D17" s="3" t="s">
        <v>35</v>
      </c>
      <c r="E17" s="4">
        <v>79530367.939999908</v>
      </c>
      <c r="G17" s="3" t="s">
        <v>1473</v>
      </c>
      <c r="H17" s="4">
        <v>39</v>
      </c>
      <c r="J17" s="3" t="s">
        <v>1477</v>
      </c>
      <c r="K17" s="4">
        <v>436083599.63999993</v>
      </c>
    </row>
    <row r="18" spans="1:11" x14ac:dyDescent="0.3">
      <c r="A18" s="3" t="s">
        <v>1477</v>
      </c>
      <c r="B18" s="4">
        <v>436083599.64000076</v>
      </c>
      <c r="D18" s="3" t="s">
        <v>42</v>
      </c>
      <c r="E18" s="4">
        <v>88289456.569999918</v>
      </c>
      <c r="G18" s="3" t="s">
        <v>1475</v>
      </c>
      <c r="H18" s="4">
        <v>73</v>
      </c>
    </row>
    <row r="19" spans="1:11" x14ac:dyDescent="0.3">
      <c r="D19" s="3" t="s">
        <v>49</v>
      </c>
      <c r="E19" s="4">
        <v>89414051.029999897</v>
      </c>
      <c r="G19" s="3" t="s">
        <v>1477</v>
      </c>
      <c r="H19" s="4">
        <v>1560</v>
      </c>
    </row>
    <row r="20" spans="1:11" x14ac:dyDescent="0.3">
      <c r="D20" s="3" t="s">
        <v>1477</v>
      </c>
      <c r="E20" s="4">
        <v>436083599.63999939</v>
      </c>
    </row>
  </sheetData>
  <mergeCells count="8">
    <mergeCell ref="J3:K3"/>
    <mergeCell ref="M3:N3"/>
    <mergeCell ref="A13:B13"/>
    <mergeCell ref="G13:H13"/>
    <mergeCell ref="D13:E13"/>
    <mergeCell ref="A3:B3"/>
    <mergeCell ref="D3:E3"/>
    <mergeCell ref="G3:H3"/>
  </mergeCells>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Y36"/>
  <sheetViews>
    <sheetView showGridLines="0" zoomScale="90" zoomScaleNormal="90" workbookViewId="0"/>
  </sheetViews>
  <sheetFormatPr defaultRowHeight="14.4" x14ac:dyDescent="0.3"/>
  <cols>
    <col min="1" max="1" width="12.5546875" bestFit="1" customWidth="1"/>
    <col min="2" max="2" width="16.21875" bestFit="1" customWidth="1"/>
  </cols>
  <sheetData>
    <row r="1" spans="1:25" s="14" customFormat="1" x14ac:dyDescent="0.3"/>
    <row r="2" spans="1:25" s="14" customFormat="1" x14ac:dyDescent="0.3"/>
    <row r="3" spans="1:25" ht="21" customHeight="1" x14ac:dyDescent="0.3">
      <c r="A3" s="61" t="s">
        <v>1521</v>
      </c>
      <c r="B3" s="62"/>
      <c r="C3" s="62"/>
      <c r="D3" s="62"/>
      <c r="E3" s="62"/>
      <c r="F3" s="62"/>
      <c r="G3" s="62"/>
      <c r="H3" s="62"/>
      <c r="I3" s="62"/>
      <c r="J3" s="62"/>
      <c r="K3" s="62"/>
      <c r="L3" s="62"/>
      <c r="M3" s="62"/>
      <c r="N3" s="62"/>
      <c r="O3" s="62"/>
      <c r="P3" s="62"/>
      <c r="Q3" s="62"/>
      <c r="R3" s="62"/>
      <c r="S3" s="62"/>
      <c r="T3" s="62"/>
      <c r="U3" s="62"/>
      <c r="V3" s="62"/>
      <c r="W3" s="62"/>
      <c r="X3" s="62"/>
      <c r="Y3" s="62"/>
    </row>
    <row r="4" spans="1:25" ht="14.4" customHeight="1" x14ac:dyDescent="0.3">
      <c r="A4" s="62"/>
      <c r="B4" s="62"/>
      <c r="C4" s="62"/>
      <c r="D4" s="62"/>
      <c r="E4" s="62"/>
      <c r="F4" s="62"/>
      <c r="G4" s="62"/>
      <c r="H4" s="62"/>
      <c r="I4" s="62"/>
      <c r="J4" s="62"/>
      <c r="K4" s="62"/>
      <c r="L4" s="62"/>
      <c r="M4" s="62"/>
      <c r="N4" s="62"/>
      <c r="O4" s="62"/>
      <c r="P4" s="62"/>
      <c r="Q4" s="62"/>
      <c r="R4" s="62"/>
      <c r="S4" s="62"/>
      <c r="T4" s="62"/>
      <c r="U4" s="62"/>
      <c r="V4" s="62"/>
      <c r="W4" s="62"/>
      <c r="X4" s="62"/>
      <c r="Y4" s="62"/>
    </row>
    <row r="5" spans="1:25" x14ac:dyDescent="0.3">
      <c r="A5" s="37"/>
      <c r="B5" s="37"/>
      <c r="C5" s="37"/>
      <c r="D5" s="37"/>
      <c r="E5" s="37"/>
      <c r="F5" s="37"/>
      <c r="G5" s="37"/>
      <c r="H5" s="37"/>
      <c r="I5" s="37"/>
      <c r="J5" s="37"/>
      <c r="K5" s="37"/>
      <c r="L5" s="37"/>
      <c r="M5" s="37"/>
      <c r="N5" s="37"/>
      <c r="O5" s="37"/>
      <c r="P5" s="37"/>
      <c r="Q5" s="37"/>
      <c r="R5" s="37"/>
      <c r="S5" s="37"/>
      <c r="T5" s="37"/>
      <c r="U5" s="37"/>
      <c r="V5" s="37"/>
      <c r="W5" s="37"/>
      <c r="X5" s="37"/>
      <c r="Y5" s="37"/>
    </row>
    <row r="6" spans="1:25" x14ac:dyDescent="0.3">
      <c r="A6" s="37"/>
      <c r="B6" s="37"/>
      <c r="C6" s="37"/>
      <c r="D6" s="37"/>
      <c r="E6" s="37"/>
      <c r="F6" s="37"/>
      <c r="G6" s="37"/>
      <c r="H6" s="37"/>
      <c r="I6" s="37"/>
      <c r="J6" s="37"/>
      <c r="K6" s="37"/>
      <c r="L6" s="37"/>
      <c r="M6" s="37"/>
      <c r="N6" s="37"/>
      <c r="O6" s="37"/>
      <c r="P6" s="37"/>
      <c r="Q6" s="37"/>
      <c r="R6" s="37"/>
      <c r="S6" s="37"/>
      <c r="T6" s="37"/>
      <c r="U6" s="37"/>
      <c r="V6" s="37"/>
      <c r="W6" s="37"/>
      <c r="X6" s="37"/>
      <c r="Y6" s="37"/>
    </row>
    <row r="7" spans="1:25" x14ac:dyDescent="0.3">
      <c r="A7" s="37"/>
      <c r="B7" s="37"/>
      <c r="C7" s="37"/>
      <c r="D7" s="37"/>
      <c r="E7" s="37"/>
      <c r="F7" s="37"/>
      <c r="G7" s="37"/>
      <c r="H7" s="37"/>
      <c r="I7" s="37"/>
      <c r="J7" s="37"/>
      <c r="K7" s="37"/>
      <c r="L7" s="37"/>
      <c r="M7" s="37"/>
      <c r="N7" s="37"/>
      <c r="O7" s="37"/>
      <c r="P7" s="37"/>
      <c r="Q7" s="37"/>
      <c r="R7" s="37"/>
      <c r="S7" s="37"/>
      <c r="T7" s="37"/>
      <c r="U7" s="37"/>
      <c r="V7" s="37"/>
      <c r="W7" s="37"/>
      <c r="X7" s="37"/>
      <c r="Y7" s="37"/>
    </row>
    <row r="8" spans="1:25" s="39" customFormat="1" x14ac:dyDescent="0.3">
      <c r="A8" s="37"/>
      <c r="B8" s="37"/>
      <c r="C8" s="37"/>
      <c r="D8" s="37"/>
      <c r="E8" s="37"/>
      <c r="F8" s="37"/>
      <c r="G8" s="37"/>
      <c r="H8" s="37"/>
      <c r="I8" s="37"/>
      <c r="J8" s="37"/>
      <c r="K8" s="37"/>
      <c r="L8" s="37"/>
      <c r="M8" s="37"/>
      <c r="N8" s="37"/>
      <c r="O8" s="37"/>
      <c r="P8" s="37"/>
      <c r="Q8" s="37"/>
      <c r="R8" s="37"/>
      <c r="S8" s="37"/>
      <c r="T8" s="37"/>
      <c r="U8" s="37"/>
      <c r="V8" s="37"/>
      <c r="W8" s="37"/>
      <c r="X8" s="37"/>
      <c r="Y8" s="37"/>
    </row>
    <row r="9" spans="1:25" s="39" customFormat="1" x14ac:dyDescent="0.3">
      <c r="A9" s="37"/>
      <c r="B9" s="37"/>
      <c r="C9" s="37"/>
      <c r="D9" s="37"/>
      <c r="E9" s="37"/>
      <c r="F9" s="37"/>
      <c r="G9" s="37"/>
      <c r="H9" s="37"/>
      <c r="I9" s="37"/>
      <c r="J9" s="37"/>
      <c r="K9" s="37"/>
      <c r="L9" s="37"/>
      <c r="M9" s="37"/>
      <c r="N9" s="37"/>
      <c r="O9" s="37"/>
      <c r="P9" s="37"/>
      <c r="Q9" s="37"/>
      <c r="R9" s="37"/>
      <c r="S9" s="37"/>
      <c r="T9" s="37"/>
      <c r="U9" s="37"/>
      <c r="V9" s="37"/>
      <c r="W9" s="37"/>
      <c r="X9" s="37"/>
      <c r="Y9" s="37"/>
    </row>
    <row r="10" spans="1:25" s="39" customFormat="1" x14ac:dyDescent="0.3">
      <c r="A10" s="37"/>
      <c r="B10" s="37"/>
      <c r="C10" s="37"/>
      <c r="D10" s="37"/>
      <c r="E10" s="37"/>
      <c r="F10" s="37"/>
      <c r="G10" s="37"/>
      <c r="H10" s="37"/>
      <c r="I10" s="37"/>
      <c r="J10" s="37"/>
      <c r="K10" s="37"/>
      <c r="L10" s="37"/>
      <c r="M10" s="37"/>
      <c r="N10" s="37"/>
      <c r="O10" s="37"/>
      <c r="P10" s="37"/>
      <c r="Q10" s="37"/>
      <c r="R10" s="37"/>
      <c r="S10" s="37"/>
      <c r="T10" s="37"/>
      <c r="U10" s="37"/>
      <c r="V10" s="37"/>
      <c r="W10" s="37"/>
      <c r="X10" s="37"/>
      <c r="Y10" s="37"/>
    </row>
    <row r="11" spans="1:25" s="39" customFormat="1" x14ac:dyDescent="0.3">
      <c r="A11" s="37"/>
      <c r="B11" s="37"/>
      <c r="C11" s="37"/>
      <c r="D11" s="37"/>
      <c r="E11" s="37"/>
      <c r="F11" s="37"/>
      <c r="G11" s="37"/>
      <c r="H11" s="37"/>
      <c r="I11" s="37"/>
      <c r="J11" s="37"/>
      <c r="K11" s="37"/>
      <c r="L11" s="37"/>
      <c r="M11" s="37"/>
      <c r="N11" s="37"/>
      <c r="O11" s="37"/>
      <c r="P11" s="37"/>
      <c r="Q11" s="37"/>
      <c r="R11" s="37"/>
      <c r="S11" s="37"/>
      <c r="T11" s="37"/>
      <c r="U11" s="37"/>
      <c r="V11" s="37"/>
      <c r="W11" s="37"/>
      <c r="X11" s="37"/>
      <c r="Y11" s="37"/>
    </row>
    <row r="12" spans="1:25" s="39" customFormat="1" x14ac:dyDescent="0.3">
      <c r="A12" s="37"/>
      <c r="B12" s="37"/>
      <c r="C12" s="37"/>
      <c r="D12" s="37"/>
      <c r="E12" s="37"/>
      <c r="F12" s="37"/>
      <c r="G12" s="37"/>
      <c r="H12" s="37"/>
      <c r="I12" s="37"/>
      <c r="J12" s="37"/>
      <c r="K12" s="37"/>
      <c r="L12" s="37"/>
      <c r="M12" s="37"/>
      <c r="N12" s="37"/>
      <c r="O12" s="37"/>
      <c r="P12" s="37"/>
      <c r="Q12" s="37"/>
      <c r="R12" s="37"/>
      <c r="S12" s="37"/>
      <c r="T12" s="37"/>
      <c r="U12" s="37"/>
      <c r="V12" s="37"/>
      <c r="W12" s="37"/>
      <c r="X12" s="37"/>
      <c r="Y12" s="37"/>
    </row>
    <row r="13" spans="1:25" s="39" customFormat="1" x14ac:dyDescent="0.3">
      <c r="A13" s="37"/>
      <c r="B13" s="37"/>
      <c r="C13" s="37" t="s">
        <v>1518</v>
      </c>
      <c r="D13" s="37"/>
      <c r="E13" s="37"/>
      <c r="F13" s="37"/>
      <c r="G13" s="37"/>
      <c r="H13" s="37"/>
      <c r="I13" s="37"/>
      <c r="J13" s="37"/>
      <c r="K13" s="37"/>
      <c r="L13" s="37"/>
      <c r="M13" s="37"/>
      <c r="N13" s="37"/>
      <c r="O13" s="37"/>
      <c r="P13" s="37"/>
      <c r="Q13" s="37"/>
      <c r="R13" s="37"/>
      <c r="S13" s="37"/>
      <c r="T13" s="37"/>
      <c r="U13" s="37"/>
      <c r="V13" s="37"/>
      <c r="W13" s="37"/>
      <c r="X13" s="37"/>
      <c r="Y13" s="37"/>
    </row>
    <row r="14" spans="1:25" s="39" customFormat="1" x14ac:dyDescent="0.3">
      <c r="A14" s="37"/>
      <c r="B14" s="37"/>
      <c r="C14" s="37"/>
      <c r="D14" s="37"/>
      <c r="E14" s="37"/>
      <c r="F14" s="37"/>
      <c r="G14" s="37"/>
      <c r="H14" s="37"/>
      <c r="I14" s="37"/>
      <c r="J14" s="37"/>
      <c r="K14" s="37"/>
      <c r="L14" s="37"/>
      <c r="M14" s="37"/>
      <c r="N14" s="37"/>
      <c r="O14" s="37"/>
      <c r="P14" s="37"/>
      <c r="Q14" s="37"/>
      <c r="R14" s="37"/>
      <c r="S14" s="37"/>
      <c r="T14" s="37"/>
      <c r="U14" s="37"/>
      <c r="V14" s="37"/>
      <c r="W14" s="37"/>
      <c r="X14" s="37"/>
      <c r="Y14" s="37"/>
    </row>
    <row r="15" spans="1:25" s="39" customFormat="1" x14ac:dyDescent="0.3">
      <c r="A15" s="37"/>
      <c r="B15" s="37"/>
      <c r="C15" s="37"/>
      <c r="D15" s="37"/>
      <c r="E15" s="37"/>
      <c r="F15" s="37"/>
      <c r="G15" s="37"/>
      <c r="H15" s="37"/>
      <c r="I15" s="37"/>
      <c r="J15" s="37"/>
      <c r="K15" s="37"/>
      <c r="L15" s="37"/>
      <c r="M15" s="37"/>
      <c r="N15" s="37"/>
      <c r="O15" s="37"/>
      <c r="P15" s="37"/>
      <c r="Q15" s="37"/>
      <c r="R15" s="37"/>
      <c r="S15" s="37"/>
      <c r="T15" s="37"/>
      <c r="U15" s="37"/>
      <c r="V15" s="37"/>
      <c r="W15" s="37"/>
      <c r="X15" s="37"/>
      <c r="Y15" s="37"/>
    </row>
    <row r="16" spans="1:25" s="39" customFormat="1" x14ac:dyDescent="0.3">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25" s="39" customFormat="1" x14ac:dyDescent="0.3">
      <c r="A17" s="37"/>
      <c r="B17" s="37"/>
      <c r="C17" s="37"/>
      <c r="D17" s="37"/>
      <c r="E17" s="37"/>
      <c r="F17" s="37"/>
      <c r="G17" s="37"/>
      <c r="H17" s="37"/>
      <c r="I17" s="37"/>
      <c r="J17" s="37"/>
      <c r="K17" s="37"/>
      <c r="L17" s="37"/>
      <c r="M17" s="37"/>
      <c r="N17" s="37"/>
      <c r="O17" s="37"/>
      <c r="P17" s="37"/>
      <c r="Q17" s="37"/>
      <c r="R17" s="37"/>
      <c r="S17" s="37"/>
      <c r="T17" s="37"/>
      <c r="U17" s="37"/>
      <c r="V17" s="37"/>
      <c r="W17" s="37"/>
      <c r="X17" s="37"/>
      <c r="Y17" s="37"/>
    </row>
    <row r="18" spans="1:25" s="39" customFormat="1" x14ac:dyDescent="0.3">
      <c r="A18" s="37"/>
      <c r="B18" s="37"/>
      <c r="C18" s="37"/>
      <c r="D18" s="37"/>
      <c r="E18" s="37"/>
      <c r="F18" s="37"/>
      <c r="G18" s="37"/>
      <c r="H18" s="37"/>
      <c r="I18" s="37"/>
      <c r="J18" s="37"/>
      <c r="K18" s="37"/>
      <c r="L18" s="37"/>
      <c r="M18" s="37"/>
      <c r="N18" s="37"/>
      <c r="O18" s="37"/>
      <c r="P18" s="37"/>
      <c r="Q18" s="37"/>
      <c r="R18" s="37"/>
      <c r="S18" s="37"/>
      <c r="T18" s="37"/>
      <c r="U18" s="37"/>
      <c r="V18" s="37"/>
      <c r="W18" s="37"/>
      <c r="X18" s="37"/>
      <c r="Y18" s="37"/>
    </row>
    <row r="19" spans="1:25" s="39" customFormat="1" x14ac:dyDescent="0.3">
      <c r="A19" s="37"/>
      <c r="B19" s="37"/>
      <c r="C19" s="37"/>
      <c r="D19" s="37"/>
      <c r="E19" s="37"/>
      <c r="F19" s="37"/>
      <c r="G19" s="37"/>
      <c r="H19" s="37"/>
      <c r="I19" s="37"/>
      <c r="J19" s="37"/>
      <c r="K19" s="37"/>
      <c r="L19" s="37"/>
      <c r="M19" s="37"/>
      <c r="N19" s="37"/>
      <c r="O19" s="37"/>
      <c r="P19" s="37"/>
      <c r="Q19" s="37"/>
      <c r="R19" s="37"/>
      <c r="S19" s="37"/>
      <c r="T19" s="37"/>
      <c r="U19" s="37"/>
      <c r="V19" s="37"/>
      <c r="W19" s="37"/>
      <c r="X19" s="37"/>
      <c r="Y19" s="37"/>
    </row>
    <row r="20" spans="1:25" s="39" customFormat="1" x14ac:dyDescent="0.3">
      <c r="A20" s="37"/>
      <c r="B20" s="37"/>
      <c r="C20" s="37"/>
      <c r="D20" s="37"/>
      <c r="E20" s="37"/>
      <c r="F20" s="37"/>
      <c r="G20" s="37"/>
      <c r="H20" s="37"/>
      <c r="I20" s="37"/>
      <c r="J20" s="37"/>
      <c r="K20" s="37"/>
      <c r="L20" s="37"/>
      <c r="M20" s="37"/>
      <c r="N20" s="37"/>
      <c r="O20" s="37"/>
      <c r="P20" s="37"/>
      <c r="Q20" s="37"/>
      <c r="R20" s="37"/>
      <c r="S20" s="37"/>
      <c r="T20" s="37"/>
      <c r="U20" s="37"/>
      <c r="V20" s="37"/>
      <c r="W20" s="37"/>
      <c r="X20" s="37"/>
      <c r="Y20" s="37"/>
    </row>
    <row r="21" spans="1:25" s="39" customFormat="1" x14ac:dyDescent="0.3">
      <c r="A21" s="37"/>
      <c r="B21" s="37"/>
      <c r="C21" s="37"/>
      <c r="D21" s="37"/>
      <c r="E21" s="37"/>
      <c r="F21" s="37"/>
      <c r="G21" s="37"/>
      <c r="H21" s="37"/>
      <c r="I21" s="37"/>
      <c r="J21" s="37"/>
      <c r="K21" s="37"/>
      <c r="L21" s="37"/>
      <c r="M21" s="37"/>
      <c r="N21" s="37"/>
      <c r="O21" s="37"/>
      <c r="P21" s="37"/>
      <c r="Q21" s="37"/>
      <c r="R21" s="37"/>
      <c r="S21" s="37"/>
      <c r="T21" s="37"/>
      <c r="U21" s="37"/>
      <c r="V21" s="37"/>
      <c r="W21" s="37"/>
      <c r="X21" s="37"/>
      <c r="Y21" s="37"/>
    </row>
    <row r="22" spans="1:25" s="39" customFormat="1" x14ac:dyDescent="0.3">
      <c r="A22" s="37"/>
      <c r="B22" s="37"/>
      <c r="C22" s="37"/>
      <c r="D22" s="37"/>
      <c r="E22" s="37"/>
      <c r="F22" s="37"/>
      <c r="G22" s="37"/>
      <c r="H22" s="37"/>
      <c r="I22" s="37"/>
      <c r="J22" s="37"/>
      <c r="K22" s="37"/>
      <c r="L22" s="37"/>
      <c r="M22" s="37"/>
      <c r="N22" s="37"/>
      <c r="O22" s="37"/>
      <c r="P22" s="37"/>
      <c r="Q22" s="37"/>
      <c r="R22" s="37"/>
      <c r="S22" s="37"/>
      <c r="T22" s="37"/>
      <c r="U22" s="37"/>
      <c r="V22" s="37"/>
      <c r="W22" s="37"/>
      <c r="X22" s="37"/>
      <c r="Y22" s="37"/>
    </row>
    <row r="23" spans="1:25" s="39" customFormat="1" x14ac:dyDescent="0.3">
      <c r="A23" s="37"/>
      <c r="B23" s="37"/>
      <c r="C23" s="37"/>
      <c r="D23" s="37"/>
      <c r="E23" s="37"/>
      <c r="F23" s="37"/>
      <c r="G23" s="37"/>
      <c r="H23" s="37"/>
      <c r="I23" s="37"/>
      <c r="J23" s="37"/>
      <c r="K23" s="37"/>
      <c r="L23" s="37"/>
      <c r="M23" s="37"/>
      <c r="N23" s="37"/>
      <c r="O23" s="37"/>
      <c r="P23" s="37"/>
      <c r="Q23" s="37"/>
      <c r="R23" s="37"/>
      <c r="S23" s="37"/>
      <c r="T23" s="37"/>
      <c r="U23" s="37"/>
      <c r="V23" s="37"/>
      <c r="W23" s="37"/>
      <c r="X23" s="37"/>
      <c r="Y23" s="37"/>
    </row>
    <row r="24" spans="1:25" s="39" customFormat="1" x14ac:dyDescent="0.3">
      <c r="A24" s="37"/>
      <c r="B24" s="37"/>
      <c r="C24" s="37"/>
      <c r="D24" s="37"/>
      <c r="E24" s="37"/>
      <c r="F24" s="37"/>
      <c r="G24" s="37"/>
      <c r="H24" s="37"/>
      <c r="I24" s="37"/>
      <c r="J24" s="37"/>
      <c r="K24" s="37"/>
      <c r="L24" s="37"/>
      <c r="M24" s="37"/>
      <c r="N24" s="37"/>
      <c r="O24" s="37"/>
      <c r="P24" s="37"/>
      <c r="Q24" s="37"/>
      <c r="R24" s="37"/>
      <c r="S24" s="37"/>
      <c r="T24" s="37"/>
      <c r="U24" s="37"/>
      <c r="V24" s="37"/>
      <c r="W24" s="37"/>
      <c r="X24" s="37"/>
      <c r="Y24" s="37"/>
    </row>
    <row r="25" spans="1:25" s="39" customFormat="1" x14ac:dyDescent="0.3">
      <c r="A25" s="37"/>
      <c r="B25" s="37"/>
      <c r="C25" s="37"/>
      <c r="D25" s="37"/>
      <c r="E25" s="37"/>
      <c r="F25" s="37"/>
      <c r="G25" s="37"/>
      <c r="H25" s="37"/>
      <c r="I25" s="37"/>
      <c r="J25" s="37"/>
      <c r="K25" s="37"/>
      <c r="L25" s="37"/>
      <c r="M25" s="37"/>
      <c r="N25" s="37"/>
      <c r="O25" s="37"/>
      <c r="P25" s="37"/>
      <c r="Q25" s="37"/>
      <c r="R25" s="37"/>
      <c r="S25" s="37"/>
      <c r="T25" s="37"/>
      <c r="U25" s="37"/>
      <c r="V25" s="37"/>
      <c r="W25" s="37"/>
      <c r="X25" s="37"/>
      <c r="Y25" s="37"/>
    </row>
    <row r="26" spans="1:25" s="39" customFormat="1" x14ac:dyDescent="0.3">
      <c r="A26" s="37"/>
      <c r="B26" s="37"/>
      <c r="C26" s="37"/>
      <c r="D26" s="37"/>
      <c r="E26" s="37"/>
      <c r="F26" s="37"/>
      <c r="G26" s="37"/>
      <c r="H26" s="37"/>
      <c r="I26" s="37"/>
      <c r="J26" s="37"/>
      <c r="K26" s="37"/>
      <c r="L26" s="37"/>
      <c r="M26" s="37"/>
      <c r="N26" s="37"/>
      <c r="O26" s="37"/>
      <c r="P26" s="37"/>
      <c r="Q26" s="37"/>
      <c r="R26" s="37"/>
      <c r="S26" s="37"/>
      <c r="T26" s="37"/>
      <c r="U26" s="37"/>
      <c r="V26" s="37"/>
      <c r="W26" s="37"/>
      <c r="X26" s="37"/>
      <c r="Y26" s="37"/>
    </row>
    <row r="27" spans="1:25" s="39" customFormat="1" x14ac:dyDescent="0.3">
      <c r="A27" s="37"/>
      <c r="B27" s="37"/>
      <c r="C27" s="37"/>
      <c r="D27" s="37"/>
      <c r="E27" s="37"/>
      <c r="F27" s="37"/>
      <c r="G27" s="37"/>
      <c r="H27" s="37"/>
      <c r="I27" s="37"/>
      <c r="J27" s="37"/>
      <c r="K27" s="37"/>
      <c r="L27" s="37"/>
      <c r="M27" s="37"/>
      <c r="N27" s="37"/>
      <c r="O27" s="37"/>
      <c r="P27" s="37"/>
      <c r="Q27" s="37"/>
      <c r="R27" s="37"/>
      <c r="S27" s="37"/>
      <c r="T27" s="37"/>
      <c r="U27" s="37"/>
      <c r="V27" s="37"/>
      <c r="W27" s="37"/>
      <c r="X27" s="37"/>
      <c r="Y27" s="37"/>
    </row>
    <row r="28" spans="1:25" s="39" customFormat="1" x14ac:dyDescent="0.3">
      <c r="A28" s="37"/>
      <c r="B28" s="37"/>
      <c r="C28" s="37"/>
      <c r="D28" s="37"/>
      <c r="E28" s="37"/>
      <c r="F28" s="37"/>
      <c r="G28" s="37"/>
      <c r="H28" s="37"/>
      <c r="I28" s="37"/>
      <c r="J28" s="37"/>
      <c r="K28" s="37"/>
      <c r="L28" s="37"/>
      <c r="M28" s="37"/>
      <c r="N28" s="37"/>
      <c r="O28" s="37"/>
      <c r="P28" s="37"/>
      <c r="Q28" s="37"/>
      <c r="R28" s="37"/>
      <c r="S28" s="37"/>
      <c r="T28" s="37"/>
      <c r="U28" s="37"/>
      <c r="V28" s="37"/>
      <c r="W28" s="37"/>
      <c r="X28" s="37"/>
      <c r="Y28" s="37"/>
    </row>
    <row r="29" spans="1:25" s="39" customFormat="1" x14ac:dyDescent="0.3">
      <c r="A29" s="37"/>
      <c r="B29" s="37"/>
      <c r="C29" s="37"/>
      <c r="D29" s="37"/>
      <c r="E29" s="37"/>
      <c r="F29" s="37"/>
      <c r="G29" s="37"/>
      <c r="H29" s="37"/>
      <c r="I29" s="37"/>
      <c r="J29" s="37"/>
      <c r="K29" s="37"/>
      <c r="L29" s="37"/>
      <c r="M29" s="37"/>
      <c r="N29" s="37"/>
      <c r="O29" s="37"/>
      <c r="P29" s="37"/>
      <c r="Q29" s="37"/>
      <c r="R29" s="37"/>
      <c r="S29" s="37"/>
      <c r="T29" s="37"/>
      <c r="U29" s="37"/>
      <c r="V29" s="37"/>
      <c r="W29" s="37" t="s">
        <v>1519</v>
      </c>
      <c r="X29" s="37"/>
      <c r="Y29" s="37"/>
    </row>
    <row r="30" spans="1:25" s="39" customFormat="1" x14ac:dyDescent="0.3">
      <c r="A30" s="37"/>
      <c r="B30" s="37"/>
      <c r="C30" s="37"/>
      <c r="D30" s="37"/>
      <c r="E30" s="37"/>
      <c r="F30" s="37"/>
      <c r="G30" s="37"/>
      <c r="H30" s="37"/>
      <c r="I30" s="37"/>
      <c r="J30" s="37"/>
      <c r="K30" s="37"/>
      <c r="L30" s="37"/>
      <c r="M30" s="37"/>
      <c r="N30" s="37"/>
      <c r="O30" s="37"/>
      <c r="P30" s="37"/>
      <c r="Q30" s="37"/>
      <c r="R30" s="37"/>
      <c r="S30" s="37"/>
      <c r="T30" s="37"/>
      <c r="U30" s="37"/>
      <c r="V30" s="37"/>
      <c r="W30" s="37"/>
      <c r="X30" s="37"/>
      <c r="Y30" s="37"/>
    </row>
    <row r="31" spans="1:25" s="39" customFormat="1" x14ac:dyDescent="0.3">
      <c r="A31" s="37"/>
      <c r="B31" s="37"/>
      <c r="C31" s="37"/>
      <c r="D31" s="37"/>
      <c r="E31" s="37"/>
      <c r="F31" s="37"/>
      <c r="G31" s="37"/>
      <c r="H31" s="37"/>
      <c r="I31" s="37"/>
      <c r="J31" s="37"/>
      <c r="K31" s="37"/>
      <c r="L31" s="37"/>
      <c r="M31" s="37"/>
      <c r="N31" s="37"/>
      <c r="O31" s="37"/>
      <c r="P31" s="37"/>
      <c r="Q31" s="37"/>
      <c r="R31" s="37"/>
      <c r="S31" s="37"/>
      <c r="T31" s="37"/>
      <c r="U31" s="37"/>
      <c r="V31" s="37"/>
      <c r="W31" s="37"/>
      <c r="X31" s="37"/>
      <c r="Y31" s="37"/>
    </row>
    <row r="32" spans="1:25" s="39" customFormat="1" x14ac:dyDescent="0.3">
      <c r="A32" s="37"/>
      <c r="B32" s="37"/>
      <c r="C32" s="37"/>
      <c r="D32" s="37"/>
      <c r="E32" s="37"/>
      <c r="F32" s="37"/>
      <c r="G32" s="37"/>
      <c r="H32" s="37"/>
      <c r="I32" s="37"/>
      <c r="J32" s="37"/>
      <c r="K32" s="37"/>
      <c r="L32" s="37"/>
      <c r="M32" s="37"/>
      <c r="N32" s="37"/>
      <c r="O32" s="37"/>
      <c r="P32" s="37"/>
      <c r="Q32" s="37"/>
      <c r="R32" s="37"/>
      <c r="S32" s="37"/>
      <c r="T32" s="37"/>
      <c r="U32" s="37"/>
      <c r="V32" s="37"/>
      <c r="W32" s="37"/>
      <c r="X32" s="37"/>
      <c r="Y32" s="37"/>
    </row>
    <row r="36" spans="1:7" x14ac:dyDescent="0.3">
      <c r="A36" s="59"/>
      <c r="B36" s="59"/>
      <c r="C36" s="59"/>
      <c r="D36" s="59"/>
      <c r="E36" s="59"/>
      <c r="F36" s="59"/>
      <c r="G36" s="59"/>
    </row>
  </sheetData>
  <mergeCells count="2">
    <mergeCell ref="A36:G36"/>
    <mergeCell ref="A3:Y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2"/>
  <sheetViews>
    <sheetView showGridLines="0" topLeftCell="A2" zoomScale="171" workbookViewId="0">
      <selection activeCell="D18" sqref="D18:M18"/>
    </sheetView>
  </sheetViews>
  <sheetFormatPr defaultRowHeight="14.4" x14ac:dyDescent="0.3"/>
  <cols>
    <col min="1" max="2" width="8.88671875" style="40"/>
    <col min="3" max="3" width="6.44140625" customWidth="1"/>
    <col min="14" max="14" width="7" customWidth="1"/>
  </cols>
  <sheetData>
    <row r="1" spans="3:36" ht="14.4" customHeight="1" x14ac:dyDescent="0.3">
      <c r="C1" s="47"/>
      <c r="D1" s="64" t="s">
        <v>1536</v>
      </c>
      <c r="E1" s="64"/>
      <c r="F1" s="64"/>
      <c r="G1" s="64"/>
      <c r="H1" s="64"/>
      <c r="I1" s="64"/>
      <c r="J1" s="64"/>
      <c r="K1" s="64"/>
      <c r="L1" s="64"/>
      <c r="M1" s="64"/>
      <c r="N1" s="46"/>
      <c r="O1" s="39"/>
      <c r="P1" s="39"/>
      <c r="Q1" s="39"/>
      <c r="R1" s="39"/>
    </row>
    <row r="2" spans="3:36" ht="23.4" customHeight="1" x14ac:dyDescent="0.3">
      <c r="C2" s="63" t="s">
        <v>1522</v>
      </c>
      <c r="D2" s="67" t="s">
        <v>1538</v>
      </c>
      <c r="E2" s="67"/>
      <c r="F2" s="67"/>
      <c r="G2" s="67"/>
      <c r="H2" s="67"/>
      <c r="I2" s="67"/>
      <c r="J2" s="67"/>
      <c r="K2" s="67"/>
      <c r="L2" s="67"/>
      <c r="M2" s="67"/>
      <c r="N2" s="63" t="s">
        <v>1535</v>
      </c>
      <c r="O2" s="39"/>
      <c r="P2" s="39"/>
      <c r="Q2" s="39"/>
      <c r="R2" s="39"/>
    </row>
    <row r="3" spans="3:36" x14ac:dyDescent="0.3">
      <c r="C3" s="63"/>
      <c r="D3" s="42"/>
      <c r="E3" s="42"/>
      <c r="F3" s="42"/>
      <c r="G3" s="42"/>
      <c r="H3" s="42"/>
      <c r="I3" s="42"/>
      <c r="J3" s="42"/>
      <c r="K3" s="42"/>
      <c r="L3" s="42"/>
      <c r="M3" s="42"/>
      <c r="N3" s="63"/>
      <c r="O3" s="39"/>
      <c r="P3" s="39"/>
      <c r="Q3" s="39"/>
      <c r="R3" s="39"/>
    </row>
    <row r="4" spans="3:36" x14ac:dyDescent="0.3">
      <c r="C4" s="63"/>
      <c r="D4" s="42"/>
      <c r="E4" s="42"/>
      <c r="F4" s="42"/>
      <c r="G4" s="42"/>
      <c r="H4" s="42"/>
      <c r="I4" s="42"/>
      <c r="J4" s="42"/>
      <c r="K4" s="42"/>
      <c r="L4" s="42"/>
      <c r="M4" s="42"/>
      <c r="N4" s="63"/>
      <c r="O4" s="39"/>
    </row>
    <row r="5" spans="3:36" x14ac:dyDescent="0.3">
      <c r="C5" s="63"/>
      <c r="D5" s="65" t="s">
        <v>1530</v>
      </c>
      <c r="E5" s="65"/>
      <c r="F5" s="65"/>
      <c r="G5" s="65"/>
      <c r="H5" s="65"/>
      <c r="I5" s="65"/>
      <c r="J5" s="65"/>
      <c r="K5" s="65"/>
      <c r="L5" s="65"/>
      <c r="M5" s="65"/>
      <c r="N5" s="63"/>
      <c r="O5" s="39"/>
    </row>
    <row r="6" spans="3:36" x14ac:dyDescent="0.3">
      <c r="C6" s="63"/>
      <c r="D6" s="65" t="s">
        <v>1532</v>
      </c>
      <c r="E6" s="65"/>
      <c r="F6" s="65"/>
      <c r="G6" s="65"/>
      <c r="H6" s="65"/>
      <c r="I6" s="65"/>
      <c r="J6" s="65"/>
      <c r="K6" s="65"/>
      <c r="L6" s="65"/>
      <c r="M6" s="65"/>
      <c r="N6" s="63"/>
      <c r="O6" s="39"/>
    </row>
    <row r="7" spans="3:36" x14ac:dyDescent="0.3">
      <c r="C7" s="63"/>
      <c r="D7" s="65" t="s">
        <v>1531</v>
      </c>
      <c r="E7" s="65"/>
      <c r="F7" s="65"/>
      <c r="G7" s="65"/>
      <c r="H7" s="65"/>
      <c r="I7" s="65"/>
      <c r="J7" s="65"/>
      <c r="K7" s="65"/>
      <c r="L7" s="65"/>
      <c r="M7" s="65"/>
      <c r="N7" s="63"/>
      <c r="O7" s="39"/>
    </row>
    <row r="8" spans="3:36" x14ac:dyDescent="0.3">
      <c r="C8" s="63"/>
      <c r="D8" s="65" t="s">
        <v>1534</v>
      </c>
      <c r="E8" s="65"/>
      <c r="F8" s="65"/>
      <c r="G8" s="65"/>
      <c r="H8" s="65"/>
      <c r="I8" s="65"/>
      <c r="J8" s="65"/>
      <c r="K8" s="65"/>
      <c r="L8" s="65"/>
      <c r="M8" s="65"/>
      <c r="N8" s="63"/>
      <c r="O8" s="39"/>
    </row>
    <row r="9" spans="3:36" x14ac:dyDescent="0.3">
      <c r="C9" s="63"/>
      <c r="D9" s="65" t="s">
        <v>1533</v>
      </c>
      <c r="E9" s="65"/>
      <c r="F9" s="65"/>
      <c r="G9" s="65"/>
      <c r="H9" s="65"/>
      <c r="I9" s="65"/>
      <c r="J9" s="65"/>
      <c r="K9" s="65"/>
      <c r="L9" s="65"/>
      <c r="M9" s="65"/>
      <c r="N9" s="63"/>
      <c r="O9" s="39"/>
      <c r="P9" s="39"/>
      <c r="Q9" s="39"/>
      <c r="R9" s="39"/>
    </row>
    <row r="10" spans="3:36" x14ac:dyDescent="0.3">
      <c r="C10" s="63"/>
      <c r="D10" s="49"/>
      <c r="E10" s="49"/>
      <c r="F10" s="49"/>
      <c r="G10" s="49"/>
      <c r="H10" s="49"/>
      <c r="I10" s="49"/>
      <c r="J10" s="49"/>
      <c r="K10" s="49"/>
      <c r="L10" s="49"/>
      <c r="M10" s="49"/>
      <c r="N10" s="63"/>
      <c r="O10" s="39"/>
      <c r="P10" s="39"/>
      <c r="Q10" s="39"/>
      <c r="R10" s="39"/>
    </row>
    <row r="11" spans="3:36" x14ac:dyDescent="0.3">
      <c r="C11" s="63"/>
      <c r="D11" s="43"/>
      <c r="E11" s="43"/>
      <c r="F11" s="43"/>
      <c r="G11" s="43"/>
      <c r="H11" s="43"/>
      <c r="I11" s="43"/>
      <c r="J11" s="43"/>
      <c r="K11" s="43"/>
      <c r="L11" s="43"/>
      <c r="M11" s="43"/>
      <c r="N11" s="63"/>
      <c r="O11" s="39"/>
      <c r="P11" s="39"/>
      <c r="Q11" s="39"/>
      <c r="R11" s="39"/>
    </row>
    <row r="12" spans="3:36" ht="22.8" x14ac:dyDescent="0.3">
      <c r="C12" s="63"/>
      <c r="D12" s="66" t="s">
        <v>1537</v>
      </c>
      <c r="E12" s="66"/>
      <c r="F12" s="66"/>
      <c r="G12" s="66"/>
      <c r="H12" s="66"/>
      <c r="I12" s="66"/>
      <c r="J12" s="66"/>
      <c r="K12" s="66"/>
      <c r="L12" s="66"/>
      <c r="M12" s="66"/>
      <c r="N12" s="63"/>
      <c r="O12" s="39"/>
      <c r="P12" s="39"/>
      <c r="Q12" s="39"/>
      <c r="R12" s="39"/>
    </row>
    <row r="13" spans="3:36" ht="16.8" customHeight="1" x14ac:dyDescent="0.3">
      <c r="C13" s="63"/>
      <c r="D13" s="42"/>
      <c r="E13" s="42"/>
      <c r="F13" s="42"/>
      <c r="G13" s="42"/>
      <c r="H13" s="42"/>
      <c r="I13" s="42"/>
      <c r="J13" s="42"/>
      <c r="K13" s="42"/>
      <c r="L13" s="42"/>
      <c r="M13" s="42"/>
      <c r="N13" s="63"/>
      <c r="O13" s="39"/>
    </row>
    <row r="14" spans="3:36" x14ac:dyDescent="0.3">
      <c r="C14" s="63"/>
      <c r="D14" s="42"/>
      <c r="E14" s="42"/>
      <c r="F14" s="42"/>
      <c r="G14" s="42"/>
      <c r="H14" s="42"/>
      <c r="I14" s="42"/>
      <c r="J14" s="42"/>
      <c r="K14" s="42"/>
      <c r="L14" s="42"/>
      <c r="M14" s="42"/>
      <c r="N14" s="63"/>
      <c r="O14" s="39"/>
    </row>
    <row r="15" spans="3:36" x14ac:dyDescent="0.3">
      <c r="C15" s="63"/>
      <c r="D15" s="68" t="s">
        <v>1526</v>
      </c>
      <c r="E15" s="68"/>
      <c r="F15" s="68"/>
      <c r="G15" s="68"/>
      <c r="H15" s="68"/>
      <c r="I15" s="68"/>
      <c r="J15" s="68"/>
      <c r="K15" s="68"/>
      <c r="L15" s="68"/>
      <c r="M15" s="68"/>
      <c r="N15" s="63"/>
      <c r="O15" s="44"/>
      <c r="Z15" s="41"/>
      <c r="AA15" s="41"/>
      <c r="AB15" s="41"/>
      <c r="AC15" s="41"/>
      <c r="AD15" s="41"/>
      <c r="AE15" s="41"/>
      <c r="AF15" s="41"/>
      <c r="AG15" s="41"/>
      <c r="AH15" s="41"/>
      <c r="AI15" s="41"/>
      <c r="AJ15" s="41"/>
    </row>
    <row r="16" spans="3:36" x14ac:dyDescent="0.3">
      <c r="C16" s="63"/>
      <c r="D16" s="68" t="s">
        <v>1525</v>
      </c>
      <c r="E16" s="68"/>
      <c r="F16" s="68"/>
      <c r="G16" s="68"/>
      <c r="H16" s="68"/>
      <c r="I16" s="68"/>
      <c r="J16" s="68"/>
      <c r="K16" s="68"/>
      <c r="L16" s="68"/>
      <c r="M16" s="68"/>
      <c r="N16" s="63"/>
      <c r="O16" s="44"/>
    </row>
    <row r="17" spans="3:18" x14ac:dyDescent="0.3">
      <c r="C17" s="63"/>
      <c r="D17" s="68" t="s">
        <v>1523</v>
      </c>
      <c r="E17" s="68"/>
      <c r="F17" s="68"/>
      <c r="G17" s="68"/>
      <c r="H17" s="68"/>
      <c r="I17" s="68"/>
      <c r="J17" s="68"/>
      <c r="K17" s="68"/>
      <c r="L17" s="68"/>
      <c r="M17" s="68"/>
      <c r="N17" s="63"/>
      <c r="O17" s="44"/>
      <c r="P17" s="44"/>
      <c r="Q17" s="44"/>
      <c r="R17" s="44"/>
    </row>
    <row r="18" spans="3:18" x14ac:dyDescent="0.3">
      <c r="C18" s="63"/>
      <c r="D18" s="68" t="s">
        <v>1524</v>
      </c>
      <c r="E18" s="68"/>
      <c r="F18" s="68"/>
      <c r="G18" s="68"/>
      <c r="H18" s="68"/>
      <c r="I18" s="68"/>
      <c r="J18" s="68"/>
      <c r="K18" s="68"/>
      <c r="L18" s="68"/>
      <c r="M18" s="68"/>
      <c r="N18" s="63"/>
      <c r="O18" s="39"/>
      <c r="P18" s="39"/>
      <c r="Q18" s="39"/>
      <c r="R18" s="39"/>
    </row>
    <row r="19" spans="3:18" x14ac:dyDescent="0.3">
      <c r="C19" s="63"/>
      <c r="D19" s="42"/>
      <c r="E19" s="42"/>
      <c r="F19" s="42"/>
      <c r="G19" s="42"/>
      <c r="H19" s="42"/>
      <c r="I19" s="42"/>
      <c r="J19" s="42"/>
      <c r="K19" s="42"/>
      <c r="L19" s="42"/>
      <c r="M19" s="42"/>
      <c r="N19" s="63"/>
      <c r="O19" s="39"/>
      <c r="P19" s="39"/>
      <c r="Q19" s="39"/>
      <c r="R19" s="39"/>
    </row>
    <row r="20" spans="3:18" x14ac:dyDescent="0.3">
      <c r="C20" s="63"/>
      <c r="D20" s="42"/>
      <c r="E20" s="42"/>
      <c r="F20" s="42"/>
      <c r="G20" s="42"/>
      <c r="H20" s="42"/>
      <c r="I20" s="42"/>
      <c r="J20" s="42"/>
      <c r="K20" s="42"/>
      <c r="L20" s="42"/>
      <c r="M20" s="42"/>
      <c r="N20" s="63"/>
      <c r="O20" s="39"/>
      <c r="P20" s="39"/>
      <c r="Q20" s="39"/>
      <c r="R20" s="39"/>
    </row>
    <row r="21" spans="3:18" x14ac:dyDescent="0.3">
      <c r="C21" s="63"/>
      <c r="D21" s="42"/>
      <c r="E21" s="42"/>
      <c r="F21" s="42"/>
      <c r="G21" s="42"/>
      <c r="H21" s="42"/>
      <c r="I21" s="42"/>
      <c r="J21" s="42"/>
      <c r="K21" s="42"/>
      <c r="L21" s="42"/>
      <c r="M21" s="42"/>
      <c r="N21" s="63"/>
      <c r="O21" s="39"/>
      <c r="P21" s="39"/>
      <c r="Q21" s="39"/>
      <c r="R21" s="39"/>
    </row>
    <row r="22" spans="3:18" x14ac:dyDescent="0.3">
      <c r="C22" s="48"/>
      <c r="D22" s="64" t="s">
        <v>1539</v>
      </c>
      <c r="E22" s="64"/>
      <c r="F22" s="64"/>
      <c r="G22" s="64"/>
      <c r="H22" s="64"/>
      <c r="I22" s="64"/>
      <c r="J22" s="64"/>
      <c r="K22" s="64"/>
      <c r="L22" s="64"/>
      <c r="M22" s="64"/>
      <c r="N22" s="46"/>
      <c r="O22" s="39"/>
      <c r="P22" s="39"/>
      <c r="Q22" s="39"/>
      <c r="R22" s="39"/>
    </row>
  </sheetData>
  <mergeCells count="15">
    <mergeCell ref="N2:N21"/>
    <mergeCell ref="D1:M1"/>
    <mergeCell ref="D22:M22"/>
    <mergeCell ref="C2:C21"/>
    <mergeCell ref="D5:M5"/>
    <mergeCell ref="D6:M6"/>
    <mergeCell ref="D12:M12"/>
    <mergeCell ref="D2:M2"/>
    <mergeCell ref="D17:M17"/>
    <mergeCell ref="D18:M18"/>
    <mergeCell ref="D15:M15"/>
    <mergeCell ref="D16:M16"/>
    <mergeCell ref="D7:M7"/>
    <mergeCell ref="D8:M8"/>
    <mergeCell ref="D9:M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DATASET</vt:lpstr>
      <vt:lpstr>PIVOT TABLES</vt:lpstr>
      <vt:lpstr>DASHBOARD </vt:lpstr>
      <vt:lpstr>Report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qccs</dc:creator>
  <cp:lastModifiedBy>qccs</cp:lastModifiedBy>
  <dcterms:created xsi:type="dcterms:W3CDTF">2026-05-18T05:15:11Z</dcterms:created>
  <dcterms:modified xsi:type="dcterms:W3CDTF">2026-09-28T10:50:56Z</dcterms:modified>
</cp:coreProperties>
</file>